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310_DATA_OFFICE\U_Reglementering\INSTRUCTIONS\BAREME\Werkloosheid_Chomage\Barema_Riodoc\2026\"/>
    </mc:Choice>
  </mc:AlternateContent>
  <xr:revisionPtr revIDLastSave="0" documentId="13_ncr:1_{E86FD503-6CB6-408E-BAB6-2BACF598F546}" xr6:coauthVersionLast="47" xr6:coauthVersionMax="47" xr10:uidLastSave="{00000000-0000-0000-0000-000000000000}"/>
  <workbookProtection workbookAlgorithmName="SHA-512" workbookHashValue="34gGHIFiiiPzrgN65z+dqYP0ceya1rLXLqOOmWzzPS9ekJoCIXRFUD6L0ZhOy//qTHHlQS1VbpsLqWkgF5ovdQ==" workbookSaltValue="ySbsXkob52ekX9Nmkpb1iQ==" workbookSpinCount="100000" lockStructure="1"/>
  <bookViews>
    <workbookView xWindow="-108" yWindow="-108" windowWidth="23256" windowHeight="12456" tabRatio="776" xr2:uid="{00000000-000D-0000-FFFF-FFFF00000000}"/>
  </bookViews>
  <sheets>
    <sheet name="A_N_B_vol_plein" sheetId="1" r:id="rId1"/>
    <sheet name="A_N_B_half_demi" sheetId="6" r:id="rId2"/>
    <sheet name="TW-CT_JS" sheetId="11" r:id="rId3"/>
    <sheet name="SpecCat" sheetId="10" r:id="rId4"/>
    <sheet name="Loonschijven_Tranches salariale" sheetId="2" r:id="rId5"/>
    <sheet name="Uurlonen_Salaires horaires" sheetId="12" r:id="rId6"/>
    <sheet name="W " sheetId="13" r:id="rId7"/>
    <sheet name="AndereBedrWLH_AutresMontCHOM" sheetId="17" r:id="rId8"/>
    <sheet name="Activering_Activation" sheetId="20" r:id="rId9"/>
    <sheet name="AndereUitk_AutresAlloc" sheetId="14" r:id="rId10"/>
    <sheet name="Bonus" sheetId="15" r:id="rId11"/>
    <sheet name="Basisbedragen" sheetId="22" state="hidden" r:id="rId12"/>
  </sheets>
  <definedNames>
    <definedName name="_xlnm.Print_Area" localSheetId="7">AndereBedrWLH_AutresMontCHOM!$A$1:$R$86</definedName>
    <definedName name="_xlnm.Print_Area" localSheetId="9">AndereUitk_AutresAlloc!$A$1:$P$23</definedName>
    <definedName name="_xlnm.Print_Area" localSheetId="4">'Loonschijven_Tranches salariale'!$A$1:$K$79</definedName>
    <definedName name="_xlnm.Print_Area" localSheetId="2">'TW-CT_JS'!$A$1:$X$85</definedName>
    <definedName name="_xlnm.Print_Area" localSheetId="5">'Uurlonen_Salaires horaires'!$A$1:$N$78</definedName>
    <definedName name="_xlnm.Print_Area" localSheetId="6">'W '!$A$1:$T$50</definedName>
    <definedName name="_xlnm.Print_Titles" localSheetId="1">A_N_B_half_demi!$A:$A,A_N_B_half_demi!$1:$8</definedName>
    <definedName name="_xlnm.Print_Titles" localSheetId="0">A_N_B_vol_plein!$A:$A,A_N_B_vol_plein!$1:$12</definedName>
    <definedName name="_xlnm.Print_Titles" localSheetId="7">AndereBedrWLH_AutresMontCHOM!$1:$4</definedName>
    <definedName name="_xlnm.Print_Titles" localSheetId="9">AndereUitk_AutresAlloc!$1:$4</definedName>
    <definedName name="_xlnm.Print_Titles" localSheetId="3">SpecCat!$A:$A,SpecCat!$1:$8</definedName>
    <definedName name="_xlnm.Print_Titles" localSheetId="2">'TW-CT_JS'!$A:$A,'TW-CT_JS'!$1:$7</definedName>
    <definedName name="_xlnm.Print_Titles" localSheetId="5">'Uurlonen_Salaires horaires'!$1:$7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0" i="10" l="1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G7" i="22" l="1"/>
  <c r="I7" i="22" s="1"/>
  <c r="G4" i="22"/>
  <c r="D83" i="11" l="1"/>
  <c r="D95" i="11"/>
  <c r="D82" i="11"/>
  <c r="B84" i="11"/>
  <c r="F84" i="11" s="1"/>
  <c r="B96" i="11"/>
  <c r="F96" i="11" s="1"/>
  <c r="P94" i="1"/>
  <c r="P106" i="1"/>
  <c r="O83" i="1"/>
  <c r="O95" i="1"/>
  <c r="O107" i="1"/>
  <c r="J88" i="1"/>
  <c r="J100" i="1"/>
  <c r="J87" i="1"/>
  <c r="I94" i="1"/>
  <c r="I106" i="1"/>
  <c r="D95" i="1"/>
  <c r="D107" i="1"/>
  <c r="C84" i="1"/>
  <c r="C96" i="1"/>
  <c r="C108" i="1"/>
  <c r="D88" i="11"/>
  <c r="B89" i="11"/>
  <c r="F89" i="11" s="1"/>
  <c r="P99" i="1"/>
  <c r="O100" i="1"/>
  <c r="O79" i="1"/>
  <c r="J93" i="1"/>
  <c r="I111" i="1"/>
  <c r="C101" i="1"/>
  <c r="I89" i="1"/>
  <c r="C91" i="1"/>
  <c r="C103" i="1"/>
  <c r="D91" i="11"/>
  <c r="P90" i="1"/>
  <c r="O91" i="1"/>
  <c r="C92" i="1"/>
  <c r="D84" i="11"/>
  <c r="D96" i="11"/>
  <c r="B85" i="11"/>
  <c r="F85" i="11" s="1"/>
  <c r="B97" i="11"/>
  <c r="F97" i="11" s="1"/>
  <c r="P95" i="1"/>
  <c r="P107" i="1"/>
  <c r="O84" i="1"/>
  <c r="O96" i="1"/>
  <c r="O108" i="1"/>
  <c r="J89" i="1"/>
  <c r="J101" i="1"/>
  <c r="I95" i="1"/>
  <c r="I107" i="1"/>
  <c r="D96" i="1"/>
  <c r="D108" i="1"/>
  <c r="C85" i="1"/>
  <c r="C97" i="1"/>
  <c r="C109" i="1"/>
  <c r="I87" i="1"/>
  <c r="C89" i="1"/>
  <c r="J108" i="1"/>
  <c r="I102" i="1"/>
  <c r="D85" i="11"/>
  <c r="D97" i="11"/>
  <c r="B86" i="11"/>
  <c r="F86" i="11" s="1"/>
  <c r="B98" i="11"/>
  <c r="F98" i="11" s="1"/>
  <c r="P96" i="1"/>
  <c r="P108" i="1"/>
  <c r="O85" i="1"/>
  <c r="O97" i="1"/>
  <c r="O109" i="1"/>
  <c r="J90" i="1"/>
  <c r="J102" i="1"/>
  <c r="I96" i="1"/>
  <c r="I108" i="1"/>
  <c r="D97" i="1"/>
  <c r="D109" i="1"/>
  <c r="C86" i="1"/>
  <c r="C98" i="1"/>
  <c r="C110" i="1"/>
  <c r="B77" i="11"/>
  <c r="F77" i="11" s="1"/>
  <c r="P111" i="1"/>
  <c r="I99" i="1"/>
  <c r="D100" i="1"/>
  <c r="I101" i="1"/>
  <c r="D103" i="11"/>
  <c r="D86" i="11"/>
  <c r="D98" i="11"/>
  <c r="B75" i="11"/>
  <c r="F75" i="11" s="1"/>
  <c r="B87" i="11"/>
  <c r="F87" i="11" s="1"/>
  <c r="B99" i="11"/>
  <c r="F99" i="11" s="1"/>
  <c r="P97" i="1"/>
  <c r="P109" i="1"/>
  <c r="O86" i="1"/>
  <c r="O98" i="1"/>
  <c r="O110" i="1"/>
  <c r="J91" i="1"/>
  <c r="J103" i="1"/>
  <c r="I85" i="1"/>
  <c r="I97" i="1"/>
  <c r="I109" i="1"/>
  <c r="D98" i="1"/>
  <c r="D110" i="1"/>
  <c r="C87" i="1"/>
  <c r="C99" i="1"/>
  <c r="C111" i="1"/>
  <c r="D100" i="11"/>
  <c r="B101" i="11"/>
  <c r="F101" i="11" s="1"/>
  <c r="O88" i="1"/>
  <c r="J105" i="1"/>
  <c r="D87" i="1"/>
  <c r="I81" i="1"/>
  <c r="D90" i="1"/>
  <c r="J96" i="1"/>
  <c r="I90" i="1"/>
  <c r="D91" i="1"/>
  <c r="D87" i="11"/>
  <c r="D99" i="11"/>
  <c r="B76" i="11"/>
  <c r="F76" i="11" s="1"/>
  <c r="B88" i="11"/>
  <c r="F88" i="11" s="1"/>
  <c r="B100" i="11"/>
  <c r="F100" i="11" s="1"/>
  <c r="P98" i="1"/>
  <c r="P110" i="1"/>
  <c r="O87" i="1"/>
  <c r="O99" i="1"/>
  <c r="O111" i="1"/>
  <c r="J92" i="1"/>
  <c r="J104" i="1"/>
  <c r="I86" i="1"/>
  <c r="I98" i="1"/>
  <c r="I110" i="1"/>
  <c r="D99" i="1"/>
  <c r="D111" i="1"/>
  <c r="C88" i="1"/>
  <c r="C100" i="1"/>
  <c r="C80" i="1"/>
  <c r="C79" i="1"/>
  <c r="J107" i="1"/>
  <c r="O103" i="1"/>
  <c r="I82" i="1"/>
  <c r="D89" i="11"/>
  <c r="D101" i="11"/>
  <c r="B78" i="11"/>
  <c r="F78" i="11" s="1"/>
  <c r="B90" i="11"/>
  <c r="F90" i="11" s="1"/>
  <c r="B102" i="11"/>
  <c r="F102" i="11" s="1"/>
  <c r="P88" i="1"/>
  <c r="P100" i="1"/>
  <c r="P87" i="1"/>
  <c r="O89" i="1"/>
  <c r="O101" i="1"/>
  <c r="J94" i="1"/>
  <c r="J106" i="1"/>
  <c r="I88" i="1"/>
  <c r="I100" i="1"/>
  <c r="I80" i="1"/>
  <c r="D89" i="1"/>
  <c r="D101" i="1"/>
  <c r="D88" i="1"/>
  <c r="C90" i="1"/>
  <c r="C102" i="1"/>
  <c r="D90" i="11"/>
  <c r="D102" i="11"/>
  <c r="B79" i="11"/>
  <c r="F79" i="11" s="1"/>
  <c r="B91" i="11"/>
  <c r="F91" i="11" s="1"/>
  <c r="B103" i="11"/>
  <c r="F103" i="11" s="1"/>
  <c r="P89" i="1"/>
  <c r="P101" i="1"/>
  <c r="O90" i="1"/>
  <c r="O102" i="1"/>
  <c r="J95" i="1"/>
  <c r="D102" i="1"/>
  <c r="B80" i="11"/>
  <c r="F80" i="11" s="1"/>
  <c r="B92" i="11"/>
  <c r="F92" i="11" s="1"/>
  <c r="B104" i="11"/>
  <c r="F104" i="11" s="1"/>
  <c r="P102" i="1"/>
  <c r="D103" i="1"/>
  <c r="C104" i="1"/>
  <c r="D92" i="11"/>
  <c r="B81" i="11"/>
  <c r="F81" i="11" s="1"/>
  <c r="P91" i="1"/>
  <c r="O80" i="1"/>
  <c r="B95" i="11"/>
  <c r="F95" i="11" s="1"/>
  <c r="I93" i="1"/>
  <c r="O105" i="1"/>
  <c r="J110" i="1"/>
  <c r="D105" i="1"/>
  <c r="B74" i="11"/>
  <c r="F74" i="11" s="1"/>
  <c r="D93" i="11"/>
  <c r="B82" i="11"/>
  <c r="F82" i="11" s="1"/>
  <c r="P92" i="1"/>
  <c r="O81" i="1"/>
  <c r="D94" i="11"/>
  <c r="B83" i="11"/>
  <c r="F83" i="11" s="1"/>
  <c r="P93" i="1"/>
  <c r="O82" i="1"/>
  <c r="C82" i="1"/>
  <c r="P105" i="1"/>
  <c r="O94" i="1"/>
  <c r="C83" i="1"/>
  <c r="O106" i="1"/>
  <c r="C106" i="1"/>
  <c r="I79" i="1"/>
  <c r="C107" i="1"/>
  <c r="D104" i="11"/>
  <c r="B93" i="11"/>
  <c r="F93" i="11" s="1"/>
  <c r="P103" i="1"/>
  <c r="O92" i="1"/>
  <c r="J97" i="1"/>
  <c r="I91" i="1"/>
  <c r="D92" i="1"/>
  <c r="C81" i="1"/>
  <c r="D106" i="11"/>
  <c r="D94" i="1"/>
  <c r="I104" i="1"/>
  <c r="C94" i="1"/>
  <c r="J111" i="1"/>
  <c r="I105" i="1"/>
  <c r="D106" i="1"/>
  <c r="C95" i="1"/>
  <c r="I83" i="1"/>
  <c r="I84" i="1"/>
  <c r="D105" i="11"/>
  <c r="B94" i="11"/>
  <c r="F94" i="11" s="1"/>
  <c r="P104" i="1"/>
  <c r="O93" i="1"/>
  <c r="J98" i="1"/>
  <c r="I92" i="1"/>
  <c r="D93" i="1"/>
  <c r="J99" i="1"/>
  <c r="B105" i="11"/>
  <c r="F105" i="11" s="1"/>
  <c r="O104" i="1"/>
  <c r="J109" i="1"/>
  <c r="I103" i="1"/>
  <c r="D104" i="1"/>
  <c r="C93" i="1"/>
  <c r="B106" i="11"/>
  <c r="F106" i="11" s="1"/>
  <c r="C105" i="1"/>
  <c r="I6" i="22"/>
  <c r="C14" i="22" l="1"/>
  <c r="C15" i="22" l="1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13" i="22"/>
  <c r="D47" i="22" l="1"/>
  <c r="C107" i="10" l="1"/>
  <c r="B107" i="10" s="1"/>
  <c r="C101" i="10"/>
  <c r="B101" i="10" s="1"/>
  <c r="C85" i="10"/>
  <c r="B85" i="10" s="1"/>
  <c r="C90" i="10"/>
  <c r="B90" i="10" s="1"/>
  <c r="C95" i="10"/>
  <c r="B95" i="10" s="1"/>
  <c r="C87" i="10"/>
  <c r="B87" i="10" s="1"/>
  <c r="C86" i="10"/>
  <c r="B86" i="10" s="1"/>
  <c r="C88" i="10"/>
  <c r="B88" i="10" s="1"/>
  <c r="C94" i="10"/>
  <c r="B94" i="10" s="1"/>
  <c r="C83" i="10"/>
  <c r="B83" i="10" s="1"/>
  <c r="C99" i="10"/>
  <c r="B99" i="10" s="1"/>
  <c r="C103" i="10"/>
  <c r="B103" i="10" s="1"/>
  <c r="C102" i="10"/>
  <c r="B102" i="10" s="1"/>
  <c r="C104" i="10"/>
  <c r="B104" i="10" s="1"/>
  <c r="C89" i="10"/>
  <c r="B89" i="10" s="1"/>
  <c r="C91" i="10"/>
  <c r="B91" i="10" s="1"/>
  <c r="C92" i="10"/>
  <c r="B92" i="10" s="1"/>
  <c r="C100" i="10"/>
  <c r="B100" i="10" s="1"/>
  <c r="C98" i="10"/>
  <c r="B98" i="10" s="1"/>
  <c r="C84" i="10"/>
  <c r="B84" i="10" s="1"/>
  <c r="C96" i="10"/>
  <c r="B96" i="10" s="1"/>
  <c r="C93" i="10"/>
  <c r="B93" i="10" s="1"/>
  <c r="C97" i="10"/>
  <c r="B97" i="10" s="1"/>
  <c r="C105" i="10"/>
  <c r="B105" i="10" s="1"/>
  <c r="C106" i="10"/>
  <c r="B106" i="10" s="1"/>
  <c r="F108" i="6"/>
  <c r="H108" i="6"/>
  <c r="L108" i="6"/>
  <c r="N108" i="6"/>
  <c r="R108" i="6"/>
  <c r="F109" i="6"/>
  <c r="H109" i="6"/>
  <c r="L109" i="6"/>
  <c r="N109" i="6"/>
  <c r="R109" i="6"/>
  <c r="F110" i="6"/>
  <c r="H110" i="6"/>
  <c r="L110" i="6"/>
  <c r="N110" i="6"/>
  <c r="R110" i="6"/>
  <c r="F111" i="6"/>
  <c r="H111" i="6"/>
  <c r="L111" i="6"/>
  <c r="N111" i="6"/>
  <c r="R111" i="6"/>
  <c r="F92" i="6"/>
  <c r="H92" i="6"/>
  <c r="L92" i="6"/>
  <c r="N92" i="6"/>
  <c r="R92" i="6"/>
  <c r="F93" i="6"/>
  <c r="H93" i="6"/>
  <c r="L93" i="6"/>
  <c r="N93" i="6"/>
  <c r="R93" i="6"/>
  <c r="F94" i="6"/>
  <c r="H94" i="6"/>
  <c r="L94" i="6"/>
  <c r="N94" i="6"/>
  <c r="R94" i="6"/>
  <c r="F95" i="6"/>
  <c r="H95" i="6"/>
  <c r="L95" i="6"/>
  <c r="N95" i="6"/>
  <c r="R95" i="6"/>
  <c r="F96" i="6"/>
  <c r="H96" i="6"/>
  <c r="L96" i="6"/>
  <c r="N96" i="6"/>
  <c r="R96" i="6"/>
  <c r="F97" i="6"/>
  <c r="H97" i="6"/>
  <c r="L97" i="6"/>
  <c r="N97" i="6"/>
  <c r="R97" i="6"/>
  <c r="F98" i="6"/>
  <c r="H98" i="6"/>
  <c r="L98" i="6"/>
  <c r="N98" i="6"/>
  <c r="R98" i="6"/>
  <c r="F99" i="6"/>
  <c r="H99" i="6"/>
  <c r="L99" i="6"/>
  <c r="N99" i="6"/>
  <c r="R99" i="6"/>
  <c r="F100" i="6"/>
  <c r="H100" i="6"/>
  <c r="L100" i="6"/>
  <c r="N100" i="6"/>
  <c r="R100" i="6"/>
  <c r="F101" i="6"/>
  <c r="H101" i="6"/>
  <c r="L101" i="6"/>
  <c r="N101" i="6"/>
  <c r="R101" i="6"/>
  <c r="F102" i="6"/>
  <c r="H102" i="6"/>
  <c r="L102" i="6"/>
  <c r="N102" i="6"/>
  <c r="R102" i="6"/>
  <c r="F103" i="6"/>
  <c r="H103" i="6"/>
  <c r="L103" i="6"/>
  <c r="N103" i="6"/>
  <c r="R103" i="6"/>
  <c r="F104" i="6"/>
  <c r="H104" i="6"/>
  <c r="L104" i="6"/>
  <c r="N104" i="6"/>
  <c r="R104" i="6"/>
  <c r="F105" i="6"/>
  <c r="H105" i="6"/>
  <c r="L105" i="6"/>
  <c r="N105" i="6"/>
  <c r="R105" i="6"/>
  <c r="F106" i="6"/>
  <c r="H106" i="6"/>
  <c r="L106" i="6"/>
  <c r="N106" i="6"/>
  <c r="R106" i="6"/>
  <c r="F107" i="6"/>
  <c r="H107" i="6"/>
  <c r="L107" i="6"/>
  <c r="N107" i="6"/>
  <c r="R107" i="6"/>
  <c r="F13" i="6"/>
  <c r="H13" i="6"/>
  <c r="L13" i="6"/>
  <c r="N13" i="6"/>
  <c r="R13" i="6"/>
  <c r="F14" i="6"/>
  <c r="H14" i="6"/>
  <c r="L14" i="6"/>
  <c r="N14" i="6"/>
  <c r="R14" i="6"/>
  <c r="F15" i="6"/>
  <c r="H15" i="6"/>
  <c r="L15" i="6"/>
  <c r="N15" i="6"/>
  <c r="R15" i="6"/>
  <c r="F16" i="6"/>
  <c r="H16" i="6"/>
  <c r="L16" i="6"/>
  <c r="N16" i="6"/>
  <c r="R16" i="6"/>
  <c r="F17" i="6"/>
  <c r="H17" i="6"/>
  <c r="L17" i="6"/>
  <c r="N17" i="6"/>
  <c r="R17" i="6"/>
  <c r="F18" i="6"/>
  <c r="H18" i="6"/>
  <c r="L18" i="6"/>
  <c r="N18" i="6"/>
  <c r="R18" i="6"/>
  <c r="F19" i="6"/>
  <c r="H19" i="6"/>
  <c r="L19" i="6"/>
  <c r="N19" i="6"/>
  <c r="R19" i="6"/>
  <c r="F20" i="6"/>
  <c r="H20" i="6"/>
  <c r="L20" i="6"/>
  <c r="N20" i="6"/>
  <c r="R20" i="6"/>
  <c r="F21" i="6"/>
  <c r="H21" i="6"/>
  <c r="L21" i="6"/>
  <c r="N21" i="6"/>
  <c r="R21" i="6"/>
  <c r="F22" i="6"/>
  <c r="H22" i="6"/>
  <c r="L22" i="6"/>
  <c r="N22" i="6"/>
  <c r="R22" i="6"/>
  <c r="F23" i="6"/>
  <c r="H23" i="6"/>
  <c r="L23" i="6"/>
  <c r="N23" i="6"/>
  <c r="R23" i="6"/>
  <c r="F24" i="6"/>
  <c r="H24" i="6"/>
  <c r="L24" i="6"/>
  <c r="N24" i="6"/>
  <c r="R24" i="6"/>
  <c r="F25" i="6"/>
  <c r="H25" i="6"/>
  <c r="L25" i="6"/>
  <c r="N25" i="6"/>
  <c r="R25" i="6"/>
  <c r="F26" i="6"/>
  <c r="H26" i="6"/>
  <c r="L26" i="6"/>
  <c r="N26" i="6"/>
  <c r="R26" i="6"/>
  <c r="F27" i="6"/>
  <c r="H27" i="6"/>
  <c r="L27" i="6"/>
  <c r="N27" i="6"/>
  <c r="R27" i="6"/>
  <c r="F28" i="6"/>
  <c r="H28" i="6"/>
  <c r="L28" i="6"/>
  <c r="N28" i="6"/>
  <c r="R28" i="6"/>
  <c r="F29" i="6"/>
  <c r="H29" i="6"/>
  <c r="L29" i="6"/>
  <c r="N29" i="6"/>
  <c r="R29" i="6"/>
  <c r="F30" i="6"/>
  <c r="H30" i="6"/>
  <c r="L30" i="6"/>
  <c r="N30" i="6"/>
  <c r="R30" i="6"/>
  <c r="F31" i="6"/>
  <c r="H31" i="6"/>
  <c r="L31" i="6"/>
  <c r="N31" i="6"/>
  <c r="R31" i="6"/>
  <c r="F32" i="6"/>
  <c r="H32" i="6"/>
  <c r="L32" i="6"/>
  <c r="N32" i="6"/>
  <c r="R32" i="6"/>
  <c r="F33" i="6"/>
  <c r="H33" i="6"/>
  <c r="L33" i="6"/>
  <c r="N33" i="6"/>
  <c r="R33" i="6"/>
  <c r="F34" i="6"/>
  <c r="H34" i="6"/>
  <c r="L34" i="6"/>
  <c r="N34" i="6"/>
  <c r="R34" i="6"/>
  <c r="F35" i="6"/>
  <c r="H35" i="6"/>
  <c r="L35" i="6"/>
  <c r="N35" i="6"/>
  <c r="R35" i="6"/>
  <c r="F36" i="6"/>
  <c r="H36" i="6"/>
  <c r="L36" i="6"/>
  <c r="N36" i="6"/>
  <c r="R36" i="6"/>
  <c r="F37" i="6"/>
  <c r="H37" i="6"/>
  <c r="L37" i="6"/>
  <c r="N37" i="6"/>
  <c r="R37" i="6"/>
  <c r="F38" i="6"/>
  <c r="H38" i="6"/>
  <c r="L38" i="6"/>
  <c r="N38" i="6"/>
  <c r="R38" i="6"/>
  <c r="F39" i="6"/>
  <c r="H39" i="6"/>
  <c r="L39" i="6"/>
  <c r="N39" i="6"/>
  <c r="R39" i="6"/>
  <c r="F40" i="6"/>
  <c r="H40" i="6"/>
  <c r="L40" i="6"/>
  <c r="N40" i="6"/>
  <c r="R40" i="6"/>
  <c r="F41" i="6"/>
  <c r="H41" i="6"/>
  <c r="L41" i="6"/>
  <c r="N41" i="6"/>
  <c r="R41" i="6"/>
  <c r="F42" i="6"/>
  <c r="H42" i="6"/>
  <c r="L42" i="6"/>
  <c r="N42" i="6"/>
  <c r="R42" i="6"/>
  <c r="F43" i="6"/>
  <c r="H43" i="6"/>
  <c r="L43" i="6"/>
  <c r="N43" i="6"/>
  <c r="R43" i="6"/>
  <c r="F44" i="6"/>
  <c r="H44" i="6"/>
  <c r="L44" i="6"/>
  <c r="N44" i="6"/>
  <c r="R44" i="6"/>
  <c r="F45" i="6"/>
  <c r="H45" i="6"/>
  <c r="L45" i="6"/>
  <c r="N45" i="6"/>
  <c r="R45" i="6"/>
  <c r="F46" i="6"/>
  <c r="H46" i="6"/>
  <c r="L46" i="6"/>
  <c r="N46" i="6"/>
  <c r="R46" i="6"/>
  <c r="F47" i="6"/>
  <c r="H47" i="6"/>
  <c r="L47" i="6"/>
  <c r="N47" i="6"/>
  <c r="R47" i="6"/>
  <c r="F48" i="6"/>
  <c r="H48" i="6"/>
  <c r="L48" i="6"/>
  <c r="N48" i="6"/>
  <c r="R48" i="6"/>
  <c r="F49" i="6"/>
  <c r="H49" i="6"/>
  <c r="L49" i="6"/>
  <c r="N49" i="6"/>
  <c r="R49" i="6"/>
  <c r="F50" i="6"/>
  <c r="H50" i="6"/>
  <c r="L50" i="6"/>
  <c r="N50" i="6"/>
  <c r="R50" i="6"/>
  <c r="F51" i="6"/>
  <c r="H51" i="6"/>
  <c r="L51" i="6"/>
  <c r="N51" i="6"/>
  <c r="R51" i="6"/>
  <c r="F52" i="6"/>
  <c r="H52" i="6"/>
  <c r="L52" i="6"/>
  <c r="N52" i="6"/>
  <c r="R52" i="6"/>
  <c r="F53" i="6"/>
  <c r="H53" i="6"/>
  <c r="L53" i="6"/>
  <c r="N53" i="6"/>
  <c r="R53" i="6"/>
  <c r="F54" i="6"/>
  <c r="H54" i="6"/>
  <c r="L54" i="6"/>
  <c r="N54" i="6"/>
  <c r="R54" i="6"/>
  <c r="F55" i="6"/>
  <c r="H55" i="6"/>
  <c r="L55" i="6"/>
  <c r="N55" i="6"/>
  <c r="R55" i="6"/>
  <c r="F56" i="6"/>
  <c r="H56" i="6"/>
  <c r="L56" i="6"/>
  <c r="N56" i="6"/>
  <c r="R56" i="6"/>
  <c r="F57" i="6"/>
  <c r="H57" i="6"/>
  <c r="L57" i="6"/>
  <c r="N57" i="6"/>
  <c r="R57" i="6"/>
  <c r="F58" i="6"/>
  <c r="H58" i="6"/>
  <c r="L58" i="6"/>
  <c r="N58" i="6"/>
  <c r="R58" i="6"/>
  <c r="F59" i="6"/>
  <c r="H59" i="6"/>
  <c r="L59" i="6"/>
  <c r="N59" i="6"/>
  <c r="R59" i="6"/>
  <c r="F60" i="6"/>
  <c r="H60" i="6"/>
  <c r="L60" i="6"/>
  <c r="N60" i="6"/>
  <c r="R60" i="6"/>
  <c r="F61" i="6"/>
  <c r="H61" i="6"/>
  <c r="L61" i="6"/>
  <c r="N61" i="6"/>
  <c r="R61" i="6"/>
  <c r="F62" i="6"/>
  <c r="H62" i="6"/>
  <c r="L62" i="6"/>
  <c r="N62" i="6"/>
  <c r="R62" i="6"/>
  <c r="F63" i="6"/>
  <c r="H63" i="6"/>
  <c r="L63" i="6"/>
  <c r="N63" i="6"/>
  <c r="R63" i="6"/>
  <c r="F64" i="6"/>
  <c r="H64" i="6"/>
  <c r="L64" i="6"/>
  <c r="N64" i="6"/>
  <c r="R64" i="6"/>
  <c r="F65" i="6"/>
  <c r="H65" i="6"/>
  <c r="L65" i="6"/>
  <c r="N65" i="6"/>
  <c r="R65" i="6"/>
  <c r="F66" i="6"/>
  <c r="H66" i="6"/>
  <c r="L66" i="6"/>
  <c r="N66" i="6"/>
  <c r="R66" i="6"/>
  <c r="F67" i="6"/>
  <c r="H67" i="6"/>
  <c r="L67" i="6"/>
  <c r="N67" i="6"/>
  <c r="R67" i="6"/>
  <c r="F68" i="6"/>
  <c r="H68" i="6"/>
  <c r="L68" i="6"/>
  <c r="N68" i="6"/>
  <c r="R68" i="6"/>
  <c r="F69" i="6"/>
  <c r="H69" i="6"/>
  <c r="L69" i="6"/>
  <c r="N69" i="6"/>
  <c r="R69" i="6"/>
  <c r="F70" i="6"/>
  <c r="H70" i="6"/>
  <c r="L70" i="6"/>
  <c r="N70" i="6"/>
  <c r="R70" i="6"/>
  <c r="F71" i="6"/>
  <c r="H71" i="6"/>
  <c r="L71" i="6"/>
  <c r="N71" i="6"/>
  <c r="R71" i="6"/>
  <c r="F72" i="6"/>
  <c r="H72" i="6"/>
  <c r="L72" i="6"/>
  <c r="N72" i="6"/>
  <c r="R72" i="6"/>
  <c r="F73" i="6"/>
  <c r="H73" i="6"/>
  <c r="L73" i="6"/>
  <c r="N73" i="6"/>
  <c r="R73" i="6"/>
  <c r="F74" i="6"/>
  <c r="H74" i="6"/>
  <c r="L74" i="6"/>
  <c r="N74" i="6"/>
  <c r="R74" i="6"/>
  <c r="F75" i="6"/>
  <c r="H75" i="6"/>
  <c r="L75" i="6"/>
  <c r="N75" i="6"/>
  <c r="R75" i="6"/>
  <c r="F76" i="6"/>
  <c r="H76" i="6"/>
  <c r="L76" i="6"/>
  <c r="N76" i="6"/>
  <c r="R76" i="6"/>
  <c r="F77" i="6"/>
  <c r="H77" i="6"/>
  <c r="L77" i="6"/>
  <c r="N77" i="6"/>
  <c r="R77" i="6"/>
  <c r="F78" i="6"/>
  <c r="H78" i="6"/>
  <c r="L78" i="6"/>
  <c r="N78" i="6"/>
  <c r="R78" i="6"/>
  <c r="F79" i="6"/>
  <c r="H79" i="6"/>
  <c r="L79" i="6"/>
  <c r="N79" i="6"/>
  <c r="R79" i="6"/>
  <c r="F80" i="6"/>
  <c r="H80" i="6"/>
  <c r="L80" i="6"/>
  <c r="N80" i="6"/>
  <c r="R80" i="6"/>
  <c r="F81" i="6"/>
  <c r="H81" i="6"/>
  <c r="L81" i="6"/>
  <c r="N81" i="6"/>
  <c r="R81" i="6"/>
  <c r="F82" i="6"/>
  <c r="H82" i="6"/>
  <c r="L82" i="6"/>
  <c r="N82" i="6"/>
  <c r="R82" i="6"/>
  <c r="F83" i="6"/>
  <c r="H83" i="6"/>
  <c r="L83" i="6"/>
  <c r="N83" i="6"/>
  <c r="R83" i="6"/>
  <c r="F84" i="6"/>
  <c r="H84" i="6"/>
  <c r="L84" i="6"/>
  <c r="N84" i="6"/>
  <c r="R84" i="6"/>
  <c r="F85" i="6"/>
  <c r="H85" i="6"/>
  <c r="L85" i="6"/>
  <c r="N85" i="6"/>
  <c r="R85" i="6"/>
  <c r="F86" i="6"/>
  <c r="H86" i="6"/>
  <c r="L86" i="6"/>
  <c r="N86" i="6"/>
  <c r="R86" i="6"/>
  <c r="F87" i="6"/>
  <c r="H87" i="6"/>
  <c r="L87" i="6"/>
  <c r="N87" i="6"/>
  <c r="R87" i="6"/>
  <c r="F88" i="6"/>
  <c r="H88" i="6"/>
  <c r="L88" i="6"/>
  <c r="N88" i="6"/>
  <c r="R88" i="6"/>
  <c r="F89" i="6"/>
  <c r="H89" i="6"/>
  <c r="L89" i="6"/>
  <c r="N89" i="6"/>
  <c r="R89" i="6"/>
  <c r="F90" i="6"/>
  <c r="H90" i="6"/>
  <c r="L90" i="6"/>
  <c r="N90" i="6"/>
  <c r="R90" i="6"/>
  <c r="F91" i="6"/>
  <c r="H91" i="6"/>
  <c r="L91" i="6"/>
  <c r="N91" i="6"/>
  <c r="R91" i="6"/>
  <c r="F12" i="6"/>
  <c r="H12" i="6"/>
  <c r="L12" i="6"/>
  <c r="N12" i="6"/>
  <c r="R12" i="6"/>
  <c r="A14" i="6" l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I4" i="22"/>
  <c r="E13" i="15" s="1"/>
  <c r="P12" i="17" l="1"/>
  <c r="I5" i="22" l="1"/>
  <c r="I3" i="22"/>
  <c r="O6" i="17" s="1"/>
  <c r="I2" i="22"/>
  <c r="N11" i="11" l="1"/>
  <c r="R11" i="11" s="1"/>
  <c r="N23" i="11"/>
  <c r="R23" i="11" s="1"/>
  <c r="N35" i="11"/>
  <c r="R35" i="11" s="1"/>
  <c r="N47" i="11"/>
  <c r="R47" i="11" s="1"/>
  <c r="N59" i="11"/>
  <c r="R59" i="11" s="1"/>
  <c r="N71" i="11"/>
  <c r="R71" i="11" s="1"/>
  <c r="N83" i="11"/>
  <c r="R83" i="11" s="1"/>
  <c r="N95" i="11"/>
  <c r="R95" i="11" s="1"/>
  <c r="N8" i="11"/>
  <c r="L20" i="11"/>
  <c r="P20" i="11" s="1"/>
  <c r="L32" i="11"/>
  <c r="P32" i="11" s="1"/>
  <c r="L44" i="11"/>
  <c r="P44" i="11" s="1"/>
  <c r="L56" i="11"/>
  <c r="P56" i="11" s="1"/>
  <c r="L68" i="11"/>
  <c r="P68" i="11" s="1"/>
  <c r="L80" i="11"/>
  <c r="P80" i="11" s="1"/>
  <c r="L92" i="11"/>
  <c r="P92" i="11" s="1"/>
  <c r="L104" i="11"/>
  <c r="P104" i="11" s="1"/>
  <c r="M12" i="10"/>
  <c r="M24" i="10"/>
  <c r="M36" i="10"/>
  <c r="M48" i="10"/>
  <c r="M60" i="10"/>
  <c r="M72" i="10"/>
  <c r="M84" i="10"/>
  <c r="M96" i="10"/>
  <c r="M9" i="10"/>
  <c r="L9" i="10" s="1"/>
  <c r="P24" i="6"/>
  <c r="P36" i="6"/>
  <c r="P48" i="6"/>
  <c r="P60" i="6"/>
  <c r="P72" i="6"/>
  <c r="P84" i="6"/>
  <c r="P96" i="6"/>
  <c r="P108" i="6"/>
  <c r="O22" i="6"/>
  <c r="O34" i="6"/>
  <c r="O46" i="6"/>
  <c r="O58" i="6"/>
  <c r="O70" i="6"/>
  <c r="O82" i="6"/>
  <c r="O94" i="6"/>
  <c r="O106" i="6"/>
  <c r="J19" i="6"/>
  <c r="J31" i="6"/>
  <c r="J43" i="6"/>
  <c r="J55" i="6"/>
  <c r="J67" i="6"/>
  <c r="J79" i="6"/>
  <c r="J91" i="6"/>
  <c r="J103" i="6"/>
  <c r="I16" i="6"/>
  <c r="I28" i="6"/>
  <c r="I40" i="6"/>
  <c r="N12" i="11"/>
  <c r="R12" i="11" s="1"/>
  <c r="N24" i="11"/>
  <c r="R24" i="11" s="1"/>
  <c r="N36" i="11"/>
  <c r="R36" i="11" s="1"/>
  <c r="N48" i="11"/>
  <c r="R48" i="11" s="1"/>
  <c r="N60" i="11"/>
  <c r="R60" i="11" s="1"/>
  <c r="N72" i="11"/>
  <c r="R72" i="11" s="1"/>
  <c r="N84" i="11"/>
  <c r="R84" i="11" s="1"/>
  <c r="N96" i="11"/>
  <c r="R96" i="11" s="1"/>
  <c r="L9" i="11"/>
  <c r="P9" i="11" s="1"/>
  <c r="L21" i="11"/>
  <c r="P21" i="11" s="1"/>
  <c r="L33" i="11"/>
  <c r="P33" i="11" s="1"/>
  <c r="L45" i="11"/>
  <c r="P45" i="11" s="1"/>
  <c r="L57" i="11"/>
  <c r="P57" i="11" s="1"/>
  <c r="L69" i="11"/>
  <c r="P69" i="11" s="1"/>
  <c r="L81" i="11"/>
  <c r="P81" i="11" s="1"/>
  <c r="L93" i="11"/>
  <c r="P93" i="11" s="1"/>
  <c r="L105" i="11"/>
  <c r="P105" i="11" s="1"/>
  <c r="M13" i="10"/>
  <c r="M25" i="10"/>
  <c r="M37" i="10"/>
  <c r="M49" i="10"/>
  <c r="M61" i="10"/>
  <c r="M73" i="10"/>
  <c r="M85" i="10"/>
  <c r="M97" i="10"/>
  <c r="P111" i="6"/>
  <c r="P25" i="6"/>
  <c r="P37" i="6"/>
  <c r="P49" i="6"/>
  <c r="P61" i="6"/>
  <c r="P73" i="6"/>
  <c r="P85" i="6"/>
  <c r="P97" i="6"/>
  <c r="P109" i="6"/>
  <c r="O23" i="6"/>
  <c r="O35" i="6"/>
  <c r="O47" i="6"/>
  <c r="O59" i="6"/>
  <c r="O71" i="6"/>
  <c r="O83" i="6"/>
  <c r="O95" i="6"/>
  <c r="O107" i="6"/>
  <c r="J20" i="6"/>
  <c r="J32" i="6"/>
  <c r="J44" i="6"/>
  <c r="J56" i="6"/>
  <c r="J68" i="6"/>
  <c r="J80" i="6"/>
  <c r="J92" i="6"/>
  <c r="J104" i="6"/>
  <c r="I17" i="6"/>
  <c r="I29" i="6"/>
  <c r="I41" i="6"/>
  <c r="N13" i="11"/>
  <c r="R13" i="11" s="1"/>
  <c r="N25" i="11"/>
  <c r="R25" i="11" s="1"/>
  <c r="N37" i="11"/>
  <c r="R37" i="11" s="1"/>
  <c r="N49" i="11"/>
  <c r="R49" i="11" s="1"/>
  <c r="N61" i="11"/>
  <c r="R61" i="11" s="1"/>
  <c r="N73" i="11"/>
  <c r="R73" i="11" s="1"/>
  <c r="N85" i="11"/>
  <c r="R85" i="11" s="1"/>
  <c r="N97" i="11"/>
  <c r="R97" i="11" s="1"/>
  <c r="L10" i="11"/>
  <c r="P10" i="11" s="1"/>
  <c r="L22" i="11"/>
  <c r="P22" i="11" s="1"/>
  <c r="L34" i="11"/>
  <c r="P34" i="11" s="1"/>
  <c r="L46" i="11"/>
  <c r="P46" i="11" s="1"/>
  <c r="L58" i="11"/>
  <c r="P58" i="11" s="1"/>
  <c r="L70" i="11"/>
  <c r="P70" i="11" s="1"/>
  <c r="L82" i="11"/>
  <c r="P82" i="11" s="1"/>
  <c r="L94" i="11"/>
  <c r="P94" i="11" s="1"/>
  <c r="L106" i="11"/>
  <c r="P106" i="11" s="1"/>
  <c r="M14" i="10"/>
  <c r="M26" i="10"/>
  <c r="M38" i="10"/>
  <c r="M50" i="10"/>
  <c r="M62" i="10"/>
  <c r="M74" i="10"/>
  <c r="M86" i="10"/>
  <c r="M98" i="10"/>
  <c r="P14" i="6"/>
  <c r="P26" i="6"/>
  <c r="P38" i="6"/>
  <c r="P50" i="6"/>
  <c r="P62" i="6"/>
  <c r="P74" i="6"/>
  <c r="P86" i="6"/>
  <c r="P98" i="6"/>
  <c r="P110" i="6"/>
  <c r="O24" i="6"/>
  <c r="O36" i="6"/>
  <c r="O48" i="6"/>
  <c r="O60" i="6"/>
  <c r="O72" i="6"/>
  <c r="O84" i="6"/>
  <c r="O96" i="6"/>
  <c r="O108" i="6"/>
  <c r="J21" i="6"/>
  <c r="J33" i="6"/>
  <c r="J45" i="6"/>
  <c r="J57" i="6"/>
  <c r="J69" i="6"/>
  <c r="J81" i="6"/>
  <c r="J93" i="6"/>
  <c r="J105" i="6"/>
  <c r="I18" i="6"/>
  <c r="I30" i="6"/>
  <c r="N14" i="11"/>
  <c r="R14" i="11" s="1"/>
  <c r="N26" i="11"/>
  <c r="R26" i="11" s="1"/>
  <c r="N38" i="11"/>
  <c r="R38" i="11" s="1"/>
  <c r="N50" i="11"/>
  <c r="R50" i="11" s="1"/>
  <c r="N62" i="11"/>
  <c r="R62" i="11" s="1"/>
  <c r="N74" i="11"/>
  <c r="R74" i="11" s="1"/>
  <c r="N86" i="11"/>
  <c r="R86" i="11" s="1"/>
  <c r="N98" i="11"/>
  <c r="R98" i="11" s="1"/>
  <c r="L11" i="11"/>
  <c r="P11" i="11" s="1"/>
  <c r="L23" i="11"/>
  <c r="P23" i="11" s="1"/>
  <c r="L35" i="11"/>
  <c r="P35" i="11" s="1"/>
  <c r="L47" i="11"/>
  <c r="P47" i="11" s="1"/>
  <c r="L59" i="11"/>
  <c r="P59" i="11" s="1"/>
  <c r="L71" i="11"/>
  <c r="P71" i="11" s="1"/>
  <c r="L83" i="11"/>
  <c r="P83" i="11" s="1"/>
  <c r="L95" i="11"/>
  <c r="P95" i="11" s="1"/>
  <c r="L8" i="11"/>
  <c r="M15" i="10"/>
  <c r="M27" i="10"/>
  <c r="M39" i="10"/>
  <c r="M51" i="10"/>
  <c r="M63" i="10"/>
  <c r="M75" i="10"/>
  <c r="M87" i="10"/>
  <c r="M99" i="10"/>
  <c r="P15" i="6"/>
  <c r="P27" i="6"/>
  <c r="P39" i="6"/>
  <c r="P51" i="6"/>
  <c r="P63" i="6"/>
  <c r="P75" i="6"/>
  <c r="P87" i="6"/>
  <c r="P99" i="6"/>
  <c r="P13" i="6"/>
  <c r="O25" i="6"/>
  <c r="O37" i="6"/>
  <c r="O49" i="6"/>
  <c r="O61" i="6"/>
  <c r="O73" i="6"/>
  <c r="O85" i="6"/>
  <c r="O97" i="6"/>
  <c r="O109" i="6"/>
  <c r="J22" i="6"/>
  <c r="J34" i="6"/>
  <c r="J46" i="6"/>
  <c r="J58" i="6"/>
  <c r="J70" i="6"/>
  <c r="J82" i="6"/>
  <c r="J94" i="6"/>
  <c r="J106" i="6"/>
  <c r="I19" i="6"/>
  <c r="I31" i="6"/>
  <c r="N15" i="11"/>
  <c r="R15" i="11" s="1"/>
  <c r="N27" i="11"/>
  <c r="R27" i="11" s="1"/>
  <c r="N39" i="11"/>
  <c r="R39" i="11" s="1"/>
  <c r="N51" i="11"/>
  <c r="R51" i="11" s="1"/>
  <c r="N63" i="11"/>
  <c r="R63" i="11" s="1"/>
  <c r="N75" i="11"/>
  <c r="R75" i="11" s="1"/>
  <c r="N87" i="11"/>
  <c r="R87" i="11" s="1"/>
  <c r="N99" i="11"/>
  <c r="R99" i="11" s="1"/>
  <c r="L12" i="11"/>
  <c r="P12" i="11" s="1"/>
  <c r="L24" i="11"/>
  <c r="P24" i="11" s="1"/>
  <c r="L36" i="11"/>
  <c r="P36" i="11" s="1"/>
  <c r="L48" i="11"/>
  <c r="P48" i="11" s="1"/>
  <c r="L60" i="11"/>
  <c r="P60" i="11" s="1"/>
  <c r="L72" i="11"/>
  <c r="P72" i="11" s="1"/>
  <c r="L84" i="11"/>
  <c r="P84" i="11" s="1"/>
  <c r="L96" i="11"/>
  <c r="P96" i="11" s="1"/>
  <c r="M16" i="10"/>
  <c r="M28" i="10"/>
  <c r="M40" i="10"/>
  <c r="M52" i="10"/>
  <c r="M64" i="10"/>
  <c r="M76" i="10"/>
  <c r="M88" i="10"/>
  <c r="M100" i="10"/>
  <c r="P16" i="6"/>
  <c r="P28" i="6"/>
  <c r="P40" i="6"/>
  <c r="P52" i="6"/>
  <c r="P64" i="6"/>
  <c r="P76" i="6"/>
  <c r="P88" i="6"/>
  <c r="P100" i="6"/>
  <c r="O14" i="6"/>
  <c r="O26" i="6"/>
  <c r="O38" i="6"/>
  <c r="O50" i="6"/>
  <c r="O62" i="6"/>
  <c r="O74" i="6"/>
  <c r="O86" i="6"/>
  <c r="O98" i="6"/>
  <c r="O110" i="6"/>
  <c r="J23" i="6"/>
  <c r="J35" i="6"/>
  <c r="J47" i="6"/>
  <c r="J59" i="6"/>
  <c r="J71" i="6"/>
  <c r="J83" i="6"/>
  <c r="J95" i="6"/>
  <c r="J107" i="6"/>
  <c r="I20" i="6"/>
  <c r="I32" i="6"/>
  <c r="N17" i="11"/>
  <c r="R17" i="11" s="1"/>
  <c r="N29" i="11"/>
  <c r="R29" i="11" s="1"/>
  <c r="N41" i="11"/>
  <c r="R41" i="11" s="1"/>
  <c r="N53" i="11"/>
  <c r="R53" i="11" s="1"/>
  <c r="N65" i="11"/>
  <c r="R65" i="11" s="1"/>
  <c r="N77" i="11"/>
  <c r="R77" i="11" s="1"/>
  <c r="N89" i="11"/>
  <c r="R89" i="11" s="1"/>
  <c r="N101" i="11"/>
  <c r="R101" i="11" s="1"/>
  <c r="L14" i="11"/>
  <c r="P14" i="11" s="1"/>
  <c r="L26" i="11"/>
  <c r="P26" i="11" s="1"/>
  <c r="L38" i="11"/>
  <c r="P38" i="11" s="1"/>
  <c r="L50" i="11"/>
  <c r="P50" i="11" s="1"/>
  <c r="L62" i="11"/>
  <c r="P62" i="11" s="1"/>
  <c r="L74" i="11"/>
  <c r="P74" i="11" s="1"/>
  <c r="L86" i="11"/>
  <c r="P86" i="11" s="1"/>
  <c r="L98" i="11"/>
  <c r="P98" i="11" s="1"/>
  <c r="M18" i="10"/>
  <c r="M30" i="10"/>
  <c r="M42" i="10"/>
  <c r="M54" i="10"/>
  <c r="M66" i="10"/>
  <c r="M78" i="10"/>
  <c r="M90" i="10"/>
  <c r="M102" i="10"/>
  <c r="P18" i="6"/>
  <c r="P30" i="6"/>
  <c r="P42" i="6"/>
  <c r="P54" i="6"/>
  <c r="P66" i="6"/>
  <c r="P78" i="6"/>
  <c r="P90" i="6"/>
  <c r="P102" i="6"/>
  <c r="O16" i="6"/>
  <c r="O28" i="6"/>
  <c r="O40" i="6"/>
  <c r="O52" i="6"/>
  <c r="O64" i="6"/>
  <c r="O76" i="6"/>
  <c r="O88" i="6"/>
  <c r="O100" i="6"/>
  <c r="O13" i="6"/>
  <c r="J25" i="6"/>
  <c r="J37" i="6"/>
  <c r="J49" i="6"/>
  <c r="J61" i="6"/>
  <c r="J73" i="6"/>
  <c r="J85" i="6"/>
  <c r="J97" i="6"/>
  <c r="J109" i="6"/>
  <c r="I22" i="6"/>
  <c r="I34" i="6"/>
  <c r="N9" i="11"/>
  <c r="R9" i="11" s="1"/>
  <c r="N33" i="11"/>
  <c r="R33" i="11" s="1"/>
  <c r="N57" i="11"/>
  <c r="R57" i="11" s="1"/>
  <c r="N81" i="11"/>
  <c r="R81" i="11" s="1"/>
  <c r="N105" i="11"/>
  <c r="R105" i="11" s="1"/>
  <c r="L30" i="11"/>
  <c r="P30" i="11" s="1"/>
  <c r="L54" i="11"/>
  <c r="P54" i="11" s="1"/>
  <c r="L78" i="11"/>
  <c r="P78" i="11" s="1"/>
  <c r="L102" i="11"/>
  <c r="P102" i="11" s="1"/>
  <c r="M10" i="10"/>
  <c r="M34" i="10"/>
  <c r="M58" i="10"/>
  <c r="M82" i="10"/>
  <c r="M106" i="10"/>
  <c r="P34" i="6"/>
  <c r="P58" i="6"/>
  <c r="P82" i="6"/>
  <c r="P106" i="6"/>
  <c r="O32" i="6"/>
  <c r="O56" i="6"/>
  <c r="O80" i="6"/>
  <c r="O104" i="6"/>
  <c r="J29" i="6"/>
  <c r="J53" i="6"/>
  <c r="J77" i="6"/>
  <c r="J101" i="6"/>
  <c r="I26" i="6"/>
  <c r="I46" i="6"/>
  <c r="I58" i="6"/>
  <c r="I70" i="6"/>
  <c r="I82" i="6"/>
  <c r="I94" i="6"/>
  <c r="I106" i="6"/>
  <c r="D102" i="6"/>
  <c r="D95" i="6"/>
  <c r="D17" i="6"/>
  <c r="D29" i="6"/>
  <c r="D41" i="6"/>
  <c r="D53" i="6"/>
  <c r="D65" i="6"/>
  <c r="D77" i="6"/>
  <c r="C16" i="6"/>
  <c r="C28" i="6"/>
  <c r="C40" i="6"/>
  <c r="C52" i="6"/>
  <c r="C64" i="6"/>
  <c r="C76" i="6"/>
  <c r="C88" i="6"/>
  <c r="C100" i="6"/>
  <c r="C13" i="6"/>
  <c r="C65" i="6"/>
  <c r="N68" i="11"/>
  <c r="R68" i="11" s="1"/>
  <c r="O19" i="6"/>
  <c r="I51" i="6"/>
  <c r="I111" i="6"/>
  <c r="D46" i="6"/>
  <c r="C21" i="6"/>
  <c r="N10" i="11"/>
  <c r="R10" i="11" s="1"/>
  <c r="N34" i="11"/>
  <c r="R34" i="11" s="1"/>
  <c r="N58" i="11"/>
  <c r="R58" i="11" s="1"/>
  <c r="N82" i="11"/>
  <c r="R82" i="11" s="1"/>
  <c r="N106" i="11"/>
  <c r="R106" i="11" s="1"/>
  <c r="L31" i="11"/>
  <c r="P31" i="11" s="1"/>
  <c r="L55" i="11"/>
  <c r="P55" i="11" s="1"/>
  <c r="L79" i="11"/>
  <c r="P79" i="11" s="1"/>
  <c r="L103" i="11"/>
  <c r="P103" i="11" s="1"/>
  <c r="M11" i="10"/>
  <c r="M35" i="10"/>
  <c r="M59" i="10"/>
  <c r="M83" i="10"/>
  <c r="M107" i="10"/>
  <c r="P35" i="6"/>
  <c r="P59" i="6"/>
  <c r="P83" i="6"/>
  <c r="P107" i="6"/>
  <c r="O33" i="6"/>
  <c r="O57" i="6"/>
  <c r="O81" i="6"/>
  <c r="O105" i="6"/>
  <c r="J30" i="6"/>
  <c r="J54" i="6"/>
  <c r="J78" i="6"/>
  <c r="J102" i="6"/>
  <c r="I27" i="6"/>
  <c r="I47" i="6"/>
  <c r="I59" i="6"/>
  <c r="I71" i="6"/>
  <c r="I83" i="6"/>
  <c r="I95" i="6"/>
  <c r="I107" i="6"/>
  <c r="D103" i="6"/>
  <c r="D96" i="6"/>
  <c r="D18" i="6"/>
  <c r="D30" i="6"/>
  <c r="D42" i="6"/>
  <c r="D54" i="6"/>
  <c r="D66" i="6"/>
  <c r="D78" i="6"/>
  <c r="C17" i="6"/>
  <c r="C29" i="6"/>
  <c r="C41" i="6"/>
  <c r="C53" i="6"/>
  <c r="C77" i="6"/>
  <c r="C89" i="6"/>
  <c r="C101" i="6"/>
  <c r="P21" i="6"/>
  <c r="O91" i="6"/>
  <c r="J88" i="6"/>
  <c r="I75" i="6"/>
  <c r="D90" i="6"/>
  <c r="D70" i="6"/>
  <c r="N16" i="11"/>
  <c r="R16" i="11" s="1"/>
  <c r="N40" i="11"/>
  <c r="R40" i="11" s="1"/>
  <c r="N64" i="11"/>
  <c r="R64" i="11" s="1"/>
  <c r="N88" i="11"/>
  <c r="R88" i="11" s="1"/>
  <c r="L13" i="11"/>
  <c r="P13" i="11" s="1"/>
  <c r="L37" i="11"/>
  <c r="P37" i="11" s="1"/>
  <c r="L61" i="11"/>
  <c r="P61" i="11" s="1"/>
  <c r="L85" i="11"/>
  <c r="P85" i="11" s="1"/>
  <c r="M17" i="10"/>
  <c r="M41" i="10"/>
  <c r="M65" i="10"/>
  <c r="M89" i="10"/>
  <c r="P17" i="6"/>
  <c r="P41" i="6"/>
  <c r="P65" i="6"/>
  <c r="P89" i="6"/>
  <c r="O15" i="6"/>
  <c r="O39" i="6"/>
  <c r="O63" i="6"/>
  <c r="O87" i="6"/>
  <c r="O111" i="6"/>
  <c r="J36" i="6"/>
  <c r="J60" i="6"/>
  <c r="J84" i="6"/>
  <c r="J108" i="6"/>
  <c r="I33" i="6"/>
  <c r="I48" i="6"/>
  <c r="I60" i="6"/>
  <c r="I72" i="6"/>
  <c r="I84" i="6"/>
  <c r="I96" i="6"/>
  <c r="I108" i="6"/>
  <c r="D104" i="6"/>
  <c r="D97" i="6"/>
  <c r="D19" i="6"/>
  <c r="D31" i="6"/>
  <c r="D43" i="6"/>
  <c r="D55" i="6"/>
  <c r="D67" i="6"/>
  <c r="D79" i="6"/>
  <c r="C18" i="6"/>
  <c r="C30" i="6"/>
  <c r="C42" i="6"/>
  <c r="C54" i="6"/>
  <c r="C66" i="6"/>
  <c r="C78" i="6"/>
  <c r="C90" i="6"/>
  <c r="C102" i="6"/>
  <c r="N44" i="11"/>
  <c r="R44" i="11" s="1"/>
  <c r="N92" i="11"/>
  <c r="R92" i="11" s="1"/>
  <c r="L41" i="11"/>
  <c r="P41" i="11" s="1"/>
  <c r="L89" i="11"/>
  <c r="P89" i="11" s="1"/>
  <c r="M21" i="10"/>
  <c r="M45" i="10"/>
  <c r="M69" i="10"/>
  <c r="M93" i="10"/>
  <c r="P69" i="6"/>
  <c r="J16" i="6"/>
  <c r="J13" i="6"/>
  <c r="I87" i="6"/>
  <c r="D22" i="6"/>
  <c r="D82" i="6"/>
  <c r="N18" i="11"/>
  <c r="R18" i="11" s="1"/>
  <c r="N42" i="11"/>
  <c r="R42" i="11" s="1"/>
  <c r="N66" i="11"/>
  <c r="R66" i="11" s="1"/>
  <c r="N90" i="11"/>
  <c r="R90" i="11" s="1"/>
  <c r="L15" i="11"/>
  <c r="P15" i="11" s="1"/>
  <c r="L39" i="11"/>
  <c r="P39" i="11" s="1"/>
  <c r="L63" i="11"/>
  <c r="P63" i="11" s="1"/>
  <c r="L87" i="11"/>
  <c r="P87" i="11" s="1"/>
  <c r="M19" i="10"/>
  <c r="M43" i="10"/>
  <c r="M67" i="10"/>
  <c r="M91" i="10"/>
  <c r="P19" i="6"/>
  <c r="P43" i="6"/>
  <c r="P67" i="6"/>
  <c r="P91" i="6"/>
  <c r="O17" i="6"/>
  <c r="O41" i="6"/>
  <c r="O65" i="6"/>
  <c r="O89" i="6"/>
  <c r="J14" i="6"/>
  <c r="J38" i="6"/>
  <c r="J62" i="6"/>
  <c r="J86" i="6"/>
  <c r="J110" i="6"/>
  <c r="I35" i="6"/>
  <c r="I49" i="6"/>
  <c r="I61" i="6"/>
  <c r="I73" i="6"/>
  <c r="I85" i="6"/>
  <c r="I97" i="6"/>
  <c r="I109" i="6"/>
  <c r="D105" i="6"/>
  <c r="D88" i="6"/>
  <c r="D20" i="6"/>
  <c r="D32" i="6"/>
  <c r="D44" i="6"/>
  <c r="D56" i="6"/>
  <c r="D68" i="6"/>
  <c r="D80" i="6"/>
  <c r="C19" i="6"/>
  <c r="C31" i="6"/>
  <c r="C43" i="6"/>
  <c r="C55" i="6"/>
  <c r="C67" i="6"/>
  <c r="C79" i="6"/>
  <c r="C91" i="6"/>
  <c r="C103" i="6"/>
  <c r="L17" i="11"/>
  <c r="P17" i="11" s="1"/>
  <c r="P45" i="6"/>
  <c r="O67" i="6"/>
  <c r="J64" i="6"/>
  <c r="I63" i="6"/>
  <c r="D107" i="6"/>
  <c r="D58" i="6"/>
  <c r="N19" i="11"/>
  <c r="R19" i="11" s="1"/>
  <c r="N43" i="11"/>
  <c r="R43" i="11" s="1"/>
  <c r="N67" i="11"/>
  <c r="R67" i="11" s="1"/>
  <c r="N91" i="11"/>
  <c r="R91" i="11" s="1"/>
  <c r="L16" i="11"/>
  <c r="P16" i="11" s="1"/>
  <c r="L40" i="11"/>
  <c r="P40" i="11" s="1"/>
  <c r="L64" i="11"/>
  <c r="P64" i="11" s="1"/>
  <c r="L88" i="11"/>
  <c r="P88" i="11" s="1"/>
  <c r="M20" i="10"/>
  <c r="M44" i="10"/>
  <c r="M68" i="10"/>
  <c r="M92" i="10"/>
  <c r="P20" i="6"/>
  <c r="P44" i="6"/>
  <c r="P68" i="6"/>
  <c r="P92" i="6"/>
  <c r="O18" i="6"/>
  <c r="O42" i="6"/>
  <c r="O66" i="6"/>
  <c r="O90" i="6"/>
  <c r="J15" i="6"/>
  <c r="J39" i="6"/>
  <c r="J63" i="6"/>
  <c r="J87" i="6"/>
  <c r="J111" i="6"/>
  <c r="I36" i="6"/>
  <c r="I50" i="6"/>
  <c r="I62" i="6"/>
  <c r="I74" i="6"/>
  <c r="I86" i="6"/>
  <c r="I98" i="6"/>
  <c r="I110" i="6"/>
  <c r="D106" i="6"/>
  <c r="D89" i="6"/>
  <c r="D21" i="6"/>
  <c r="D33" i="6"/>
  <c r="D45" i="6"/>
  <c r="D57" i="6"/>
  <c r="D69" i="6"/>
  <c r="D81" i="6"/>
  <c r="C20" i="6"/>
  <c r="C32" i="6"/>
  <c r="C44" i="6"/>
  <c r="C56" i="6"/>
  <c r="C68" i="6"/>
  <c r="C80" i="6"/>
  <c r="C92" i="6"/>
  <c r="C104" i="6"/>
  <c r="N20" i="11"/>
  <c r="R20" i="11" s="1"/>
  <c r="L65" i="11"/>
  <c r="P65" i="11" s="1"/>
  <c r="P93" i="6"/>
  <c r="O43" i="6"/>
  <c r="J40" i="6"/>
  <c r="I37" i="6"/>
  <c r="I99" i="6"/>
  <c r="D34" i="6"/>
  <c r="N21" i="11"/>
  <c r="R21" i="11" s="1"/>
  <c r="N45" i="11"/>
  <c r="R45" i="11" s="1"/>
  <c r="N69" i="11"/>
  <c r="R69" i="11" s="1"/>
  <c r="N93" i="11"/>
  <c r="R93" i="11" s="1"/>
  <c r="L18" i="11"/>
  <c r="P18" i="11" s="1"/>
  <c r="L42" i="11"/>
  <c r="P42" i="11" s="1"/>
  <c r="L66" i="11"/>
  <c r="P66" i="11" s="1"/>
  <c r="L90" i="11"/>
  <c r="P90" i="11" s="1"/>
  <c r="M22" i="10"/>
  <c r="M46" i="10"/>
  <c r="M70" i="10"/>
  <c r="M94" i="10"/>
  <c r="P22" i="6"/>
  <c r="P46" i="6"/>
  <c r="P70" i="6"/>
  <c r="P94" i="6"/>
  <c r="O20" i="6"/>
  <c r="O44" i="6"/>
  <c r="O68" i="6"/>
  <c r="O92" i="6"/>
  <c r="J17" i="6"/>
  <c r="J41" i="6"/>
  <c r="J65" i="6"/>
  <c r="J89" i="6"/>
  <c r="I14" i="6"/>
  <c r="I38" i="6"/>
  <c r="I52" i="6"/>
  <c r="I64" i="6"/>
  <c r="I76" i="6"/>
  <c r="I88" i="6"/>
  <c r="I100" i="6"/>
  <c r="I13" i="6"/>
  <c r="D108" i="6"/>
  <c r="D91" i="6"/>
  <c r="D23" i="6"/>
  <c r="D35" i="6"/>
  <c r="D47" i="6"/>
  <c r="D59" i="6"/>
  <c r="D71" i="6"/>
  <c r="D83" i="6"/>
  <c r="C22" i="6"/>
  <c r="C34" i="6"/>
  <c r="C46" i="6"/>
  <c r="C58" i="6"/>
  <c r="C70" i="6"/>
  <c r="C82" i="6"/>
  <c r="C94" i="6"/>
  <c r="C106" i="6"/>
  <c r="N22" i="11"/>
  <c r="R22" i="11" s="1"/>
  <c r="N46" i="11"/>
  <c r="R46" i="11" s="1"/>
  <c r="N70" i="11"/>
  <c r="R70" i="11" s="1"/>
  <c r="N94" i="11"/>
  <c r="R94" i="11" s="1"/>
  <c r="L19" i="11"/>
  <c r="P19" i="11" s="1"/>
  <c r="L43" i="11"/>
  <c r="P43" i="11" s="1"/>
  <c r="L67" i="11"/>
  <c r="P67" i="11" s="1"/>
  <c r="L91" i="11"/>
  <c r="P91" i="11" s="1"/>
  <c r="M23" i="10"/>
  <c r="M47" i="10"/>
  <c r="M71" i="10"/>
  <c r="M95" i="10"/>
  <c r="P23" i="6"/>
  <c r="P47" i="6"/>
  <c r="P71" i="6"/>
  <c r="P95" i="6"/>
  <c r="O21" i="6"/>
  <c r="O45" i="6"/>
  <c r="O69" i="6"/>
  <c r="O93" i="6"/>
  <c r="J18" i="6"/>
  <c r="J42" i="6"/>
  <c r="J66" i="6"/>
  <c r="J90" i="6"/>
  <c r="I15" i="6"/>
  <c r="I39" i="6"/>
  <c r="I53" i="6"/>
  <c r="I65" i="6"/>
  <c r="I77" i="6"/>
  <c r="I89" i="6"/>
  <c r="I101" i="6"/>
  <c r="D111" i="6"/>
  <c r="D109" i="6"/>
  <c r="D87" i="6"/>
  <c r="D24" i="6"/>
  <c r="D36" i="6"/>
  <c r="D48" i="6"/>
  <c r="D60" i="6"/>
  <c r="D72" i="6"/>
  <c r="D84" i="6"/>
  <c r="C23" i="6"/>
  <c r="C35" i="6"/>
  <c r="C47" i="6"/>
  <c r="C59" i="6"/>
  <c r="C71" i="6"/>
  <c r="C83" i="6"/>
  <c r="C95" i="6"/>
  <c r="C107" i="6"/>
  <c r="N54" i="11"/>
  <c r="R54" i="11" s="1"/>
  <c r="L27" i="11"/>
  <c r="P27" i="11" s="1"/>
  <c r="L99" i="11"/>
  <c r="P99" i="11" s="1"/>
  <c r="M31" i="10"/>
  <c r="M103" i="10"/>
  <c r="P79" i="6"/>
  <c r="O53" i="6"/>
  <c r="J26" i="6"/>
  <c r="J98" i="6"/>
  <c r="I55" i="6"/>
  <c r="I91" i="6"/>
  <c r="D92" i="6"/>
  <c r="D38" i="6"/>
  <c r="D74" i="6"/>
  <c r="C36" i="6"/>
  <c r="C62" i="6"/>
  <c r="C93" i="6"/>
  <c r="N79" i="11"/>
  <c r="R79" i="11" s="1"/>
  <c r="L52" i="11"/>
  <c r="P52" i="11" s="1"/>
  <c r="P104" i="6"/>
  <c r="C105" i="6"/>
  <c r="I42" i="6"/>
  <c r="C24" i="6"/>
  <c r="N55" i="11"/>
  <c r="R55" i="11" s="1"/>
  <c r="L28" i="11"/>
  <c r="P28" i="11" s="1"/>
  <c r="L100" i="11"/>
  <c r="P100" i="11" s="1"/>
  <c r="M32" i="10"/>
  <c r="M104" i="10"/>
  <c r="P80" i="6"/>
  <c r="O54" i="6"/>
  <c r="J27" i="6"/>
  <c r="J99" i="6"/>
  <c r="I56" i="6"/>
  <c r="I92" i="6"/>
  <c r="D93" i="6"/>
  <c r="D39" i="6"/>
  <c r="D75" i="6"/>
  <c r="C37" i="6"/>
  <c r="C63" i="6"/>
  <c r="C96" i="6"/>
  <c r="P32" i="6"/>
  <c r="J51" i="6"/>
  <c r="I24" i="6"/>
  <c r="I68" i="6"/>
  <c r="D15" i="6"/>
  <c r="C48" i="6"/>
  <c r="J72" i="6"/>
  <c r="N30" i="11"/>
  <c r="R30" i="11" s="1"/>
  <c r="O29" i="6"/>
  <c r="O101" i="6"/>
  <c r="J74" i="6"/>
  <c r="I79" i="6"/>
  <c r="D26" i="6"/>
  <c r="C51" i="6"/>
  <c r="J75" i="6"/>
  <c r="O103" i="6"/>
  <c r="O51" i="6"/>
  <c r="N56" i="11"/>
  <c r="R56" i="11" s="1"/>
  <c r="L29" i="11"/>
  <c r="P29" i="11" s="1"/>
  <c r="L101" i="11"/>
  <c r="P101" i="11" s="1"/>
  <c r="M33" i="10"/>
  <c r="M105" i="10"/>
  <c r="P81" i="6"/>
  <c r="O55" i="6"/>
  <c r="J28" i="6"/>
  <c r="J100" i="6"/>
  <c r="I57" i="6"/>
  <c r="I93" i="6"/>
  <c r="D94" i="6"/>
  <c r="D40" i="6"/>
  <c r="D76" i="6"/>
  <c r="C38" i="6"/>
  <c r="C69" i="6"/>
  <c r="C97" i="6"/>
  <c r="O27" i="6"/>
  <c r="I78" i="6"/>
  <c r="D25" i="6"/>
  <c r="C50" i="6"/>
  <c r="I43" i="6"/>
  <c r="C110" i="6"/>
  <c r="I80" i="6"/>
  <c r="L77" i="11"/>
  <c r="P77" i="11" s="1"/>
  <c r="P77" i="6"/>
  <c r="J24" i="6"/>
  <c r="J96" i="6"/>
  <c r="I54" i="6"/>
  <c r="I90" i="6"/>
  <c r="D110" i="6"/>
  <c r="D37" i="6"/>
  <c r="D73" i="6"/>
  <c r="C87" i="6"/>
  <c r="N76" i="11"/>
  <c r="R76" i="11" s="1"/>
  <c r="L49" i="11"/>
  <c r="P49" i="11" s="1"/>
  <c r="M53" i="10"/>
  <c r="P29" i="6"/>
  <c r="P101" i="6"/>
  <c r="O75" i="6"/>
  <c r="J48" i="6"/>
  <c r="I21" i="6"/>
  <c r="I66" i="6"/>
  <c r="I102" i="6"/>
  <c r="D86" i="6"/>
  <c r="D49" i="6"/>
  <c r="D85" i="6"/>
  <c r="C39" i="6"/>
  <c r="C72" i="6"/>
  <c r="C98" i="6"/>
  <c r="C14" i="6"/>
  <c r="C25" i="6"/>
  <c r="M80" i="10"/>
  <c r="C85" i="6"/>
  <c r="L25" i="11"/>
  <c r="P25" i="11" s="1"/>
  <c r="M29" i="10"/>
  <c r="C61" i="6"/>
  <c r="N78" i="11"/>
  <c r="R78" i="11" s="1"/>
  <c r="L51" i="11"/>
  <c r="P51" i="11" s="1"/>
  <c r="M55" i="10"/>
  <c r="P31" i="6"/>
  <c r="P103" i="6"/>
  <c r="O77" i="6"/>
  <c r="J50" i="6"/>
  <c r="I23" i="6"/>
  <c r="I67" i="6"/>
  <c r="I103" i="6"/>
  <c r="D14" i="6"/>
  <c r="D50" i="6"/>
  <c r="D13" i="6"/>
  <c r="C45" i="6"/>
  <c r="C73" i="6"/>
  <c r="C99" i="6"/>
  <c r="M56" i="10"/>
  <c r="O78" i="6"/>
  <c r="I104" i="6"/>
  <c r="D51" i="6"/>
  <c r="C74" i="6"/>
  <c r="O99" i="6"/>
  <c r="C109" i="6"/>
  <c r="N102" i="11"/>
  <c r="R102" i="11" s="1"/>
  <c r="M79" i="10"/>
  <c r="D99" i="6"/>
  <c r="O30" i="6"/>
  <c r="P57" i="6"/>
  <c r="L97" i="11"/>
  <c r="P97" i="11" s="1"/>
  <c r="M101" i="10"/>
  <c r="C33" i="6"/>
  <c r="N80" i="11"/>
  <c r="R80" i="11" s="1"/>
  <c r="L53" i="11"/>
  <c r="P53" i="11" s="1"/>
  <c r="M57" i="10"/>
  <c r="P33" i="6"/>
  <c r="P105" i="6"/>
  <c r="O79" i="6"/>
  <c r="J52" i="6"/>
  <c r="I25" i="6"/>
  <c r="I69" i="6"/>
  <c r="I105" i="6"/>
  <c r="D16" i="6"/>
  <c r="D52" i="6"/>
  <c r="C15" i="6"/>
  <c r="C49" i="6"/>
  <c r="C75" i="6"/>
  <c r="C108" i="6"/>
  <c r="N28" i="11"/>
  <c r="R28" i="11" s="1"/>
  <c r="N100" i="11"/>
  <c r="R100" i="11" s="1"/>
  <c r="L73" i="11"/>
  <c r="P73" i="11" s="1"/>
  <c r="M77" i="10"/>
  <c r="P53" i="6"/>
  <c r="D98" i="6"/>
  <c r="D61" i="6"/>
  <c r="C81" i="6"/>
  <c r="L75" i="11"/>
  <c r="P75" i="11" s="1"/>
  <c r="P55" i="6"/>
  <c r="D62" i="6"/>
  <c r="C84" i="6"/>
  <c r="N31" i="11"/>
  <c r="R31" i="11" s="1"/>
  <c r="N103" i="11"/>
  <c r="R103" i="11" s="1"/>
  <c r="L76" i="11"/>
  <c r="P76" i="11" s="1"/>
  <c r="P56" i="6"/>
  <c r="O102" i="6"/>
  <c r="I44" i="6"/>
  <c r="D100" i="6"/>
  <c r="D27" i="6"/>
  <c r="D63" i="6"/>
  <c r="C26" i="6"/>
  <c r="C57" i="6"/>
  <c r="C111" i="6"/>
  <c r="N32" i="11"/>
  <c r="R32" i="11" s="1"/>
  <c r="N104" i="11"/>
  <c r="R104" i="11" s="1"/>
  <c r="M81" i="10"/>
  <c r="O31" i="6"/>
  <c r="J76" i="6"/>
  <c r="I45" i="6"/>
  <c r="I81" i="6"/>
  <c r="D101" i="6"/>
  <c r="D28" i="6"/>
  <c r="D64" i="6"/>
  <c r="C27" i="6"/>
  <c r="C60" i="6"/>
  <c r="C86" i="6"/>
  <c r="N52" i="11"/>
  <c r="R52" i="11" s="1"/>
  <c r="P43" i="1"/>
  <c r="I76" i="1"/>
  <c r="D79" i="1"/>
  <c r="J61" i="1"/>
  <c r="D62" i="1"/>
  <c r="I55" i="1"/>
  <c r="D72" i="11"/>
  <c r="P32" i="1"/>
  <c r="O52" i="1"/>
  <c r="I65" i="1"/>
  <c r="D68" i="1"/>
  <c r="P60" i="1"/>
  <c r="O67" i="1"/>
  <c r="D61" i="11"/>
  <c r="P21" i="1"/>
  <c r="O41" i="1"/>
  <c r="D57" i="1"/>
  <c r="D52" i="11"/>
  <c r="C49" i="1"/>
  <c r="B34" i="11"/>
  <c r="F34" i="11" s="1"/>
  <c r="J23" i="1"/>
  <c r="I62" i="1"/>
  <c r="C23" i="1"/>
  <c r="J49" i="1"/>
  <c r="B63" i="11"/>
  <c r="F63" i="11" s="1"/>
  <c r="D51" i="11"/>
  <c r="O31" i="1"/>
  <c r="D47" i="1"/>
  <c r="D73" i="11"/>
  <c r="C27" i="1"/>
  <c r="B37" i="11"/>
  <c r="F37" i="11" s="1"/>
  <c r="J26" i="1"/>
  <c r="C26" i="1"/>
  <c r="D66" i="11"/>
  <c r="P26" i="1"/>
  <c r="J15" i="1"/>
  <c r="I19" i="1"/>
  <c r="P40" i="1"/>
  <c r="J18" i="1"/>
  <c r="P41" i="1"/>
  <c r="O68" i="1"/>
  <c r="P54" i="1"/>
  <c r="D69" i="11"/>
  <c r="J55" i="1"/>
  <c r="I21" i="1"/>
  <c r="P29" i="1"/>
  <c r="P64" i="1"/>
  <c r="D9" i="11"/>
  <c r="B66" i="11"/>
  <c r="F66" i="11" s="1"/>
  <c r="C38" i="1"/>
  <c r="J27" i="1"/>
  <c r="J66" i="1"/>
  <c r="O48" i="1"/>
  <c r="C67" i="1"/>
  <c r="P78" i="1"/>
  <c r="D39" i="1"/>
  <c r="I57" i="1"/>
  <c r="J53" i="1"/>
  <c r="D41" i="1"/>
  <c r="O36" i="1"/>
  <c r="C54" i="1"/>
  <c r="C42" i="1"/>
  <c r="B42" i="11"/>
  <c r="F42" i="11" s="1"/>
  <c r="P17" i="1"/>
  <c r="D10" i="11"/>
  <c r="J21" i="1"/>
  <c r="C21" i="1"/>
  <c r="I49" i="1"/>
  <c r="D46" i="1"/>
  <c r="D13" i="1"/>
  <c r="P71" i="1"/>
  <c r="D53" i="11"/>
  <c r="D49" i="1"/>
  <c r="B26" i="11"/>
  <c r="F26" i="11" s="1"/>
  <c r="C28" i="1"/>
  <c r="C18" i="1"/>
  <c r="D64" i="1"/>
  <c r="J72" i="1"/>
  <c r="O15" i="1"/>
  <c r="D31" i="1"/>
  <c r="O46" i="1"/>
  <c r="D24" i="11"/>
  <c r="D20" i="1"/>
  <c r="D13" i="11"/>
  <c r="C46" i="1"/>
  <c r="P46" i="1"/>
  <c r="D82" i="1"/>
  <c r="D81" i="11"/>
  <c r="C36" i="1"/>
  <c r="P49" i="1"/>
  <c r="B62" i="11"/>
  <c r="F62" i="11" s="1"/>
  <c r="D76" i="11"/>
  <c r="D33" i="11"/>
  <c r="D30" i="1"/>
  <c r="D52" i="1"/>
  <c r="D47" i="11"/>
  <c r="D43" i="1"/>
  <c r="J79" i="1"/>
  <c r="C51" i="1"/>
  <c r="J58" i="1"/>
  <c r="D21" i="1"/>
  <c r="P58" i="1"/>
  <c r="B59" i="11"/>
  <c r="F59" i="11" s="1"/>
  <c r="C48" i="1"/>
  <c r="P61" i="1"/>
  <c r="D55" i="11"/>
  <c r="D76" i="1"/>
  <c r="C41" i="1"/>
  <c r="D59" i="11"/>
  <c r="J52" i="1"/>
  <c r="D48" i="11"/>
  <c r="D43" i="11"/>
  <c r="O32" i="1"/>
  <c r="C75" i="1"/>
  <c r="C60" i="1"/>
  <c r="C16" i="1"/>
  <c r="D42" i="11"/>
  <c r="B54" i="11"/>
  <c r="F54" i="11" s="1"/>
  <c r="P31" i="1"/>
  <c r="I64" i="1"/>
  <c r="D67" i="1"/>
  <c r="J37" i="1"/>
  <c r="O40" i="1"/>
  <c r="P27" i="1"/>
  <c r="O29" i="1"/>
  <c r="D16" i="11"/>
  <c r="B22" i="11"/>
  <c r="F22" i="11" s="1"/>
  <c r="I50" i="1"/>
  <c r="D39" i="11"/>
  <c r="C14" i="1"/>
  <c r="J86" i="1"/>
  <c r="C55" i="1"/>
  <c r="P76" i="1"/>
  <c r="D44" i="11"/>
  <c r="D22" i="11"/>
  <c r="P16" i="1"/>
  <c r="P55" i="1"/>
  <c r="I23" i="1"/>
  <c r="B24" i="11"/>
  <c r="F24" i="11" s="1"/>
  <c r="D27" i="1"/>
  <c r="P44" i="1"/>
  <c r="I77" i="1"/>
  <c r="D80" i="1"/>
  <c r="D8" i="11"/>
  <c r="P33" i="1"/>
  <c r="O53" i="1"/>
  <c r="I66" i="1"/>
  <c r="D69" i="1"/>
  <c r="O58" i="1"/>
  <c r="D80" i="11"/>
  <c r="B46" i="11"/>
  <c r="F46" i="11" s="1"/>
  <c r="J35" i="1"/>
  <c r="C35" i="1"/>
  <c r="I69" i="1"/>
  <c r="P51" i="1"/>
  <c r="D63" i="11"/>
  <c r="P23" i="1"/>
  <c r="O43" i="1"/>
  <c r="D59" i="1"/>
  <c r="B36" i="11"/>
  <c r="F36" i="11" s="1"/>
  <c r="D19" i="11"/>
  <c r="D74" i="11"/>
  <c r="B49" i="11"/>
  <c r="F49" i="11" s="1"/>
  <c r="J38" i="1"/>
  <c r="P38" i="1"/>
  <c r="P42" i="1"/>
  <c r="B40" i="11"/>
  <c r="F40" i="11" s="1"/>
  <c r="D54" i="1"/>
  <c r="O49" i="1"/>
  <c r="I33" i="1"/>
  <c r="O26" i="1"/>
  <c r="J54" i="1"/>
  <c r="O37" i="1"/>
  <c r="B41" i="11"/>
  <c r="F41" i="11" s="1"/>
  <c r="J32" i="1"/>
  <c r="D60" i="1"/>
  <c r="P81" i="1"/>
  <c r="C15" i="1"/>
  <c r="J83" i="1"/>
  <c r="J19" i="1"/>
  <c r="P28" i="1"/>
  <c r="C68" i="1"/>
  <c r="J57" i="1"/>
  <c r="P24" i="1"/>
  <c r="D85" i="1"/>
  <c r="O59" i="1"/>
  <c r="D57" i="11"/>
  <c r="D56" i="11"/>
  <c r="D32" i="1"/>
  <c r="C58" i="1"/>
  <c r="D15" i="1"/>
  <c r="D34" i="11"/>
  <c r="O38" i="1"/>
  <c r="P19" i="1"/>
  <c r="J78" i="1"/>
  <c r="C70" i="1"/>
  <c r="I38" i="1"/>
  <c r="D23" i="1"/>
  <c r="B29" i="11"/>
  <c r="F29" i="11" s="1"/>
  <c r="D31" i="11"/>
  <c r="D38" i="1"/>
  <c r="P14" i="1"/>
  <c r="B30" i="11"/>
  <c r="F30" i="11" s="1"/>
  <c r="I34" i="1"/>
  <c r="B72" i="11"/>
  <c r="F72" i="11" s="1"/>
  <c r="P67" i="1"/>
  <c r="I35" i="1"/>
  <c r="I16" i="1"/>
  <c r="P56" i="1"/>
  <c r="I24" i="1"/>
  <c r="I40" i="1"/>
  <c r="P45" i="1"/>
  <c r="I78" i="1"/>
  <c r="D81" i="1"/>
  <c r="B12" i="11"/>
  <c r="F12" i="11" s="1"/>
  <c r="D14" i="11"/>
  <c r="B58" i="11"/>
  <c r="F58" i="11" s="1"/>
  <c r="J47" i="1"/>
  <c r="C47" i="1"/>
  <c r="I52" i="1"/>
  <c r="P35" i="1"/>
  <c r="O55" i="1"/>
  <c r="I68" i="1"/>
  <c r="D71" i="1"/>
  <c r="P36" i="1"/>
  <c r="B51" i="11"/>
  <c r="F51" i="11" s="1"/>
  <c r="D17" i="11"/>
  <c r="B61" i="11"/>
  <c r="F61" i="11" s="1"/>
  <c r="O78" i="1"/>
  <c r="J50" i="1"/>
  <c r="C50" i="1"/>
  <c r="P50" i="1"/>
  <c r="J39" i="1"/>
  <c r="B27" i="11"/>
  <c r="F27" i="11" s="1"/>
  <c r="O65" i="1"/>
  <c r="O66" i="1"/>
  <c r="P30" i="1"/>
  <c r="D45" i="11"/>
  <c r="B53" i="11"/>
  <c r="F53" i="11" s="1"/>
  <c r="C53" i="1"/>
  <c r="B43" i="11"/>
  <c r="F43" i="11" s="1"/>
  <c r="C32" i="1"/>
  <c r="B32" i="11"/>
  <c r="F32" i="11" s="1"/>
  <c r="C37" i="1"/>
  <c r="C25" i="1"/>
  <c r="I39" i="1"/>
  <c r="O33" i="1"/>
  <c r="C65" i="1"/>
  <c r="D77" i="11"/>
  <c r="J68" i="1"/>
  <c r="B68" i="11"/>
  <c r="F68" i="11" s="1"/>
  <c r="B57" i="11"/>
  <c r="F57" i="11" s="1"/>
  <c r="D18" i="11"/>
  <c r="C19" i="1"/>
  <c r="P66" i="1"/>
  <c r="O16" i="1"/>
  <c r="O73" i="1"/>
  <c r="D30" i="11"/>
  <c r="D55" i="1"/>
  <c r="D44" i="1"/>
  <c r="J13" i="1"/>
  <c r="P70" i="1"/>
  <c r="B71" i="11"/>
  <c r="F71" i="11" s="1"/>
  <c r="J85" i="1"/>
  <c r="J40" i="1"/>
  <c r="C40" i="1"/>
  <c r="I72" i="1"/>
  <c r="B8" i="11"/>
  <c r="F8" i="11" s="1"/>
  <c r="D35" i="1"/>
  <c r="I53" i="1"/>
  <c r="B19" i="11"/>
  <c r="F19" i="11" s="1"/>
  <c r="P79" i="1"/>
  <c r="J73" i="1"/>
  <c r="I47" i="1"/>
  <c r="P48" i="1"/>
  <c r="I13" i="1"/>
  <c r="C63" i="1"/>
  <c r="C52" i="1"/>
  <c r="B73" i="11"/>
  <c r="F73" i="11" s="1"/>
  <c r="P68" i="1"/>
  <c r="J80" i="1"/>
  <c r="I36" i="1"/>
  <c r="D36" i="1"/>
  <c r="I43" i="1"/>
  <c r="P57" i="1"/>
  <c r="I25" i="1"/>
  <c r="B60" i="11"/>
  <c r="F60" i="11" s="1"/>
  <c r="I54" i="1"/>
  <c r="D26" i="11"/>
  <c r="B70" i="11"/>
  <c r="F70" i="11" s="1"/>
  <c r="O74" i="1"/>
  <c r="J59" i="1"/>
  <c r="D22" i="1"/>
  <c r="C59" i="1"/>
  <c r="P47" i="1"/>
  <c r="I15" i="1"/>
  <c r="D83" i="1"/>
  <c r="J84" i="1"/>
  <c r="P39" i="1"/>
  <c r="D29" i="11"/>
  <c r="O62" i="1"/>
  <c r="J62" i="1"/>
  <c r="D25" i="1"/>
  <c r="C62" i="1"/>
  <c r="P62" i="1"/>
  <c r="J63" i="1"/>
  <c r="B39" i="11"/>
  <c r="F39" i="11" s="1"/>
  <c r="D63" i="1"/>
  <c r="O60" i="1"/>
  <c r="D29" i="1"/>
  <c r="O61" i="1"/>
  <c r="I44" i="1"/>
  <c r="O14" i="1"/>
  <c r="J31" i="1"/>
  <c r="O70" i="1"/>
  <c r="P52" i="1"/>
  <c r="D17" i="1"/>
  <c r="B15" i="11"/>
  <c r="F15" i="11" s="1"/>
  <c r="I60" i="1"/>
  <c r="J75" i="1"/>
  <c r="D50" i="11"/>
  <c r="D48" i="1"/>
  <c r="P63" i="1"/>
  <c r="J43" i="1"/>
  <c r="O24" i="1"/>
  <c r="B18" i="11"/>
  <c r="F18" i="11" s="1"/>
  <c r="D35" i="11"/>
  <c r="O23" i="1"/>
  <c r="I14" i="1"/>
  <c r="I17" i="1"/>
  <c r="D32" i="11"/>
  <c r="D66" i="1"/>
  <c r="D25" i="11"/>
  <c r="J51" i="1"/>
  <c r="I29" i="1"/>
  <c r="I42" i="1"/>
  <c r="D28" i="11"/>
  <c r="D33" i="1"/>
  <c r="J82" i="1"/>
  <c r="J60" i="1"/>
  <c r="I41" i="1"/>
  <c r="B28" i="11"/>
  <c r="F28" i="11" s="1"/>
  <c r="B16" i="11"/>
  <c r="F16" i="11" s="1"/>
  <c r="J30" i="1"/>
  <c r="P20" i="1"/>
  <c r="D49" i="11"/>
  <c r="P82" i="1"/>
  <c r="O19" i="1"/>
  <c r="J14" i="1"/>
  <c r="D40" i="1"/>
  <c r="D70" i="11"/>
  <c r="B31" i="11"/>
  <c r="F31" i="11" s="1"/>
  <c r="J20" i="1"/>
  <c r="I59" i="1"/>
  <c r="C20" i="1"/>
  <c r="P72" i="1"/>
  <c r="D24" i="1"/>
  <c r="B20" i="11"/>
  <c r="F20" i="11" s="1"/>
  <c r="P80" i="1"/>
  <c r="J74" i="1"/>
  <c r="I48" i="1"/>
  <c r="D51" i="1"/>
  <c r="B9" i="11"/>
  <c r="F9" i="11" s="1"/>
  <c r="P69" i="1"/>
  <c r="J81" i="1"/>
  <c r="I37" i="1"/>
  <c r="D50" i="1"/>
  <c r="D38" i="11"/>
  <c r="O18" i="1"/>
  <c r="D34" i="1"/>
  <c r="C71" i="1"/>
  <c r="D72" i="1"/>
  <c r="P59" i="1"/>
  <c r="I27" i="1"/>
  <c r="I28" i="1"/>
  <c r="P75" i="1"/>
  <c r="D41" i="11"/>
  <c r="O21" i="1"/>
  <c r="D37" i="1"/>
  <c r="C74" i="1"/>
  <c r="B14" i="11"/>
  <c r="F14" i="11" s="1"/>
  <c r="P74" i="1"/>
  <c r="I71" i="1"/>
  <c r="J17" i="1"/>
  <c r="D77" i="1"/>
  <c r="I74" i="1"/>
  <c r="D16" i="1"/>
  <c r="O13" i="1"/>
  <c r="I22" i="1"/>
  <c r="O50" i="1"/>
  <c r="D20" i="11"/>
  <c r="J41" i="1"/>
  <c r="B21" i="11"/>
  <c r="F21" i="11" s="1"/>
  <c r="P84" i="1"/>
  <c r="O30" i="1"/>
  <c r="B11" i="11"/>
  <c r="F11" i="11" s="1"/>
  <c r="P86" i="1"/>
  <c r="J65" i="1"/>
  <c r="D42" i="1"/>
  <c r="C77" i="1"/>
  <c r="D68" i="11"/>
  <c r="O56" i="1"/>
  <c r="C57" i="1"/>
  <c r="J25" i="1"/>
  <c r="B47" i="11"/>
  <c r="F47" i="11" s="1"/>
  <c r="D46" i="11"/>
  <c r="O25" i="1"/>
  <c r="O27" i="1"/>
  <c r="D36" i="11"/>
  <c r="C69" i="1"/>
  <c r="I31" i="1"/>
  <c r="D74" i="1"/>
  <c r="O63" i="1"/>
  <c r="C30" i="1"/>
  <c r="B65" i="11"/>
  <c r="F65" i="11" s="1"/>
  <c r="D40" i="11"/>
  <c r="O28" i="1"/>
  <c r="O17" i="1"/>
  <c r="B10" i="11"/>
  <c r="F10" i="11" s="1"/>
  <c r="D27" i="11"/>
  <c r="B13" i="11"/>
  <c r="F13" i="11" s="1"/>
  <c r="D67" i="11"/>
  <c r="B52" i="11"/>
  <c r="F52" i="11" s="1"/>
  <c r="D60" i="11"/>
  <c r="B25" i="11"/>
  <c r="F25" i="11" s="1"/>
  <c r="J64" i="1"/>
  <c r="D11" i="11"/>
  <c r="B55" i="11"/>
  <c r="F55" i="11" s="1"/>
  <c r="J44" i="1"/>
  <c r="C44" i="1"/>
  <c r="D78" i="11"/>
  <c r="B44" i="11"/>
  <c r="F44" i="11" s="1"/>
  <c r="J33" i="1"/>
  <c r="C33" i="1"/>
  <c r="O22" i="1"/>
  <c r="B33" i="11"/>
  <c r="F33" i="11" s="1"/>
  <c r="J22" i="1"/>
  <c r="I61" i="1"/>
  <c r="C22" i="1"/>
  <c r="O76" i="1"/>
  <c r="D62" i="11"/>
  <c r="P22" i="1"/>
  <c r="O42" i="1"/>
  <c r="D58" i="1"/>
  <c r="O34" i="1"/>
  <c r="B23" i="11"/>
  <c r="F23" i="11" s="1"/>
  <c r="P83" i="1"/>
  <c r="J77" i="1"/>
  <c r="I51" i="1"/>
  <c r="O35" i="1"/>
  <c r="D65" i="11"/>
  <c r="P25" i="1"/>
  <c r="O45" i="1"/>
  <c r="D61" i="1"/>
  <c r="B38" i="11"/>
  <c r="F38" i="11" s="1"/>
  <c r="D86" i="1"/>
  <c r="P13" i="1"/>
  <c r="C64" i="1"/>
  <c r="I73" i="1"/>
  <c r="I58" i="1"/>
  <c r="B17" i="11"/>
  <c r="F17" i="11" s="1"/>
  <c r="C29" i="1"/>
  <c r="D21" i="11"/>
  <c r="J67" i="1"/>
  <c r="C43" i="1"/>
  <c r="P53" i="1"/>
  <c r="P65" i="1"/>
  <c r="I46" i="1"/>
  <c r="I32" i="1"/>
  <c r="B64" i="11"/>
  <c r="F64" i="11" s="1"/>
  <c r="D23" i="11"/>
  <c r="B67" i="11"/>
  <c r="F67" i="11" s="1"/>
  <c r="O71" i="1"/>
  <c r="J56" i="1"/>
  <c r="D19" i="1"/>
  <c r="C56" i="1"/>
  <c r="O20" i="1"/>
  <c r="C61" i="1"/>
  <c r="D12" i="11"/>
  <c r="B56" i="11"/>
  <c r="F56" i="11" s="1"/>
  <c r="J45" i="1"/>
  <c r="C45" i="1"/>
  <c r="I18" i="1"/>
  <c r="D79" i="11"/>
  <c r="B45" i="11"/>
  <c r="F45" i="11" s="1"/>
  <c r="J34" i="1"/>
  <c r="C34" i="1"/>
  <c r="O44" i="1"/>
  <c r="P15" i="1"/>
  <c r="P34" i="1"/>
  <c r="O54" i="1"/>
  <c r="I67" i="1"/>
  <c r="D70" i="1"/>
  <c r="B48" i="11"/>
  <c r="F48" i="11" s="1"/>
  <c r="B35" i="11"/>
  <c r="F35" i="11" s="1"/>
  <c r="J24" i="1"/>
  <c r="I63" i="1"/>
  <c r="C24" i="1"/>
  <c r="C73" i="1"/>
  <c r="J28" i="1"/>
  <c r="P37" i="1"/>
  <c r="O57" i="1"/>
  <c r="I70" i="1"/>
  <c r="D73" i="1"/>
  <c r="D75" i="11"/>
  <c r="B50" i="11"/>
  <c r="F50" i="11" s="1"/>
  <c r="C39" i="1"/>
  <c r="O64" i="1"/>
  <c r="I56" i="1"/>
  <c r="D78" i="1"/>
  <c r="C76" i="1"/>
  <c r="O69" i="1"/>
  <c r="I75" i="1"/>
  <c r="C31" i="1"/>
  <c r="D18" i="1"/>
  <c r="J29" i="1"/>
  <c r="C13" i="1"/>
  <c r="P77" i="1"/>
  <c r="J42" i="1"/>
  <c r="O72" i="1"/>
  <c r="D14" i="1"/>
  <c r="J46" i="1"/>
  <c r="O47" i="1"/>
  <c r="J36" i="1"/>
  <c r="O77" i="1"/>
  <c r="D28" i="1"/>
  <c r="J71" i="1"/>
  <c r="D53" i="1"/>
  <c r="J69" i="1"/>
  <c r="B69" i="11"/>
  <c r="F69" i="11" s="1"/>
  <c r="I26" i="1"/>
  <c r="D15" i="11"/>
  <c r="J48" i="1"/>
  <c r="J16" i="1"/>
  <c r="D58" i="11"/>
  <c r="C66" i="1"/>
  <c r="I20" i="1"/>
  <c r="O39" i="1"/>
  <c r="D37" i="11"/>
  <c r="D75" i="1"/>
  <c r="O75" i="1"/>
  <c r="I30" i="1"/>
  <c r="P73" i="1"/>
  <c r="C17" i="1"/>
  <c r="P18" i="1"/>
  <c r="D65" i="1"/>
  <c r="I45" i="1"/>
  <c r="D71" i="11"/>
  <c r="O51" i="1"/>
  <c r="D64" i="11"/>
  <c r="D26" i="1"/>
  <c r="D56" i="1"/>
  <c r="D45" i="1"/>
  <c r="D84" i="1"/>
  <c r="J76" i="1"/>
  <c r="C72" i="1"/>
  <c r="P85" i="1"/>
  <c r="D54" i="11"/>
  <c r="J70" i="1"/>
  <c r="C78" i="1"/>
  <c r="C21" i="10"/>
  <c r="B21" i="10" s="1"/>
  <c r="C42" i="10"/>
  <c r="B42" i="10" s="1"/>
  <c r="C59" i="10"/>
  <c r="B59" i="10" s="1"/>
  <c r="C17" i="10"/>
  <c r="B17" i="10" s="1"/>
  <c r="C70" i="10"/>
  <c r="B70" i="10" s="1"/>
  <c r="C46" i="10"/>
  <c r="B46" i="10" s="1"/>
  <c r="C40" i="10"/>
  <c r="B40" i="10" s="1"/>
  <c r="C31" i="10"/>
  <c r="B31" i="10" s="1"/>
  <c r="C71" i="10"/>
  <c r="B71" i="10" s="1"/>
  <c r="C30" i="10"/>
  <c r="B30" i="10" s="1"/>
  <c r="C23" i="10"/>
  <c r="B23" i="10" s="1"/>
  <c r="C82" i="10"/>
  <c r="B82" i="10" s="1"/>
  <c r="C72" i="10"/>
  <c r="B72" i="10" s="1"/>
  <c r="C44" i="10"/>
  <c r="B44" i="10" s="1"/>
  <c r="C22" i="10"/>
  <c r="B22" i="10" s="1"/>
  <c r="C67" i="10"/>
  <c r="B67" i="10" s="1"/>
  <c r="C76" i="10"/>
  <c r="B76" i="10" s="1"/>
  <c r="C68" i="10"/>
  <c r="B68" i="10" s="1"/>
  <c r="C34" i="10"/>
  <c r="B34" i="10" s="1"/>
  <c r="C47" i="10"/>
  <c r="B47" i="10" s="1"/>
  <c r="C27" i="10"/>
  <c r="B27" i="10" s="1"/>
  <c r="C11" i="10"/>
  <c r="B11" i="10" s="1"/>
  <c r="C45" i="10"/>
  <c r="B45" i="10" s="1"/>
  <c r="C51" i="10"/>
  <c r="B51" i="10" s="1"/>
  <c r="C80" i="10"/>
  <c r="B80" i="10" s="1"/>
  <c r="C64" i="10"/>
  <c r="B64" i="10" s="1"/>
  <c r="C41" i="10"/>
  <c r="B41" i="10" s="1"/>
  <c r="C43" i="10"/>
  <c r="B43" i="10" s="1"/>
  <c r="C54" i="10"/>
  <c r="B54" i="10" s="1"/>
  <c r="C25" i="10"/>
  <c r="B25" i="10" s="1"/>
  <c r="C63" i="10"/>
  <c r="B63" i="10" s="1"/>
  <c r="C29" i="10"/>
  <c r="B29" i="10" s="1"/>
  <c r="C24" i="10"/>
  <c r="B24" i="10" s="1"/>
  <c r="C19" i="10"/>
  <c r="B19" i="10" s="1"/>
  <c r="C13" i="10"/>
  <c r="B13" i="10" s="1"/>
  <c r="C12" i="10"/>
  <c r="B12" i="10" s="1"/>
  <c r="C57" i="10"/>
  <c r="B57" i="10" s="1"/>
  <c r="C73" i="10"/>
  <c r="B73" i="10" s="1"/>
  <c r="C38" i="10"/>
  <c r="B38" i="10" s="1"/>
  <c r="C62" i="10"/>
  <c r="B62" i="10" s="1"/>
  <c r="C52" i="10"/>
  <c r="B52" i="10" s="1"/>
  <c r="C35" i="10"/>
  <c r="B35" i="10" s="1"/>
  <c r="C66" i="10"/>
  <c r="B66" i="10" s="1"/>
  <c r="C75" i="10"/>
  <c r="B75" i="10" s="1"/>
  <c r="C39" i="10"/>
  <c r="B39" i="10" s="1"/>
  <c r="C77" i="10"/>
  <c r="B77" i="10" s="1"/>
  <c r="C37" i="10"/>
  <c r="B37" i="10" s="1"/>
  <c r="C10" i="10"/>
  <c r="B10" i="10" s="1"/>
  <c r="C69" i="10"/>
  <c r="B69" i="10" s="1"/>
  <c r="C18" i="10"/>
  <c r="B18" i="10" s="1"/>
  <c r="C15" i="10"/>
  <c r="B15" i="10" s="1"/>
  <c r="C53" i="10"/>
  <c r="B53" i="10" s="1"/>
  <c r="C56" i="10"/>
  <c r="B56" i="10" s="1"/>
  <c r="C32" i="10"/>
  <c r="B32" i="10" s="1"/>
  <c r="C20" i="10"/>
  <c r="B20" i="10" s="1"/>
  <c r="C9" i="10"/>
  <c r="B9" i="10" s="1"/>
  <c r="C49" i="10"/>
  <c r="B49" i="10" s="1"/>
  <c r="C36" i="10"/>
  <c r="B36" i="10" s="1"/>
  <c r="C58" i="10"/>
  <c r="B58" i="10" s="1"/>
  <c r="C78" i="10"/>
  <c r="B78" i="10" s="1"/>
  <c r="C55" i="10"/>
  <c r="B55" i="10" s="1"/>
  <c r="C65" i="10"/>
  <c r="B65" i="10" s="1"/>
  <c r="C74" i="10"/>
  <c r="B74" i="10" s="1"/>
  <c r="C79" i="10"/>
  <c r="B79" i="10" s="1"/>
  <c r="C16" i="10"/>
  <c r="B16" i="10" s="1"/>
  <c r="C61" i="10"/>
  <c r="B61" i="10" s="1"/>
  <c r="C60" i="10"/>
  <c r="B60" i="10" s="1"/>
  <c r="C26" i="10"/>
  <c r="B26" i="10" s="1"/>
  <c r="C81" i="10"/>
  <c r="B81" i="10" s="1"/>
  <c r="C28" i="10"/>
  <c r="B28" i="10" s="1"/>
  <c r="C14" i="10"/>
  <c r="B14" i="10" s="1"/>
  <c r="C48" i="10"/>
  <c r="B48" i="10" s="1"/>
  <c r="C50" i="10"/>
  <c r="B50" i="10" s="1"/>
  <c r="C33" i="10"/>
  <c r="B33" i="10" s="1"/>
  <c r="J82" i="10"/>
  <c r="J94" i="10"/>
  <c r="J106" i="10"/>
  <c r="J77" i="10"/>
  <c r="J17" i="10"/>
  <c r="J29" i="10"/>
  <c r="J41" i="10"/>
  <c r="J53" i="10"/>
  <c r="J65" i="10"/>
  <c r="I91" i="10"/>
  <c r="I103" i="10"/>
  <c r="I11" i="10"/>
  <c r="I23" i="10"/>
  <c r="I35" i="10"/>
  <c r="I47" i="10"/>
  <c r="I59" i="10"/>
  <c r="I71" i="10"/>
  <c r="G65" i="10"/>
  <c r="Q65" i="10" s="1"/>
  <c r="G56" i="10"/>
  <c r="Q56" i="10" s="1"/>
  <c r="G17" i="10"/>
  <c r="Q17" i="10" s="1"/>
  <c r="G29" i="10"/>
  <c r="Q29" i="10" s="1"/>
  <c r="G41" i="10"/>
  <c r="Q41" i="10" s="1"/>
  <c r="F62" i="10"/>
  <c r="F58" i="10"/>
  <c r="F21" i="10"/>
  <c r="F33" i="10"/>
  <c r="F45" i="10"/>
  <c r="E71" i="10"/>
  <c r="E21" i="10"/>
  <c r="E33" i="10"/>
  <c r="E45" i="10"/>
  <c r="E57" i="10"/>
  <c r="E69" i="10"/>
  <c r="J78" i="11"/>
  <c r="J90" i="11"/>
  <c r="J102" i="11"/>
  <c r="J60" i="11"/>
  <c r="J51" i="11"/>
  <c r="J19" i="11"/>
  <c r="J31" i="11"/>
  <c r="J43" i="11"/>
  <c r="Q73" i="1"/>
  <c r="Q85" i="1"/>
  <c r="Q97" i="1"/>
  <c r="Q109" i="1"/>
  <c r="Q14" i="1"/>
  <c r="Q26" i="1"/>
  <c r="Q38" i="1"/>
  <c r="Q50" i="1"/>
  <c r="J83" i="10"/>
  <c r="J95" i="10"/>
  <c r="J107" i="10"/>
  <c r="J78" i="10"/>
  <c r="J18" i="10"/>
  <c r="J30" i="10"/>
  <c r="J42" i="10"/>
  <c r="J54" i="10"/>
  <c r="J66" i="10"/>
  <c r="I92" i="10"/>
  <c r="I104" i="10"/>
  <c r="I12" i="10"/>
  <c r="I24" i="10"/>
  <c r="I36" i="10"/>
  <c r="I48" i="10"/>
  <c r="I60" i="10"/>
  <c r="I72" i="10"/>
  <c r="G66" i="10"/>
  <c r="Q66" i="10" s="1"/>
  <c r="G57" i="10"/>
  <c r="Q57" i="10" s="1"/>
  <c r="G18" i="10"/>
  <c r="Q18" i="10" s="1"/>
  <c r="G30" i="10"/>
  <c r="Q30" i="10" s="1"/>
  <c r="G42" i="10"/>
  <c r="Q42" i="10" s="1"/>
  <c r="F63" i="10"/>
  <c r="F10" i="10"/>
  <c r="F22" i="10"/>
  <c r="F34" i="10"/>
  <c r="F46" i="10"/>
  <c r="E10" i="10"/>
  <c r="E22" i="10"/>
  <c r="E34" i="10"/>
  <c r="E46" i="10"/>
  <c r="E58" i="10"/>
  <c r="E70" i="10"/>
  <c r="J79" i="11"/>
  <c r="J91" i="11"/>
  <c r="J103" i="11"/>
  <c r="J61" i="11"/>
  <c r="J52" i="11"/>
  <c r="J20" i="11"/>
  <c r="J32" i="11"/>
  <c r="J44" i="11"/>
  <c r="Q74" i="1"/>
  <c r="Q86" i="1"/>
  <c r="Q98" i="1"/>
  <c r="Q110" i="1"/>
  <c r="Q15" i="1"/>
  <c r="Q27" i="1"/>
  <c r="Q39" i="1"/>
  <c r="Q51" i="1"/>
  <c r="J84" i="10"/>
  <c r="J96" i="10"/>
  <c r="J81" i="10"/>
  <c r="J79" i="10"/>
  <c r="J19" i="10"/>
  <c r="J31" i="10"/>
  <c r="J43" i="10"/>
  <c r="J55" i="10"/>
  <c r="J9" i="10"/>
  <c r="I93" i="10"/>
  <c r="I105" i="10"/>
  <c r="I13" i="10"/>
  <c r="I25" i="10"/>
  <c r="I37" i="10"/>
  <c r="I49" i="10"/>
  <c r="I61" i="10"/>
  <c r="I73" i="10"/>
  <c r="G67" i="10"/>
  <c r="Q67" i="10" s="1"/>
  <c r="G58" i="10"/>
  <c r="Q58" i="10" s="1"/>
  <c r="G19" i="10"/>
  <c r="Q19" i="10" s="1"/>
  <c r="G31" i="10"/>
  <c r="Q31" i="10" s="1"/>
  <c r="G43" i="10"/>
  <c r="Q43" i="10" s="1"/>
  <c r="F64" i="10"/>
  <c r="F11" i="10"/>
  <c r="F23" i="10"/>
  <c r="F35" i="10"/>
  <c r="F47" i="10"/>
  <c r="E11" i="10"/>
  <c r="E23" i="10"/>
  <c r="E35" i="10"/>
  <c r="E47" i="10"/>
  <c r="E59" i="10"/>
  <c r="E9" i="10"/>
  <c r="J80" i="11"/>
  <c r="J92" i="11"/>
  <c r="J104" i="11"/>
  <c r="J62" i="11"/>
  <c r="J9" i="11"/>
  <c r="J21" i="11"/>
  <c r="J33" i="11"/>
  <c r="J45" i="11"/>
  <c r="Q75" i="1"/>
  <c r="Q87" i="1"/>
  <c r="Q99" i="1"/>
  <c r="Q111" i="1"/>
  <c r="Q16" i="1"/>
  <c r="Q28" i="1"/>
  <c r="Q40" i="1"/>
  <c r="Q52" i="1"/>
  <c r="J85" i="10"/>
  <c r="J97" i="10"/>
  <c r="J68" i="10"/>
  <c r="J80" i="10"/>
  <c r="J20" i="10"/>
  <c r="J32" i="10"/>
  <c r="J44" i="10"/>
  <c r="J56" i="10"/>
  <c r="I82" i="10"/>
  <c r="I94" i="10"/>
  <c r="I106" i="10"/>
  <c r="I14" i="10"/>
  <c r="I26" i="10"/>
  <c r="I38" i="10"/>
  <c r="I50" i="10"/>
  <c r="I62" i="10"/>
  <c r="I74" i="10"/>
  <c r="G68" i="10"/>
  <c r="Q68" i="10" s="1"/>
  <c r="G49" i="10"/>
  <c r="Q49" i="10" s="1"/>
  <c r="G20" i="10"/>
  <c r="Q20" i="10" s="1"/>
  <c r="G32" i="10"/>
  <c r="Q32" i="10" s="1"/>
  <c r="G44" i="10"/>
  <c r="Q44" i="10" s="1"/>
  <c r="F65" i="10"/>
  <c r="F12" i="10"/>
  <c r="F24" i="10"/>
  <c r="F36" i="10"/>
  <c r="F48" i="10"/>
  <c r="E12" i="10"/>
  <c r="E24" i="10"/>
  <c r="E36" i="10"/>
  <c r="E48" i="10"/>
  <c r="E60" i="10"/>
  <c r="J81" i="11"/>
  <c r="J93" i="11"/>
  <c r="J105" i="11"/>
  <c r="J63" i="11"/>
  <c r="J10" i="11"/>
  <c r="J22" i="11"/>
  <c r="J34" i="11"/>
  <c r="J46" i="11"/>
  <c r="Q64" i="1"/>
  <c r="Q76" i="1"/>
  <c r="Q88" i="1"/>
  <c r="Q100" i="1"/>
  <c r="Q57" i="1"/>
  <c r="Q17" i="1"/>
  <c r="Q29" i="1"/>
  <c r="Q41" i="1"/>
  <c r="Q53" i="1"/>
  <c r="J91" i="10"/>
  <c r="J103" i="10"/>
  <c r="J74" i="10"/>
  <c r="J14" i="10"/>
  <c r="J26" i="10"/>
  <c r="J38" i="10"/>
  <c r="J50" i="10"/>
  <c r="J62" i="10"/>
  <c r="I88" i="10"/>
  <c r="I100" i="10"/>
  <c r="I76" i="10"/>
  <c r="I20" i="10"/>
  <c r="I32" i="10"/>
  <c r="I44" i="10"/>
  <c r="I56" i="10"/>
  <c r="I68" i="10"/>
  <c r="G62" i="10"/>
  <c r="Q62" i="10" s="1"/>
  <c r="G53" i="10"/>
  <c r="Q53" i="10" s="1"/>
  <c r="G14" i="10"/>
  <c r="Q14" i="10" s="1"/>
  <c r="G26" i="10"/>
  <c r="Q26" i="10" s="1"/>
  <c r="G38" i="10"/>
  <c r="Q38" i="10" s="1"/>
  <c r="F59" i="10"/>
  <c r="F71" i="10"/>
  <c r="F18" i="10"/>
  <c r="F30" i="10"/>
  <c r="F42" i="10"/>
  <c r="F54" i="10"/>
  <c r="E18" i="10"/>
  <c r="E30" i="10"/>
  <c r="E42" i="10"/>
  <c r="E54" i="10"/>
  <c r="E66" i="10"/>
  <c r="J75" i="11"/>
  <c r="J87" i="11"/>
  <c r="J99" i="11"/>
  <c r="J57" i="11"/>
  <c r="J69" i="11"/>
  <c r="J16" i="11"/>
  <c r="J28" i="11"/>
  <c r="J40" i="11"/>
  <c r="Q70" i="1"/>
  <c r="Q82" i="1"/>
  <c r="Q94" i="1"/>
  <c r="Q106" i="1"/>
  <c r="Q63" i="1"/>
  <c r="Q23" i="1"/>
  <c r="Q35" i="1"/>
  <c r="Q47" i="1"/>
  <c r="J92" i="10"/>
  <c r="J104" i="10"/>
  <c r="J75" i="10"/>
  <c r="J15" i="10"/>
  <c r="J27" i="10"/>
  <c r="J39" i="10"/>
  <c r="J51" i="10"/>
  <c r="J63" i="10"/>
  <c r="I89" i="10"/>
  <c r="I101" i="10"/>
  <c r="I77" i="10"/>
  <c r="I21" i="10"/>
  <c r="I33" i="10"/>
  <c r="I45" i="10"/>
  <c r="I57" i="10"/>
  <c r="I69" i="10"/>
  <c r="G63" i="10"/>
  <c r="Q63" i="10" s="1"/>
  <c r="G54" i="10"/>
  <c r="Q54" i="10" s="1"/>
  <c r="G15" i="10"/>
  <c r="Q15" i="10" s="1"/>
  <c r="G27" i="10"/>
  <c r="Q27" i="10" s="1"/>
  <c r="G39" i="10"/>
  <c r="Q39" i="10" s="1"/>
  <c r="F60" i="10"/>
  <c r="F56" i="10"/>
  <c r="F19" i="10"/>
  <c r="F31" i="10"/>
  <c r="F43" i="10"/>
  <c r="F55" i="10"/>
  <c r="E19" i="10"/>
  <c r="E31" i="10"/>
  <c r="E43" i="10"/>
  <c r="E55" i="10"/>
  <c r="E67" i="10"/>
  <c r="J76" i="11"/>
  <c r="J88" i="11"/>
  <c r="J88" i="10"/>
  <c r="J71" i="10"/>
  <c r="J23" i="10"/>
  <c r="J47" i="10"/>
  <c r="I85" i="10"/>
  <c r="I78" i="10"/>
  <c r="I29" i="10"/>
  <c r="I53" i="10"/>
  <c r="G59" i="10"/>
  <c r="Q59" i="10" s="1"/>
  <c r="G11" i="10"/>
  <c r="Q11" i="10" s="1"/>
  <c r="G35" i="10"/>
  <c r="Q35" i="10" s="1"/>
  <c r="F68" i="10"/>
  <c r="F27" i="10"/>
  <c r="F51" i="10"/>
  <c r="E27" i="10"/>
  <c r="E51" i="10"/>
  <c r="J72" i="11"/>
  <c r="J96" i="11"/>
  <c r="J64" i="11"/>
  <c r="J17" i="11"/>
  <c r="J38" i="11"/>
  <c r="Q79" i="1"/>
  <c r="Q101" i="1"/>
  <c r="Q55" i="1"/>
  <c r="Q33" i="1"/>
  <c r="Q13" i="1"/>
  <c r="K65" i="1"/>
  <c r="K77" i="1"/>
  <c r="K89" i="1"/>
  <c r="K101" i="1"/>
  <c r="K64" i="1"/>
  <c r="K24" i="1"/>
  <c r="K36" i="1"/>
  <c r="K48" i="1"/>
  <c r="K60" i="1"/>
  <c r="E88" i="1"/>
  <c r="E100" i="1"/>
  <c r="E79" i="1"/>
  <c r="E18" i="1"/>
  <c r="E30" i="1"/>
  <c r="E42" i="1"/>
  <c r="E54" i="1"/>
  <c r="E66" i="1"/>
  <c r="J89" i="10"/>
  <c r="J72" i="10"/>
  <c r="J24" i="10"/>
  <c r="J48" i="10"/>
  <c r="I86" i="10"/>
  <c r="I79" i="10"/>
  <c r="I30" i="10"/>
  <c r="I54" i="10"/>
  <c r="G60" i="10"/>
  <c r="Q60" i="10" s="1"/>
  <c r="G12" i="10"/>
  <c r="Q12" i="10" s="1"/>
  <c r="G36" i="10"/>
  <c r="Q36" i="10" s="1"/>
  <c r="F69" i="10"/>
  <c r="F28" i="10"/>
  <c r="F52" i="10"/>
  <c r="E28" i="10"/>
  <c r="E52" i="10"/>
  <c r="J73" i="11"/>
  <c r="J97" i="11"/>
  <c r="J65" i="11"/>
  <c r="J18" i="11"/>
  <c r="J39" i="11"/>
  <c r="J90" i="10"/>
  <c r="J73" i="10"/>
  <c r="J25" i="10"/>
  <c r="J49" i="10"/>
  <c r="I87" i="10"/>
  <c r="I80" i="10"/>
  <c r="I31" i="10"/>
  <c r="I55" i="10"/>
  <c r="G61" i="10"/>
  <c r="Q61" i="10" s="1"/>
  <c r="G13" i="10"/>
  <c r="Q13" i="10" s="1"/>
  <c r="G37" i="10"/>
  <c r="Q37" i="10" s="1"/>
  <c r="F70" i="10"/>
  <c r="F29" i="10"/>
  <c r="F53" i="10"/>
  <c r="E29" i="10"/>
  <c r="E53" i="10"/>
  <c r="J74" i="11"/>
  <c r="J98" i="11"/>
  <c r="J66" i="11"/>
  <c r="J23" i="11"/>
  <c r="J41" i="11"/>
  <c r="Q81" i="1"/>
  <c r="Q103" i="1"/>
  <c r="Q18" i="1"/>
  <c r="Q36" i="1"/>
  <c r="K67" i="1"/>
  <c r="K79" i="1"/>
  <c r="K91" i="1"/>
  <c r="K103" i="1"/>
  <c r="K14" i="1"/>
  <c r="K26" i="1"/>
  <c r="K38" i="1"/>
  <c r="K50" i="1"/>
  <c r="K13" i="1"/>
  <c r="E90" i="1"/>
  <c r="E102" i="1"/>
  <c r="E81" i="1"/>
  <c r="E20" i="1"/>
  <c r="E32" i="1"/>
  <c r="E44" i="1"/>
  <c r="E56" i="1"/>
  <c r="E68" i="1"/>
  <c r="J93" i="10"/>
  <c r="J76" i="10"/>
  <c r="J28" i="10"/>
  <c r="J52" i="10"/>
  <c r="I90" i="10"/>
  <c r="I10" i="10"/>
  <c r="I34" i="10"/>
  <c r="I58" i="10"/>
  <c r="G64" i="10"/>
  <c r="Q64" i="10" s="1"/>
  <c r="G16" i="10"/>
  <c r="Q16" i="10" s="1"/>
  <c r="G40" i="10"/>
  <c r="Q40" i="10" s="1"/>
  <c r="F57" i="10"/>
  <c r="F32" i="10"/>
  <c r="F9" i="10"/>
  <c r="E32" i="10"/>
  <c r="E56" i="10"/>
  <c r="J77" i="11"/>
  <c r="J100" i="11"/>
  <c r="J67" i="11"/>
  <c r="J24" i="11"/>
  <c r="J42" i="11"/>
  <c r="Q65" i="1"/>
  <c r="Q83" i="1"/>
  <c r="Q104" i="1"/>
  <c r="Q19" i="1"/>
  <c r="Q37" i="1"/>
  <c r="K68" i="1"/>
  <c r="K80" i="1"/>
  <c r="K92" i="1"/>
  <c r="K104" i="1"/>
  <c r="K15" i="1"/>
  <c r="K27" i="1"/>
  <c r="K39" i="1"/>
  <c r="K51" i="1"/>
  <c r="E91" i="1"/>
  <c r="E103" i="1"/>
  <c r="E82" i="1"/>
  <c r="E21" i="1"/>
  <c r="E33" i="1"/>
  <c r="E45" i="1"/>
  <c r="E57" i="1"/>
  <c r="E69" i="1"/>
  <c r="J105" i="10"/>
  <c r="J16" i="10"/>
  <c r="J40" i="10"/>
  <c r="J64" i="10"/>
  <c r="I102" i="10"/>
  <c r="I22" i="10"/>
  <c r="I46" i="10"/>
  <c r="I70" i="10"/>
  <c r="G55" i="10"/>
  <c r="Q55" i="10" s="1"/>
  <c r="G28" i="10"/>
  <c r="Q28" i="10" s="1"/>
  <c r="F61" i="10"/>
  <c r="F20" i="10"/>
  <c r="F44" i="10"/>
  <c r="E20" i="10"/>
  <c r="E44" i="10"/>
  <c r="E68" i="10"/>
  <c r="J89" i="11"/>
  <c r="J56" i="11"/>
  <c r="J13" i="11"/>
  <c r="J35" i="11"/>
  <c r="Q72" i="1"/>
  <c r="Q93" i="1"/>
  <c r="Q60" i="1"/>
  <c r="Q30" i="1"/>
  <c r="Q48" i="1"/>
  <c r="K74" i="1"/>
  <c r="K86" i="1"/>
  <c r="K98" i="1"/>
  <c r="K110" i="1"/>
  <c r="K21" i="1"/>
  <c r="K33" i="1"/>
  <c r="K45" i="1"/>
  <c r="K57" i="1"/>
  <c r="E85" i="1"/>
  <c r="E97" i="1"/>
  <c r="E109" i="1"/>
  <c r="E15" i="1"/>
  <c r="E27" i="1"/>
  <c r="E39" i="1"/>
  <c r="E51" i="1"/>
  <c r="E63" i="1"/>
  <c r="E75" i="1"/>
  <c r="J87" i="10"/>
  <c r="J70" i="10"/>
  <c r="J22" i="10"/>
  <c r="J46" i="10"/>
  <c r="I84" i="10"/>
  <c r="I81" i="10"/>
  <c r="I28" i="10"/>
  <c r="I52" i="10"/>
  <c r="I9" i="10"/>
  <c r="G10" i="10"/>
  <c r="Q10" i="10" s="1"/>
  <c r="G34" i="10"/>
  <c r="Q34" i="10" s="1"/>
  <c r="F67" i="10"/>
  <c r="F26" i="10"/>
  <c r="F50" i="10"/>
  <c r="E26" i="10"/>
  <c r="E50" i="10"/>
  <c r="J95" i="11"/>
  <c r="J59" i="11"/>
  <c r="J15" i="11"/>
  <c r="J37" i="11"/>
  <c r="Q78" i="1"/>
  <c r="Q96" i="1"/>
  <c r="Q62" i="1"/>
  <c r="Q32" i="1"/>
  <c r="Q54" i="1"/>
  <c r="K76" i="1"/>
  <c r="K88" i="1"/>
  <c r="K100" i="1"/>
  <c r="K63" i="1"/>
  <c r="K23" i="1"/>
  <c r="K35" i="1"/>
  <c r="K47" i="1"/>
  <c r="K59" i="1"/>
  <c r="E87" i="1"/>
  <c r="E99" i="1"/>
  <c r="E111" i="1"/>
  <c r="E17" i="1"/>
  <c r="E29" i="1"/>
  <c r="E41" i="1"/>
  <c r="E53" i="1"/>
  <c r="E65" i="1"/>
  <c r="E13" i="1"/>
  <c r="J100" i="10"/>
  <c r="J35" i="10"/>
  <c r="I97" i="10"/>
  <c r="I41" i="10"/>
  <c r="G71" i="10"/>
  <c r="Q71" i="10" s="1"/>
  <c r="G47" i="10"/>
  <c r="Q47" i="10" s="1"/>
  <c r="F39" i="10"/>
  <c r="E39" i="10"/>
  <c r="J84" i="11"/>
  <c r="J71" i="11"/>
  <c r="J49" i="11"/>
  <c r="Q92" i="1"/>
  <c r="Q22" i="1"/>
  <c r="K69" i="1"/>
  <c r="K87" i="1"/>
  <c r="K108" i="1"/>
  <c r="K29" i="1"/>
  <c r="K49" i="1"/>
  <c r="E98" i="1"/>
  <c r="E78" i="1"/>
  <c r="E35" i="1"/>
  <c r="E55" i="1"/>
  <c r="E74" i="1"/>
  <c r="E59" i="1"/>
  <c r="J67" i="10"/>
  <c r="F13" i="10"/>
  <c r="Q34" i="1"/>
  <c r="K95" i="1"/>
  <c r="E40" i="1"/>
  <c r="J101" i="10"/>
  <c r="J36" i="10"/>
  <c r="I98" i="10"/>
  <c r="I42" i="10"/>
  <c r="G51" i="10"/>
  <c r="Q51" i="10" s="1"/>
  <c r="G48" i="10"/>
  <c r="Q48" i="10" s="1"/>
  <c r="F40" i="10"/>
  <c r="E40" i="10"/>
  <c r="J85" i="11"/>
  <c r="J11" i="11"/>
  <c r="J50" i="11"/>
  <c r="Q66" i="1"/>
  <c r="Q95" i="1"/>
  <c r="Q24" i="1"/>
  <c r="K70" i="1"/>
  <c r="K90" i="1"/>
  <c r="K109" i="1"/>
  <c r="K30" i="1"/>
  <c r="K52" i="1"/>
  <c r="E101" i="1"/>
  <c r="E14" i="1"/>
  <c r="E36" i="1"/>
  <c r="E58" i="1"/>
  <c r="E76" i="1"/>
  <c r="J57" i="10"/>
  <c r="G21" i="10"/>
  <c r="Q21" i="10" s="1"/>
  <c r="E61" i="10"/>
  <c r="J101" i="11"/>
  <c r="Q69" i="1"/>
  <c r="Q107" i="1"/>
  <c r="K73" i="1"/>
  <c r="K16" i="1"/>
  <c r="E22" i="1"/>
  <c r="J102" i="10"/>
  <c r="J37" i="10"/>
  <c r="I99" i="10"/>
  <c r="I43" i="10"/>
  <c r="G52" i="10"/>
  <c r="Q52" i="10" s="1"/>
  <c r="G9" i="10"/>
  <c r="Q9" i="10" s="1"/>
  <c r="F41" i="10"/>
  <c r="E41" i="10"/>
  <c r="J86" i="11"/>
  <c r="J12" i="11"/>
  <c r="J8" i="11"/>
  <c r="Q67" i="1"/>
  <c r="Q102" i="1"/>
  <c r="Q25" i="1"/>
  <c r="K71" i="1"/>
  <c r="K93" i="1"/>
  <c r="K111" i="1"/>
  <c r="K31" i="1"/>
  <c r="K53" i="1"/>
  <c r="E104" i="1"/>
  <c r="E16" i="1"/>
  <c r="E37" i="1"/>
  <c r="I15" i="10"/>
  <c r="K55" i="1"/>
  <c r="E106" i="1"/>
  <c r="J69" i="10"/>
  <c r="J45" i="10"/>
  <c r="I107" i="10"/>
  <c r="I51" i="10"/>
  <c r="G50" i="10"/>
  <c r="Q50" i="10" s="1"/>
  <c r="F66" i="10"/>
  <c r="F49" i="10"/>
  <c r="E49" i="10"/>
  <c r="J94" i="11"/>
  <c r="J14" i="11"/>
  <c r="Q68" i="1"/>
  <c r="Q105" i="1"/>
  <c r="Q31" i="1"/>
  <c r="K72" i="1"/>
  <c r="K94" i="1"/>
  <c r="K62" i="1"/>
  <c r="K32" i="1"/>
  <c r="K54" i="1"/>
  <c r="E105" i="1"/>
  <c r="E19" i="1"/>
  <c r="E38" i="1"/>
  <c r="E60" i="1"/>
  <c r="I63" i="10"/>
  <c r="E13" i="10"/>
  <c r="J25" i="11"/>
  <c r="K34" i="1"/>
  <c r="E61" i="1"/>
  <c r="J86" i="10"/>
  <c r="J21" i="10"/>
  <c r="I83" i="10"/>
  <c r="I27" i="10"/>
  <c r="I75" i="10"/>
  <c r="G33" i="10"/>
  <c r="Q33" i="10" s="1"/>
  <c r="F25" i="10"/>
  <c r="E25" i="10"/>
  <c r="J58" i="11"/>
  <c r="J36" i="11"/>
  <c r="Q89" i="1"/>
  <c r="Q56" i="1"/>
  <c r="Q46" i="1"/>
  <c r="K83" i="1"/>
  <c r="K105" i="1"/>
  <c r="K22" i="1"/>
  <c r="K43" i="1"/>
  <c r="J98" i="10"/>
  <c r="J33" i="10"/>
  <c r="I95" i="10"/>
  <c r="I39" i="10"/>
  <c r="G69" i="10"/>
  <c r="Q69" i="10" s="1"/>
  <c r="G45" i="10"/>
  <c r="Q45" i="10" s="1"/>
  <c r="F37" i="10"/>
  <c r="E37" i="10"/>
  <c r="J82" i="11"/>
  <c r="J68" i="11"/>
  <c r="J47" i="11"/>
  <c r="Q90" i="1"/>
  <c r="Q20" i="1"/>
  <c r="Q49" i="1"/>
  <c r="K84" i="1"/>
  <c r="K106" i="1"/>
  <c r="K25" i="1"/>
  <c r="K44" i="1"/>
  <c r="E95" i="1"/>
  <c r="E84" i="1"/>
  <c r="E31" i="1"/>
  <c r="E50" i="1"/>
  <c r="E72" i="1"/>
  <c r="J99" i="10"/>
  <c r="J34" i="10"/>
  <c r="I96" i="10"/>
  <c r="I40" i="10"/>
  <c r="G70" i="10"/>
  <c r="Q70" i="10" s="1"/>
  <c r="G46" i="10"/>
  <c r="Q46" i="10" s="1"/>
  <c r="F38" i="10"/>
  <c r="E38" i="10"/>
  <c r="J83" i="11"/>
  <c r="J70" i="11"/>
  <c r="J48" i="11"/>
  <c r="Q91" i="1"/>
  <c r="Q21" i="1"/>
  <c r="Q84" i="1"/>
  <c r="E86" i="1"/>
  <c r="I64" i="10"/>
  <c r="J59" i="10"/>
  <c r="G23" i="10"/>
  <c r="Q23" i="10" s="1"/>
  <c r="E63" i="10"/>
  <c r="J53" i="11"/>
  <c r="Q43" i="1"/>
  <c r="K81" i="1"/>
  <c r="K28" i="1"/>
  <c r="E107" i="1"/>
  <c r="E43" i="1"/>
  <c r="J60" i="10"/>
  <c r="G24" i="10"/>
  <c r="Q24" i="10" s="1"/>
  <c r="E64" i="10"/>
  <c r="J54" i="11"/>
  <c r="Q44" i="1"/>
  <c r="K82" i="1"/>
  <c r="K37" i="1"/>
  <c r="E108" i="1"/>
  <c r="E46" i="1"/>
  <c r="F14" i="10"/>
  <c r="E80" i="1"/>
  <c r="F15" i="10"/>
  <c r="J27" i="11"/>
  <c r="Q77" i="1"/>
  <c r="K97" i="1"/>
  <c r="F16" i="10"/>
  <c r="J30" i="11"/>
  <c r="E23" i="1"/>
  <c r="J10" i="10"/>
  <c r="Q108" i="1"/>
  <c r="Q71" i="1"/>
  <c r="K96" i="1"/>
  <c r="K41" i="1"/>
  <c r="E48" i="1"/>
  <c r="J29" i="11"/>
  <c r="K56" i="1"/>
  <c r="E62" i="1"/>
  <c r="E14" i="10"/>
  <c r="K58" i="1"/>
  <c r="E89" i="1"/>
  <c r="J61" i="10"/>
  <c r="G25" i="10"/>
  <c r="Q25" i="10" s="1"/>
  <c r="E65" i="10"/>
  <c r="J55" i="11"/>
  <c r="Q45" i="1"/>
  <c r="K85" i="1"/>
  <c r="K40" i="1"/>
  <c r="E110" i="1"/>
  <c r="E47" i="1"/>
  <c r="I16" i="10"/>
  <c r="J26" i="11"/>
  <c r="I17" i="10"/>
  <c r="E83" i="1"/>
  <c r="Q80" i="1"/>
  <c r="E52" i="1"/>
  <c r="E24" i="1"/>
  <c r="E64" i="1"/>
  <c r="J11" i="10"/>
  <c r="I65" i="10"/>
  <c r="E15" i="10"/>
  <c r="Q58" i="1"/>
  <c r="K17" i="1"/>
  <c r="K61" i="1"/>
  <c r="E92" i="1"/>
  <c r="E25" i="1"/>
  <c r="E67" i="1"/>
  <c r="J58" i="10"/>
  <c r="K20" i="1"/>
  <c r="E96" i="1"/>
  <c r="E73" i="1"/>
  <c r="K42" i="1"/>
  <c r="F17" i="10"/>
  <c r="K107" i="1"/>
  <c r="J12" i="10"/>
  <c r="I66" i="10"/>
  <c r="E16" i="10"/>
  <c r="Q59" i="1"/>
  <c r="K66" i="1"/>
  <c r="K18" i="1"/>
  <c r="E93" i="1"/>
  <c r="E26" i="1"/>
  <c r="E70" i="1"/>
  <c r="J13" i="10"/>
  <c r="I67" i="10"/>
  <c r="E17" i="10"/>
  <c r="Q61" i="1"/>
  <c r="K75" i="1"/>
  <c r="K19" i="1"/>
  <c r="E94" i="1"/>
  <c r="E28" i="1"/>
  <c r="E71" i="1"/>
  <c r="G22" i="10"/>
  <c r="Q22" i="10" s="1"/>
  <c r="E62" i="10"/>
  <c r="J106" i="11"/>
  <c r="Q42" i="1"/>
  <c r="K78" i="1"/>
  <c r="E34" i="1"/>
  <c r="E49" i="1"/>
  <c r="I18" i="10"/>
  <c r="K99" i="1"/>
  <c r="K46" i="1"/>
  <c r="E77" i="1"/>
  <c r="I19" i="10"/>
  <c r="K102" i="1"/>
  <c r="O72" i="17"/>
  <c r="N82" i="17"/>
  <c r="N8" i="17"/>
  <c r="N19" i="17"/>
  <c r="O22" i="17"/>
  <c r="W1" i="6"/>
  <c r="W1" i="1"/>
  <c r="G21" i="15"/>
  <c r="G11" i="15"/>
  <c r="E12" i="15"/>
  <c r="G13" i="15"/>
  <c r="C11" i="15"/>
  <c r="N15" i="17"/>
  <c r="P15" i="17"/>
  <c r="E23" i="15"/>
  <c r="P7" i="11" l="1"/>
  <c r="P8" i="11"/>
  <c r="R7" i="11"/>
  <c r="R8" i="11"/>
  <c r="S12" i="1"/>
  <c r="E22" i="15"/>
  <c r="C13" i="15"/>
  <c r="I13" i="15" s="1"/>
  <c r="S107" i="1" l="1"/>
  <c r="S107" i="6" s="1"/>
  <c r="S96" i="1"/>
  <c r="S96" i="6" s="1"/>
  <c r="S106" i="1"/>
  <c r="S106" i="6" s="1"/>
  <c r="S95" i="1"/>
  <c r="S95" i="6" s="1"/>
  <c r="S12" i="6"/>
  <c r="S105" i="1"/>
  <c r="S105" i="6" s="1"/>
  <c r="S94" i="1"/>
  <c r="S94" i="6" s="1"/>
  <c r="S104" i="1"/>
  <c r="S104" i="6" s="1"/>
  <c r="S93" i="1"/>
  <c r="S93" i="6" s="1"/>
  <c r="S110" i="1"/>
  <c r="S110" i="6" s="1"/>
  <c r="S103" i="1"/>
  <c r="S103" i="6" s="1"/>
  <c r="S111" i="1"/>
  <c r="S111" i="6" s="1"/>
  <c r="S92" i="1"/>
  <c r="S92" i="6" s="1"/>
  <c r="S109" i="1"/>
  <c r="S109" i="6" s="1"/>
  <c r="S98" i="1"/>
  <c r="S98" i="6" s="1"/>
  <c r="S108" i="1"/>
  <c r="S108" i="6" s="1"/>
  <c r="S97" i="1"/>
  <c r="S97" i="6" s="1"/>
  <c r="S102" i="1"/>
  <c r="S102" i="6" s="1"/>
  <c r="S99" i="1"/>
  <c r="S99" i="6" s="1"/>
  <c r="S100" i="1"/>
  <c r="S100" i="6" s="1"/>
  <c r="S101" i="1"/>
  <c r="S101" i="6" s="1"/>
  <c r="C23" i="15"/>
  <c r="I23" i="15" s="1"/>
  <c r="K13" i="15"/>
  <c r="K23" i="15" s="1"/>
  <c r="P37" i="13"/>
  <c r="R6" i="13" l="1"/>
  <c r="P6" i="13"/>
  <c r="R1" i="13" l="1"/>
  <c r="P22" i="13" l="1"/>
  <c r="P19" i="13"/>
  <c r="P10" i="13"/>
  <c r="P16" i="13"/>
  <c r="P9" i="13"/>
  <c r="P18" i="13"/>
  <c r="P15" i="13"/>
  <c r="P21" i="13"/>
  <c r="O29" i="17" s="1"/>
  <c r="R21" i="13" l="1"/>
  <c r="P48" i="13"/>
  <c r="P34" i="13"/>
  <c r="R34" i="13" s="1"/>
  <c r="P45" i="13"/>
  <c r="R16" i="13"/>
  <c r="P29" i="13"/>
  <c r="R29" i="13" s="1"/>
  <c r="P44" i="13"/>
  <c r="P28" i="13"/>
  <c r="R28" i="13" s="1"/>
  <c r="R15" i="13"/>
  <c r="P40" i="13"/>
  <c r="R10" i="13"/>
  <c r="P25" i="13"/>
  <c r="R25" i="13" s="1"/>
  <c r="P12" i="13"/>
  <c r="R18" i="13"/>
  <c r="P46" i="13"/>
  <c r="P31" i="13"/>
  <c r="R31" i="13" s="1"/>
  <c r="R19" i="13"/>
  <c r="P47" i="13"/>
  <c r="P32" i="13"/>
  <c r="R32" i="13" s="1"/>
  <c r="P39" i="13"/>
  <c r="P11" i="13"/>
  <c r="R9" i="13"/>
  <c r="P49" i="13"/>
  <c r="R22" i="13"/>
  <c r="P35" i="13"/>
  <c r="R35" i="13" s="1"/>
  <c r="N1" i="15"/>
  <c r="M1" i="14"/>
  <c r="P1" i="17"/>
  <c r="N53" i="17" s="1"/>
  <c r="L1" i="12"/>
  <c r="K1" i="2"/>
  <c r="U1" i="10"/>
  <c r="X1" i="11"/>
  <c r="N49" i="17" l="1"/>
  <c r="N47" i="17"/>
  <c r="L74" i="17"/>
  <c r="N51" i="17"/>
  <c r="N46" i="17"/>
  <c r="N45" i="17"/>
  <c r="N35" i="17"/>
  <c r="O35" i="17" s="1"/>
  <c r="G8" i="10"/>
  <c r="Q8" i="10" s="1"/>
  <c r="C8" i="10"/>
  <c r="B8" i="10" s="1"/>
  <c r="B71" i="2"/>
  <c r="B60" i="2"/>
  <c r="B62" i="2"/>
  <c r="B75" i="2"/>
  <c r="B72" i="2"/>
  <c r="B74" i="2"/>
  <c r="B64" i="2"/>
  <c r="B66" i="2"/>
  <c r="B61" i="2"/>
  <c r="B73" i="2"/>
  <c r="B63" i="2"/>
  <c r="B76" i="2"/>
  <c r="B65" i="2"/>
  <c r="B77" i="2"/>
  <c r="B78" i="2"/>
  <c r="B70" i="2"/>
  <c r="B67" i="2"/>
  <c r="B79" i="2"/>
  <c r="B68" i="2"/>
  <c r="B69" i="2"/>
  <c r="S36" i="1"/>
  <c r="S36" i="6" s="1"/>
  <c r="S25" i="1"/>
  <c r="S25" i="6" s="1"/>
  <c r="S37" i="1"/>
  <c r="S37" i="6" s="1"/>
  <c r="S49" i="1"/>
  <c r="S49" i="6" s="1"/>
  <c r="S61" i="1"/>
  <c r="S61" i="6" s="1"/>
  <c r="S73" i="1"/>
  <c r="S73" i="6" s="1"/>
  <c r="S85" i="1"/>
  <c r="S85" i="6" s="1"/>
  <c r="S14" i="1"/>
  <c r="S14" i="6" s="1"/>
  <c r="S26" i="1"/>
  <c r="S26" i="6" s="1"/>
  <c r="S38" i="1"/>
  <c r="S38" i="6" s="1"/>
  <c r="S50" i="1"/>
  <c r="S50" i="6" s="1"/>
  <c r="S62" i="1"/>
  <c r="S62" i="6" s="1"/>
  <c r="S74" i="1"/>
  <c r="S74" i="6" s="1"/>
  <c r="S86" i="1"/>
  <c r="S86" i="6" s="1"/>
  <c r="S27" i="1"/>
  <c r="S27" i="6" s="1"/>
  <c r="S39" i="1"/>
  <c r="S39" i="6" s="1"/>
  <c r="S51" i="1"/>
  <c r="S51" i="6" s="1"/>
  <c r="S63" i="1"/>
  <c r="S63" i="6" s="1"/>
  <c r="S75" i="1"/>
  <c r="S75" i="6" s="1"/>
  <c r="S87" i="1"/>
  <c r="S87" i="6" s="1"/>
  <c r="S28" i="1"/>
  <c r="S28" i="6" s="1"/>
  <c r="S52" i="1"/>
  <c r="S52" i="6" s="1"/>
  <c r="S64" i="1"/>
  <c r="S64" i="6" s="1"/>
  <c r="S76" i="1"/>
  <c r="S76" i="6" s="1"/>
  <c r="S88" i="1"/>
  <c r="S88" i="6" s="1"/>
  <c r="S82" i="1"/>
  <c r="S82" i="6" s="1"/>
  <c r="S15" i="1"/>
  <c r="S15" i="6" s="1"/>
  <c r="S40" i="1"/>
  <c r="S40" i="6" s="1"/>
  <c r="S71" i="1"/>
  <c r="S71" i="6" s="1"/>
  <c r="S16" i="1"/>
  <c r="S16" i="6" s="1"/>
  <c r="S60" i="1"/>
  <c r="S60" i="6" s="1"/>
  <c r="S17" i="1"/>
  <c r="S17" i="6" s="1"/>
  <c r="S29" i="1"/>
  <c r="S29" i="6" s="1"/>
  <c r="S41" i="1"/>
  <c r="S41" i="6" s="1"/>
  <c r="S53" i="1"/>
  <c r="S53" i="6" s="1"/>
  <c r="S65" i="1"/>
  <c r="S65" i="6" s="1"/>
  <c r="S77" i="1"/>
  <c r="S77" i="6" s="1"/>
  <c r="S89" i="1"/>
  <c r="S89" i="6" s="1"/>
  <c r="S18" i="1"/>
  <c r="S18" i="6" s="1"/>
  <c r="S30" i="1"/>
  <c r="S30" i="6" s="1"/>
  <c r="S42" i="1"/>
  <c r="S42" i="6" s="1"/>
  <c r="S54" i="1"/>
  <c r="S54" i="6" s="1"/>
  <c r="S66" i="1"/>
  <c r="S66" i="6" s="1"/>
  <c r="S78" i="1"/>
  <c r="S78" i="6" s="1"/>
  <c r="S90" i="1"/>
  <c r="S90" i="6" s="1"/>
  <c r="S19" i="1"/>
  <c r="S19" i="6" s="1"/>
  <c r="S31" i="1"/>
  <c r="S31" i="6" s="1"/>
  <c r="S43" i="1"/>
  <c r="S43" i="6" s="1"/>
  <c r="S55" i="1"/>
  <c r="S55" i="6" s="1"/>
  <c r="S67" i="1"/>
  <c r="S67" i="6" s="1"/>
  <c r="S79" i="1"/>
  <c r="S79" i="6" s="1"/>
  <c r="S91" i="1"/>
  <c r="S91" i="6" s="1"/>
  <c r="S20" i="1"/>
  <c r="S20" i="6" s="1"/>
  <c r="S32" i="1"/>
  <c r="S32" i="6" s="1"/>
  <c r="S44" i="1"/>
  <c r="S44" i="6" s="1"/>
  <c r="S56" i="1"/>
  <c r="S56" i="6" s="1"/>
  <c r="S68" i="1"/>
  <c r="S68" i="6" s="1"/>
  <c r="S80" i="1"/>
  <c r="S80" i="6" s="1"/>
  <c r="S13" i="1"/>
  <c r="S13" i="6" s="1"/>
  <c r="S21" i="1"/>
  <c r="S21" i="6" s="1"/>
  <c r="S33" i="1"/>
  <c r="S33" i="6" s="1"/>
  <c r="S45" i="1"/>
  <c r="S45" i="6" s="1"/>
  <c r="S57" i="1"/>
  <c r="S57" i="6" s="1"/>
  <c r="S69" i="1"/>
  <c r="S69" i="6" s="1"/>
  <c r="S81" i="1"/>
  <c r="S81" i="6" s="1"/>
  <c r="S22" i="1"/>
  <c r="S22" i="6" s="1"/>
  <c r="S34" i="1"/>
  <c r="S34" i="6" s="1"/>
  <c r="S46" i="1"/>
  <c r="S46" i="6" s="1"/>
  <c r="S58" i="1"/>
  <c r="S58" i="6" s="1"/>
  <c r="S70" i="1"/>
  <c r="S70" i="6" s="1"/>
  <c r="S23" i="1"/>
  <c r="S23" i="6" s="1"/>
  <c r="S35" i="1"/>
  <c r="S35" i="6" s="1"/>
  <c r="S47" i="1"/>
  <c r="S47" i="6" s="1"/>
  <c r="S59" i="1"/>
  <c r="S59" i="6" s="1"/>
  <c r="S83" i="1"/>
  <c r="S83" i="6" s="1"/>
  <c r="S24" i="1"/>
  <c r="S24" i="6" s="1"/>
  <c r="S48" i="1"/>
  <c r="S48" i="6" s="1"/>
  <c r="S72" i="1"/>
  <c r="S72" i="6" s="1"/>
  <c r="S84" i="1"/>
  <c r="S84" i="6" s="1"/>
  <c r="K12" i="1"/>
  <c r="K29" i="6" s="1"/>
  <c r="K17" i="6"/>
  <c r="K33" i="6"/>
  <c r="T12" i="1"/>
  <c r="Q12" i="1"/>
  <c r="I12" i="1"/>
  <c r="P12" i="1"/>
  <c r="O12" i="1"/>
  <c r="E12" i="1"/>
  <c r="N86" i="17"/>
  <c r="O62" i="17"/>
  <c r="O30" i="17"/>
  <c r="O32" i="17" s="1"/>
  <c r="P80" i="17"/>
  <c r="O61" i="17"/>
  <c r="O78" i="17"/>
  <c r="O60" i="17"/>
  <c r="O28" i="17"/>
  <c r="N37" i="17"/>
  <c r="N34" i="17"/>
  <c r="N42" i="17"/>
  <c r="P17" i="17"/>
  <c r="O55" i="17"/>
  <c r="O27" i="17"/>
  <c r="O26" i="17"/>
  <c r="O25" i="17"/>
  <c r="N36" i="17"/>
  <c r="O31" i="17"/>
  <c r="N38" i="17"/>
  <c r="N66" i="17"/>
  <c r="N39" i="17"/>
  <c r="O64" i="17"/>
  <c r="D7" i="11"/>
  <c r="C7" i="11"/>
  <c r="M7" i="11" s="1"/>
  <c r="B58" i="2"/>
  <c r="F57" i="12" s="1"/>
  <c r="B59" i="2"/>
  <c r="J8" i="10"/>
  <c r="I8" i="10"/>
  <c r="N84" i="17"/>
  <c r="P41" i="13"/>
  <c r="R11" i="13"/>
  <c r="P42" i="13"/>
  <c r="R12" i="13"/>
  <c r="B7" i="11"/>
  <c r="E8" i="10"/>
  <c r="O71" i="10" s="1"/>
  <c r="F8" i="10"/>
  <c r="P71" i="10" s="1"/>
  <c r="B7" i="2"/>
  <c r="M53" i="17" l="1"/>
  <c r="O53" i="17"/>
  <c r="H105" i="11"/>
  <c r="H99" i="11"/>
  <c r="K19" i="6"/>
  <c r="K13" i="6"/>
  <c r="H90" i="11"/>
  <c r="H96" i="11"/>
  <c r="G12" i="1"/>
  <c r="G102" i="1"/>
  <c r="G102" i="6" s="1"/>
  <c r="G101" i="1"/>
  <c r="G101" i="6" s="1"/>
  <c r="G100" i="1"/>
  <c r="G100" i="6" s="1"/>
  <c r="G107" i="1"/>
  <c r="G107" i="6" s="1"/>
  <c r="G99" i="1"/>
  <c r="G99" i="6" s="1"/>
  <c r="G108" i="1"/>
  <c r="G108" i="6" s="1"/>
  <c r="G109" i="1"/>
  <c r="G109" i="6" s="1"/>
  <c r="G98" i="1"/>
  <c r="G98" i="6" s="1"/>
  <c r="G97" i="1"/>
  <c r="G97" i="6" s="1"/>
  <c r="G111" i="1"/>
  <c r="G111" i="6" s="1"/>
  <c r="G92" i="1"/>
  <c r="G92" i="6" s="1"/>
  <c r="G110" i="1"/>
  <c r="G110" i="6" s="1"/>
  <c r="G103" i="1"/>
  <c r="G103" i="6" s="1"/>
  <c r="G106" i="1"/>
  <c r="G106" i="6" s="1"/>
  <c r="G93" i="1"/>
  <c r="G93" i="6" s="1"/>
  <c r="G95" i="1"/>
  <c r="G95" i="6" s="1"/>
  <c r="E12" i="6"/>
  <c r="G12" i="6" s="1"/>
  <c r="G94" i="1"/>
  <c r="G94" i="6" s="1"/>
  <c r="G104" i="1"/>
  <c r="G104" i="6" s="1"/>
  <c r="G96" i="1"/>
  <c r="G96" i="6" s="1"/>
  <c r="G105" i="1"/>
  <c r="G105" i="6" s="1"/>
  <c r="E99" i="6"/>
  <c r="E92" i="6"/>
  <c r="E100" i="6"/>
  <c r="E96" i="6"/>
  <c r="E101" i="6"/>
  <c r="E107" i="6"/>
  <c r="E104" i="6"/>
  <c r="E98" i="6"/>
  <c r="E97" i="6"/>
  <c r="E103" i="6"/>
  <c r="E108" i="6"/>
  <c r="E95" i="6"/>
  <c r="E106" i="6"/>
  <c r="E102" i="6"/>
  <c r="E94" i="6"/>
  <c r="E111" i="6"/>
  <c r="E105" i="6"/>
  <c r="E93" i="6"/>
  <c r="E109" i="6"/>
  <c r="E110" i="6"/>
  <c r="H89" i="11"/>
  <c r="O12" i="6"/>
  <c r="G75" i="12"/>
  <c r="H75" i="12"/>
  <c r="J75" i="12"/>
  <c r="L75" i="12"/>
  <c r="N75" i="12"/>
  <c r="I75" i="12"/>
  <c r="K75" i="12"/>
  <c r="M75" i="12"/>
  <c r="D75" i="12"/>
  <c r="C75" i="2"/>
  <c r="E75" i="12"/>
  <c r="F75" i="12"/>
  <c r="H87" i="11"/>
  <c r="F68" i="12"/>
  <c r="G68" i="12"/>
  <c r="J68" i="12"/>
  <c r="M68" i="12"/>
  <c r="H68" i="12"/>
  <c r="C68" i="2"/>
  <c r="I68" i="12"/>
  <c r="K68" i="12"/>
  <c r="L68" i="12"/>
  <c r="E68" i="12"/>
  <c r="N68" i="12"/>
  <c r="D68" i="12"/>
  <c r="E67" i="12"/>
  <c r="L67" i="12"/>
  <c r="F67" i="12"/>
  <c r="C67" i="2"/>
  <c r="H67" i="12"/>
  <c r="J67" i="12"/>
  <c r="G67" i="12"/>
  <c r="I67" i="12"/>
  <c r="K67" i="12"/>
  <c r="D67" i="12"/>
  <c r="M67" i="12"/>
  <c r="N67" i="12"/>
  <c r="M63" i="12"/>
  <c r="F63" i="12"/>
  <c r="N63" i="12"/>
  <c r="E63" i="12"/>
  <c r="D63" i="12"/>
  <c r="G63" i="12"/>
  <c r="H63" i="12"/>
  <c r="L63" i="12"/>
  <c r="I63" i="12"/>
  <c r="J63" i="12"/>
  <c r="C63" i="2"/>
  <c r="K63" i="12"/>
  <c r="H106" i="11"/>
  <c r="H100" i="11"/>
  <c r="D78" i="12"/>
  <c r="C78" i="2"/>
  <c r="H78" i="12"/>
  <c r="J78" i="12"/>
  <c r="E78" i="12"/>
  <c r="G78" i="12"/>
  <c r="I78" i="12"/>
  <c r="K78" i="12"/>
  <c r="F78" i="12"/>
  <c r="L78" i="12"/>
  <c r="M78" i="12"/>
  <c r="N78" i="12"/>
  <c r="E73" i="12"/>
  <c r="H73" i="12"/>
  <c r="J73" i="12"/>
  <c r="L73" i="12"/>
  <c r="C73" i="2"/>
  <c r="F73" i="12"/>
  <c r="I73" i="12"/>
  <c r="K73" i="12"/>
  <c r="G73" i="12"/>
  <c r="M73" i="12"/>
  <c r="N73" i="12"/>
  <c r="D73" i="12"/>
  <c r="H92" i="11"/>
  <c r="H102" i="11"/>
  <c r="G65" i="12"/>
  <c r="J65" i="12"/>
  <c r="D65" i="12"/>
  <c r="N65" i="12"/>
  <c r="E65" i="12"/>
  <c r="F65" i="12"/>
  <c r="H65" i="12"/>
  <c r="I65" i="12"/>
  <c r="C65" i="2"/>
  <c r="K65" i="12"/>
  <c r="L65" i="12"/>
  <c r="M65" i="12"/>
  <c r="D66" i="12"/>
  <c r="C66" i="2"/>
  <c r="G66" i="12"/>
  <c r="I66" i="12"/>
  <c r="E66" i="12"/>
  <c r="K66" i="12"/>
  <c r="F66" i="12"/>
  <c r="H66" i="12"/>
  <c r="J66" i="12"/>
  <c r="L66" i="12"/>
  <c r="M66" i="12"/>
  <c r="N66" i="12"/>
  <c r="I71" i="12"/>
  <c r="L71" i="12"/>
  <c r="C71" i="2"/>
  <c r="D71" i="12"/>
  <c r="J71" i="12"/>
  <c r="N71" i="12"/>
  <c r="K71" i="12"/>
  <c r="M71" i="12"/>
  <c r="H71" i="12"/>
  <c r="E71" i="12"/>
  <c r="F71" i="12"/>
  <c r="G71" i="12"/>
  <c r="N64" i="12"/>
  <c r="E64" i="12"/>
  <c r="G64" i="12"/>
  <c r="I64" i="12"/>
  <c r="D64" i="12"/>
  <c r="F64" i="12"/>
  <c r="H64" i="12"/>
  <c r="M64" i="12"/>
  <c r="J64" i="12"/>
  <c r="K64" i="12"/>
  <c r="L64" i="12"/>
  <c r="C64" i="2"/>
  <c r="Q14" i="6"/>
  <c r="Q12" i="6"/>
  <c r="Q106" i="6"/>
  <c r="Q103" i="6"/>
  <c r="Q107" i="6"/>
  <c r="Q93" i="6"/>
  <c r="Q92" i="6"/>
  <c r="Q108" i="6"/>
  <c r="Q111" i="6"/>
  <c r="Q100" i="6"/>
  <c r="Q104" i="6"/>
  <c r="Q98" i="6"/>
  <c r="Q95" i="6"/>
  <c r="Q94" i="6"/>
  <c r="Q102" i="6"/>
  <c r="Q105" i="6"/>
  <c r="Q109" i="6"/>
  <c r="Q99" i="6"/>
  <c r="Q101" i="6"/>
  <c r="Q110" i="6"/>
  <c r="Q96" i="6"/>
  <c r="Q97" i="6"/>
  <c r="J60" i="12"/>
  <c r="C60" i="2"/>
  <c r="E60" i="12"/>
  <c r="K60" i="12"/>
  <c r="M60" i="12"/>
  <c r="L60" i="12"/>
  <c r="N60" i="12"/>
  <c r="D60" i="12"/>
  <c r="I60" i="12"/>
  <c r="F60" i="12"/>
  <c r="G60" i="12"/>
  <c r="H60" i="12"/>
  <c r="T13" i="1"/>
  <c r="T13" i="6" s="1"/>
  <c r="T108" i="1"/>
  <c r="T108" i="6" s="1"/>
  <c r="T97" i="1"/>
  <c r="T97" i="6" s="1"/>
  <c r="T12" i="6"/>
  <c r="M76" i="17" s="1"/>
  <c r="T107" i="1"/>
  <c r="T107" i="6" s="1"/>
  <c r="T96" i="1"/>
  <c r="T96" i="6" s="1"/>
  <c r="T110" i="1"/>
  <c r="T110" i="6" s="1"/>
  <c r="T106" i="1"/>
  <c r="T106" i="6" s="1"/>
  <c r="T95" i="1"/>
  <c r="T95" i="6" s="1"/>
  <c r="T105" i="1"/>
  <c r="T105" i="6" s="1"/>
  <c r="T94" i="1"/>
  <c r="T94" i="6" s="1"/>
  <c r="T104" i="1"/>
  <c r="T104" i="6" s="1"/>
  <c r="T93" i="1"/>
  <c r="T93" i="6" s="1"/>
  <c r="T111" i="1"/>
  <c r="T111" i="6" s="1"/>
  <c r="T92" i="1"/>
  <c r="T92" i="6" s="1"/>
  <c r="T99" i="1"/>
  <c r="T99" i="6" s="1"/>
  <c r="T109" i="1"/>
  <c r="T109" i="6" s="1"/>
  <c r="T98" i="1"/>
  <c r="T98" i="6" s="1"/>
  <c r="T101" i="1"/>
  <c r="T101" i="6" s="1"/>
  <c r="T103" i="1"/>
  <c r="T103" i="6" s="1"/>
  <c r="T102" i="1"/>
  <c r="T102" i="6" s="1"/>
  <c r="T100" i="1"/>
  <c r="T100" i="6" s="1"/>
  <c r="K21" i="6"/>
  <c r="M12" i="1"/>
  <c r="M104" i="1"/>
  <c r="M104" i="6" s="1"/>
  <c r="M93" i="1"/>
  <c r="M93" i="6" s="1"/>
  <c r="K12" i="6"/>
  <c r="M12" i="6" s="1"/>
  <c r="M111" i="1"/>
  <c r="M111" i="6" s="1"/>
  <c r="M92" i="1"/>
  <c r="M92" i="6" s="1"/>
  <c r="M110" i="1"/>
  <c r="M110" i="6" s="1"/>
  <c r="M103" i="1"/>
  <c r="M103" i="6" s="1"/>
  <c r="M102" i="1"/>
  <c r="M102" i="6" s="1"/>
  <c r="M100" i="1"/>
  <c r="M100" i="6" s="1"/>
  <c r="M101" i="1"/>
  <c r="M101" i="6" s="1"/>
  <c r="M106" i="1"/>
  <c r="M106" i="6" s="1"/>
  <c r="M95" i="1"/>
  <c r="M95" i="6" s="1"/>
  <c r="M105" i="1"/>
  <c r="M105" i="6" s="1"/>
  <c r="M94" i="1"/>
  <c r="M94" i="6" s="1"/>
  <c r="M96" i="1"/>
  <c r="M96" i="6" s="1"/>
  <c r="M99" i="1"/>
  <c r="M99" i="6" s="1"/>
  <c r="M107" i="1"/>
  <c r="M107" i="6" s="1"/>
  <c r="M97" i="1"/>
  <c r="M97" i="6" s="1"/>
  <c r="M98" i="1"/>
  <c r="M98" i="6" s="1"/>
  <c r="M108" i="1"/>
  <c r="M108" i="6" s="1"/>
  <c r="M109" i="1"/>
  <c r="M109" i="6" s="1"/>
  <c r="K105" i="6"/>
  <c r="K97" i="6"/>
  <c r="K98" i="6"/>
  <c r="K103" i="6"/>
  <c r="K95" i="6"/>
  <c r="K110" i="6"/>
  <c r="K100" i="6"/>
  <c r="K102" i="6"/>
  <c r="K108" i="6"/>
  <c r="K104" i="6"/>
  <c r="K99" i="6"/>
  <c r="K107" i="6"/>
  <c r="K101" i="6"/>
  <c r="K92" i="6"/>
  <c r="K93" i="6"/>
  <c r="K109" i="6"/>
  <c r="K94" i="6"/>
  <c r="K96" i="6"/>
  <c r="K111" i="6"/>
  <c r="K106" i="6"/>
  <c r="G69" i="12"/>
  <c r="H69" i="12"/>
  <c r="L69" i="12"/>
  <c r="J69" i="12"/>
  <c r="I69" i="12"/>
  <c r="C69" i="2"/>
  <c r="K69" i="12"/>
  <c r="M69" i="12"/>
  <c r="N69" i="12"/>
  <c r="F69" i="12"/>
  <c r="D69" i="12"/>
  <c r="E69" i="12"/>
  <c r="F74" i="12"/>
  <c r="G74" i="12"/>
  <c r="I74" i="12"/>
  <c r="K74" i="12"/>
  <c r="M74" i="12"/>
  <c r="H74" i="12"/>
  <c r="J74" i="12"/>
  <c r="L74" i="12"/>
  <c r="N74" i="12"/>
  <c r="C74" i="2"/>
  <c r="D74" i="12"/>
  <c r="E74" i="12"/>
  <c r="H70" i="12"/>
  <c r="L70" i="12"/>
  <c r="G70" i="12"/>
  <c r="I70" i="12"/>
  <c r="C70" i="2"/>
  <c r="J70" i="12"/>
  <c r="K70" i="12"/>
  <c r="M70" i="12"/>
  <c r="N70" i="12"/>
  <c r="D70" i="12"/>
  <c r="E70" i="12"/>
  <c r="F70" i="12"/>
  <c r="L62" i="12"/>
  <c r="G62" i="12"/>
  <c r="M62" i="12"/>
  <c r="E62" i="12"/>
  <c r="N62" i="12"/>
  <c r="D62" i="12"/>
  <c r="F62" i="12"/>
  <c r="K62" i="12"/>
  <c r="H62" i="12"/>
  <c r="C62" i="2"/>
  <c r="I62" i="12"/>
  <c r="J62" i="12"/>
  <c r="J72" i="12"/>
  <c r="K72" i="12"/>
  <c r="M72" i="12"/>
  <c r="D72" i="12"/>
  <c r="E72" i="12"/>
  <c r="I72" i="12"/>
  <c r="L72" i="12"/>
  <c r="N72" i="12"/>
  <c r="C72" i="2"/>
  <c r="F72" i="12"/>
  <c r="G72" i="12"/>
  <c r="H72" i="12"/>
  <c r="D77" i="12"/>
  <c r="C77" i="2"/>
  <c r="E77" i="12"/>
  <c r="F77" i="12"/>
  <c r="G77" i="12"/>
  <c r="H77" i="12"/>
  <c r="I77" i="12"/>
  <c r="J77" i="12"/>
  <c r="K77" i="12"/>
  <c r="L77" i="12"/>
  <c r="M77" i="12"/>
  <c r="N77" i="12"/>
  <c r="K61" i="12"/>
  <c r="N61" i="12"/>
  <c r="L61" i="12"/>
  <c r="F61" i="12"/>
  <c r="M61" i="12"/>
  <c r="D61" i="12"/>
  <c r="E61" i="12"/>
  <c r="C61" i="2"/>
  <c r="J61" i="12"/>
  <c r="G61" i="12"/>
  <c r="H61" i="12"/>
  <c r="I61" i="12"/>
  <c r="P12" i="6"/>
  <c r="J12" i="1"/>
  <c r="I12" i="6"/>
  <c r="H76" i="12"/>
  <c r="K76" i="12"/>
  <c r="I76" i="12"/>
  <c r="M76" i="12"/>
  <c r="J76" i="12"/>
  <c r="L76" i="12"/>
  <c r="N76" i="12"/>
  <c r="D76" i="12"/>
  <c r="E76" i="12"/>
  <c r="F76" i="12"/>
  <c r="C76" i="2"/>
  <c r="G76" i="12"/>
  <c r="I59" i="12"/>
  <c r="M59" i="12"/>
  <c r="N59" i="12"/>
  <c r="J59" i="12"/>
  <c r="D59" i="12"/>
  <c r="K59" i="12"/>
  <c r="L59" i="12"/>
  <c r="C59" i="2"/>
  <c r="E59" i="12"/>
  <c r="F59" i="12"/>
  <c r="G59" i="12"/>
  <c r="H59" i="12"/>
  <c r="K44" i="6"/>
  <c r="K56" i="6"/>
  <c r="K82" i="6"/>
  <c r="K15" i="6"/>
  <c r="K79" i="6"/>
  <c r="K67" i="6"/>
  <c r="K39" i="6"/>
  <c r="K78" i="6"/>
  <c r="K74" i="6"/>
  <c r="K22" i="6"/>
  <c r="K18" i="6"/>
  <c r="K68" i="6"/>
  <c r="K64" i="6"/>
  <c r="K23" i="6"/>
  <c r="K60" i="6"/>
  <c r="K83" i="6"/>
  <c r="K24" i="6"/>
  <c r="K66" i="6"/>
  <c r="K89" i="6"/>
  <c r="K51" i="6"/>
  <c r="K47" i="6"/>
  <c r="K20" i="6"/>
  <c r="K54" i="6"/>
  <c r="K85" i="6"/>
  <c r="K40" i="6"/>
  <c r="K16" i="6"/>
  <c r="K43" i="6"/>
  <c r="K34" i="6"/>
  <c r="Q44" i="6"/>
  <c r="K87" i="6"/>
  <c r="K88" i="6"/>
  <c r="K30" i="6"/>
  <c r="K65" i="6"/>
  <c r="Q45" i="6"/>
  <c r="K70" i="6"/>
  <c r="K27" i="6"/>
  <c r="K50" i="6"/>
  <c r="K81" i="6"/>
  <c r="K77" i="6"/>
  <c r="K35" i="6"/>
  <c r="K63" i="6"/>
  <c r="K72" i="6"/>
  <c r="K26" i="6"/>
  <c r="K49" i="6"/>
  <c r="K52" i="6"/>
  <c r="K62" i="6"/>
  <c r="K14" i="6"/>
  <c r="K61" i="6"/>
  <c r="K59" i="6"/>
  <c r="K75" i="6"/>
  <c r="K48" i="6"/>
  <c r="K58" i="6"/>
  <c r="K57" i="6"/>
  <c r="K53" i="6"/>
  <c r="K55" i="6"/>
  <c r="K84" i="6"/>
  <c r="K36" i="6"/>
  <c r="K46" i="6"/>
  <c r="K45" i="6"/>
  <c r="K91" i="6"/>
  <c r="K31" i="6"/>
  <c r="K80" i="6"/>
  <c r="K32" i="6"/>
  <c r="K90" i="6"/>
  <c r="K42" i="6"/>
  <c r="K41" i="6"/>
  <c r="K71" i="6"/>
  <c r="K76" i="6"/>
  <c r="K28" i="6"/>
  <c r="K86" i="6"/>
  <c r="K38" i="6"/>
  <c r="K37" i="6"/>
  <c r="Q49" i="6"/>
  <c r="Q31" i="6"/>
  <c r="Q66" i="6"/>
  <c r="Q27" i="6"/>
  <c r="Q22" i="6"/>
  <c r="Q54" i="6"/>
  <c r="Q23" i="6"/>
  <c r="Q46" i="6"/>
  <c r="Q24" i="6"/>
  <c r="Q21" i="6"/>
  <c r="Q68" i="6"/>
  <c r="K73" i="6"/>
  <c r="K25" i="6"/>
  <c r="Q76" i="6"/>
  <c r="Q90" i="6"/>
  <c r="Q69" i="6"/>
  <c r="Q73" i="6"/>
  <c r="K69" i="6"/>
  <c r="Q51" i="6"/>
  <c r="Q32" i="6"/>
  <c r="Q59" i="6"/>
  <c r="Q58" i="6"/>
  <c r="Q19" i="6"/>
  <c r="Q78" i="6"/>
  <c r="Q88" i="6"/>
  <c r="Q39" i="6"/>
  <c r="Q81" i="6"/>
  <c r="Q25" i="6"/>
  <c r="Q42" i="6"/>
  <c r="Q70" i="6"/>
  <c r="Q40" i="6"/>
  <c r="Q65" i="6"/>
  <c r="Q28" i="6"/>
  <c r="Q74" i="6"/>
  <c r="Q47" i="6"/>
  <c r="Q61" i="6"/>
  <c r="Q84" i="6"/>
  <c r="Q91" i="6"/>
  <c r="Q53" i="6"/>
  <c r="Q16" i="6"/>
  <c r="M21" i="1"/>
  <c r="M21" i="6" s="1"/>
  <c r="M33" i="1"/>
  <c r="M33" i="6" s="1"/>
  <c r="M45" i="1"/>
  <c r="M45" i="6" s="1"/>
  <c r="M57" i="1"/>
  <c r="M57" i="6" s="1"/>
  <c r="M69" i="1"/>
  <c r="M69" i="6" s="1"/>
  <c r="M81" i="1"/>
  <c r="M81" i="6" s="1"/>
  <c r="M22" i="1"/>
  <c r="M22" i="6" s="1"/>
  <c r="M70" i="1"/>
  <c r="M70" i="6" s="1"/>
  <c r="M48" i="1"/>
  <c r="M48" i="6" s="1"/>
  <c r="M72" i="1"/>
  <c r="M72" i="6" s="1"/>
  <c r="M34" i="1"/>
  <c r="M34" i="6" s="1"/>
  <c r="M46" i="1"/>
  <c r="M46" i="6" s="1"/>
  <c r="M58" i="1"/>
  <c r="M58" i="6" s="1"/>
  <c r="M82" i="1"/>
  <c r="M82" i="6" s="1"/>
  <c r="M24" i="1"/>
  <c r="M24" i="6" s="1"/>
  <c r="M60" i="1"/>
  <c r="M60" i="6" s="1"/>
  <c r="M23" i="1"/>
  <c r="M23" i="6" s="1"/>
  <c r="M35" i="1"/>
  <c r="M35" i="6" s="1"/>
  <c r="M47" i="1"/>
  <c r="M47" i="6" s="1"/>
  <c r="M59" i="1"/>
  <c r="M59" i="6" s="1"/>
  <c r="M71" i="1"/>
  <c r="M71" i="6" s="1"/>
  <c r="M83" i="1"/>
  <c r="M83" i="6" s="1"/>
  <c r="M36" i="1"/>
  <c r="M36" i="6" s="1"/>
  <c r="M84" i="1"/>
  <c r="M84" i="6" s="1"/>
  <c r="M25" i="1"/>
  <c r="M25" i="6" s="1"/>
  <c r="M37" i="1"/>
  <c r="M37" i="6" s="1"/>
  <c r="M49" i="1"/>
  <c r="M49" i="6" s="1"/>
  <c r="M61" i="1"/>
  <c r="M61" i="6" s="1"/>
  <c r="M73" i="1"/>
  <c r="M73" i="6" s="1"/>
  <c r="M85" i="1"/>
  <c r="M85" i="6" s="1"/>
  <c r="M19" i="1"/>
  <c r="M19" i="6" s="1"/>
  <c r="M31" i="1"/>
  <c r="M31" i="6" s="1"/>
  <c r="M43" i="1"/>
  <c r="M43" i="6" s="1"/>
  <c r="M55" i="1"/>
  <c r="M55" i="6" s="1"/>
  <c r="M67" i="1"/>
  <c r="M67" i="6" s="1"/>
  <c r="M79" i="1"/>
  <c r="M79" i="6" s="1"/>
  <c r="M91" i="1"/>
  <c r="M91" i="6" s="1"/>
  <c r="M27" i="1"/>
  <c r="M27" i="6" s="1"/>
  <c r="M75" i="1"/>
  <c r="M75" i="6" s="1"/>
  <c r="M28" i="1"/>
  <c r="M28" i="6" s="1"/>
  <c r="M64" i="1"/>
  <c r="M64" i="6" s="1"/>
  <c r="M52" i="1"/>
  <c r="M52" i="6" s="1"/>
  <c r="M87" i="1"/>
  <c r="M87" i="6" s="1"/>
  <c r="M17" i="1"/>
  <c r="M17" i="6" s="1"/>
  <c r="M76" i="1"/>
  <c r="M76" i="6" s="1"/>
  <c r="M40" i="1"/>
  <c r="M40" i="6" s="1"/>
  <c r="M65" i="1"/>
  <c r="M65" i="6" s="1"/>
  <c r="M29" i="1"/>
  <c r="M29" i="6" s="1"/>
  <c r="M53" i="1"/>
  <c r="M53" i="6" s="1"/>
  <c r="M77" i="1"/>
  <c r="M77" i="6" s="1"/>
  <c r="M56" i="1"/>
  <c r="M56" i="6" s="1"/>
  <c r="M14" i="1"/>
  <c r="M14" i="6" s="1"/>
  <c r="M62" i="1"/>
  <c r="M62" i="6" s="1"/>
  <c r="M15" i="1"/>
  <c r="M15" i="6" s="1"/>
  <c r="M88" i="1"/>
  <c r="M88" i="6" s="1"/>
  <c r="M41" i="1"/>
  <c r="M41" i="6" s="1"/>
  <c r="M30" i="1"/>
  <c r="M30" i="6" s="1"/>
  <c r="M54" i="1"/>
  <c r="M54" i="6" s="1"/>
  <c r="M78" i="1"/>
  <c r="M78" i="6" s="1"/>
  <c r="M32" i="1"/>
  <c r="M32" i="6" s="1"/>
  <c r="M80" i="1"/>
  <c r="M80" i="6" s="1"/>
  <c r="M38" i="1"/>
  <c r="M38" i="6" s="1"/>
  <c r="M86" i="1"/>
  <c r="M86" i="6" s="1"/>
  <c r="M39" i="1"/>
  <c r="M39" i="6" s="1"/>
  <c r="M16" i="1"/>
  <c r="M16" i="6" s="1"/>
  <c r="M89" i="1"/>
  <c r="M89" i="6" s="1"/>
  <c r="M18" i="1"/>
  <c r="M18" i="6" s="1"/>
  <c r="M42" i="1"/>
  <c r="M42" i="6" s="1"/>
  <c r="M66" i="1"/>
  <c r="M66" i="6" s="1"/>
  <c r="M90" i="1"/>
  <c r="M90" i="6" s="1"/>
  <c r="M20" i="1"/>
  <c r="M20" i="6" s="1"/>
  <c r="M44" i="1"/>
  <c r="M44" i="6" s="1"/>
  <c r="M68" i="1"/>
  <c r="M68" i="6" s="1"/>
  <c r="M13" i="1"/>
  <c r="M13" i="6" s="1"/>
  <c r="M26" i="1"/>
  <c r="M26" i="6" s="1"/>
  <c r="M50" i="1"/>
  <c r="M50" i="6" s="1"/>
  <c r="M74" i="1"/>
  <c r="M74" i="6" s="1"/>
  <c r="M51" i="1"/>
  <c r="M51" i="6" s="1"/>
  <c r="M63" i="1"/>
  <c r="M63" i="6" s="1"/>
  <c r="Q62" i="6"/>
  <c r="Q34" i="6"/>
  <c r="Q83" i="6"/>
  <c r="Q85" i="6"/>
  <c r="Q18" i="6"/>
  <c r="Q37" i="6"/>
  <c r="Q72" i="6"/>
  <c r="Q79" i="6"/>
  <c r="Q41" i="6"/>
  <c r="Q50" i="6"/>
  <c r="Q64" i="6"/>
  <c r="Q15" i="6"/>
  <c r="Q89" i="6"/>
  <c r="Q77" i="6"/>
  <c r="Q86" i="6"/>
  <c r="Q71" i="6"/>
  <c r="Q13" i="6"/>
  <c r="G23" i="1"/>
  <c r="G23" i="6" s="1"/>
  <c r="G35" i="1"/>
  <c r="G35" i="6" s="1"/>
  <c r="G47" i="1"/>
  <c r="G47" i="6" s="1"/>
  <c r="G59" i="1"/>
  <c r="G59" i="6" s="1"/>
  <c r="G71" i="1"/>
  <c r="G71" i="6" s="1"/>
  <c r="G83" i="1"/>
  <c r="G83" i="6" s="1"/>
  <c r="G24" i="1"/>
  <c r="G24" i="6" s="1"/>
  <c r="G36" i="1"/>
  <c r="G36" i="6" s="1"/>
  <c r="G60" i="1"/>
  <c r="G60" i="6" s="1"/>
  <c r="G72" i="1"/>
  <c r="G72" i="6" s="1"/>
  <c r="G84" i="1"/>
  <c r="G84" i="6" s="1"/>
  <c r="G49" i="1"/>
  <c r="G49" i="6" s="1"/>
  <c r="G26" i="1"/>
  <c r="G26" i="6" s="1"/>
  <c r="G50" i="1"/>
  <c r="G50" i="6" s="1"/>
  <c r="G48" i="1"/>
  <c r="G48" i="6" s="1"/>
  <c r="G38" i="1"/>
  <c r="G38" i="6" s="1"/>
  <c r="G86" i="1"/>
  <c r="G86" i="6" s="1"/>
  <c r="G25" i="1"/>
  <c r="G25" i="6" s="1"/>
  <c r="G37" i="1"/>
  <c r="G37" i="6" s="1"/>
  <c r="G61" i="1"/>
  <c r="G61" i="6" s="1"/>
  <c r="G73" i="1"/>
  <c r="G73" i="6" s="1"/>
  <c r="G85" i="1"/>
  <c r="G85" i="6" s="1"/>
  <c r="G14" i="1"/>
  <c r="G14" i="6" s="1"/>
  <c r="G62" i="1"/>
  <c r="G62" i="6" s="1"/>
  <c r="G74" i="1"/>
  <c r="G74" i="6" s="1"/>
  <c r="G15" i="1"/>
  <c r="G15" i="6" s="1"/>
  <c r="G27" i="1"/>
  <c r="G27" i="6" s="1"/>
  <c r="G39" i="1"/>
  <c r="G39" i="6" s="1"/>
  <c r="G51" i="1"/>
  <c r="G51" i="6" s="1"/>
  <c r="G63" i="1"/>
  <c r="G63" i="6" s="1"/>
  <c r="G75" i="1"/>
  <c r="G75" i="6" s="1"/>
  <c r="G87" i="1"/>
  <c r="G87" i="6" s="1"/>
  <c r="G21" i="1"/>
  <c r="G21" i="6" s="1"/>
  <c r="G33" i="1"/>
  <c r="G33" i="6" s="1"/>
  <c r="G45" i="1"/>
  <c r="G45" i="6" s="1"/>
  <c r="G57" i="1"/>
  <c r="G57" i="6" s="1"/>
  <c r="G69" i="1"/>
  <c r="G69" i="6" s="1"/>
  <c r="G81" i="1"/>
  <c r="G81" i="6" s="1"/>
  <c r="G16" i="1"/>
  <c r="G16" i="6" s="1"/>
  <c r="G41" i="1"/>
  <c r="G41" i="6" s="1"/>
  <c r="G89" i="1"/>
  <c r="G89" i="6" s="1"/>
  <c r="G18" i="1"/>
  <c r="G18" i="6" s="1"/>
  <c r="G53" i="1"/>
  <c r="G53" i="6" s="1"/>
  <c r="G66" i="1"/>
  <c r="G66" i="6" s="1"/>
  <c r="G79" i="1"/>
  <c r="G79" i="6" s="1"/>
  <c r="G90" i="1"/>
  <c r="G90" i="6" s="1"/>
  <c r="G19" i="1"/>
  <c r="G19" i="6" s="1"/>
  <c r="G43" i="1"/>
  <c r="G43" i="6" s="1"/>
  <c r="G67" i="1"/>
  <c r="G67" i="6" s="1"/>
  <c r="G91" i="1"/>
  <c r="G91" i="6" s="1"/>
  <c r="G22" i="1"/>
  <c r="G22" i="6" s="1"/>
  <c r="G70" i="1"/>
  <c r="G70" i="6" s="1"/>
  <c r="G28" i="1"/>
  <c r="G28" i="6" s="1"/>
  <c r="G76" i="1"/>
  <c r="G76" i="6" s="1"/>
  <c r="G29" i="1"/>
  <c r="G29" i="6" s="1"/>
  <c r="G20" i="1"/>
  <c r="G20" i="6" s="1"/>
  <c r="G44" i="1"/>
  <c r="G44" i="6" s="1"/>
  <c r="G68" i="1"/>
  <c r="G68" i="6" s="1"/>
  <c r="G13" i="1"/>
  <c r="G13" i="6" s="1"/>
  <c r="G46" i="1"/>
  <c r="G46" i="6" s="1"/>
  <c r="G52" i="1"/>
  <c r="G52" i="6" s="1"/>
  <c r="G77" i="1"/>
  <c r="G77" i="6" s="1"/>
  <c r="G54" i="1"/>
  <c r="G54" i="6" s="1"/>
  <c r="G32" i="1"/>
  <c r="G32" i="6" s="1"/>
  <c r="G56" i="1"/>
  <c r="G56" i="6" s="1"/>
  <c r="G80" i="1"/>
  <c r="G80" i="6" s="1"/>
  <c r="G30" i="1"/>
  <c r="G30" i="6" s="1"/>
  <c r="G31" i="1"/>
  <c r="G31" i="6" s="1"/>
  <c r="G34" i="1"/>
  <c r="G34" i="6" s="1"/>
  <c r="G58" i="1"/>
  <c r="G58" i="6" s="1"/>
  <c r="G82" i="1"/>
  <c r="G82" i="6" s="1"/>
  <c r="G40" i="1"/>
  <c r="G40" i="6" s="1"/>
  <c r="G64" i="1"/>
  <c r="G64" i="6" s="1"/>
  <c r="G88" i="1"/>
  <c r="G88" i="6" s="1"/>
  <c r="G17" i="1"/>
  <c r="G17" i="6" s="1"/>
  <c r="G65" i="1"/>
  <c r="G65" i="6" s="1"/>
  <c r="G42" i="1"/>
  <c r="G42" i="6" s="1"/>
  <c r="G78" i="1"/>
  <c r="G78" i="6" s="1"/>
  <c r="G55" i="1"/>
  <c r="G55" i="6" s="1"/>
  <c r="Q60" i="6"/>
  <c r="Q67" i="6"/>
  <c r="Q29" i="6"/>
  <c r="Q87" i="6"/>
  <c r="Q38" i="6"/>
  <c r="Q30" i="6"/>
  <c r="Q35" i="6"/>
  <c r="Q57" i="6"/>
  <c r="Q56" i="6"/>
  <c r="Q48" i="6"/>
  <c r="Q55" i="6"/>
  <c r="Q17" i="6"/>
  <c r="Q75" i="6"/>
  <c r="Q26" i="6"/>
  <c r="Q52" i="6"/>
  <c r="Q80" i="6"/>
  <c r="Q82" i="6"/>
  <c r="Q33" i="6"/>
  <c r="Q20" i="6"/>
  <c r="Q36" i="6"/>
  <c r="Q43" i="6"/>
  <c r="T20" i="1"/>
  <c r="T20" i="6" s="1"/>
  <c r="T32" i="1"/>
  <c r="T32" i="6" s="1"/>
  <c r="T44" i="1"/>
  <c r="T44" i="6" s="1"/>
  <c r="T56" i="1"/>
  <c r="T56" i="6" s="1"/>
  <c r="T68" i="1"/>
  <c r="T68" i="6" s="1"/>
  <c r="T80" i="1"/>
  <c r="T80" i="6" s="1"/>
  <c r="T83" i="1"/>
  <c r="T83" i="6" s="1"/>
  <c r="T21" i="1"/>
  <c r="T21" i="6" s="1"/>
  <c r="T33" i="1"/>
  <c r="T33" i="6" s="1"/>
  <c r="T45" i="1"/>
  <c r="T45" i="6" s="1"/>
  <c r="T57" i="1"/>
  <c r="T57" i="6" s="1"/>
  <c r="T69" i="1"/>
  <c r="T69" i="6" s="1"/>
  <c r="T81" i="1"/>
  <c r="T81" i="6" s="1"/>
  <c r="T22" i="1"/>
  <c r="T22" i="6" s="1"/>
  <c r="T34" i="1"/>
  <c r="T34" i="6" s="1"/>
  <c r="T46" i="1"/>
  <c r="T46" i="6" s="1"/>
  <c r="T58" i="1"/>
  <c r="T58" i="6" s="1"/>
  <c r="T70" i="1"/>
  <c r="T70" i="6" s="1"/>
  <c r="T82" i="1"/>
  <c r="T82" i="6" s="1"/>
  <c r="T23" i="1"/>
  <c r="T23" i="6" s="1"/>
  <c r="T35" i="1"/>
  <c r="T35" i="6" s="1"/>
  <c r="T47" i="1"/>
  <c r="T47" i="6" s="1"/>
  <c r="T59" i="1"/>
  <c r="T59" i="6" s="1"/>
  <c r="T71" i="1"/>
  <c r="T71" i="6" s="1"/>
  <c r="T24" i="1"/>
  <c r="T24" i="6" s="1"/>
  <c r="T36" i="1"/>
  <c r="T36" i="6" s="1"/>
  <c r="T48" i="1"/>
  <c r="T48" i="6" s="1"/>
  <c r="T60" i="1"/>
  <c r="T60" i="6" s="1"/>
  <c r="T72" i="1"/>
  <c r="T72" i="6" s="1"/>
  <c r="T84" i="1"/>
  <c r="T84" i="6" s="1"/>
  <c r="T18" i="1"/>
  <c r="T18" i="6" s="1"/>
  <c r="T30" i="1"/>
  <c r="T30" i="6" s="1"/>
  <c r="T42" i="1"/>
  <c r="T42" i="6" s="1"/>
  <c r="T54" i="1"/>
  <c r="T54" i="6" s="1"/>
  <c r="T66" i="1"/>
  <c r="T66" i="6" s="1"/>
  <c r="T78" i="1"/>
  <c r="T78" i="6" s="1"/>
  <c r="T90" i="1"/>
  <c r="T90" i="6" s="1"/>
  <c r="T61" i="1"/>
  <c r="T61" i="6" s="1"/>
  <c r="T14" i="1"/>
  <c r="T14" i="6" s="1"/>
  <c r="T62" i="1"/>
  <c r="T62" i="6" s="1"/>
  <c r="T27" i="1"/>
  <c r="T27" i="6" s="1"/>
  <c r="T52" i="1"/>
  <c r="T52" i="6" s="1"/>
  <c r="T15" i="1"/>
  <c r="T15" i="6" s="1"/>
  <c r="T63" i="1"/>
  <c r="T63" i="6" s="1"/>
  <c r="T28" i="1"/>
  <c r="T28" i="6" s="1"/>
  <c r="T39" i="1"/>
  <c r="T39" i="6" s="1"/>
  <c r="T16" i="1"/>
  <c r="T16" i="6" s="1"/>
  <c r="T40" i="1"/>
  <c r="T40" i="6" s="1"/>
  <c r="T64" i="1"/>
  <c r="T64" i="6" s="1"/>
  <c r="T88" i="1"/>
  <c r="T88" i="6" s="1"/>
  <c r="T19" i="1"/>
  <c r="T19" i="6" s="1"/>
  <c r="T43" i="1"/>
  <c r="T43" i="6" s="1"/>
  <c r="T91" i="1"/>
  <c r="T91" i="6" s="1"/>
  <c r="T49" i="1"/>
  <c r="T49" i="6" s="1"/>
  <c r="T50" i="1"/>
  <c r="T50" i="6" s="1"/>
  <c r="T51" i="1"/>
  <c r="T51" i="6" s="1"/>
  <c r="T17" i="1"/>
  <c r="T17" i="6" s="1"/>
  <c r="T41" i="1"/>
  <c r="T41" i="6" s="1"/>
  <c r="T65" i="1"/>
  <c r="T65" i="6" s="1"/>
  <c r="T89" i="1"/>
  <c r="T89" i="6" s="1"/>
  <c r="T67" i="1"/>
  <c r="T67" i="6" s="1"/>
  <c r="T25" i="1"/>
  <c r="T25" i="6" s="1"/>
  <c r="T73" i="1"/>
  <c r="T73" i="6" s="1"/>
  <c r="T26" i="1"/>
  <c r="T26" i="6" s="1"/>
  <c r="T74" i="1"/>
  <c r="T74" i="6" s="1"/>
  <c r="T29" i="1"/>
  <c r="T29" i="6" s="1"/>
  <c r="T53" i="1"/>
  <c r="T53" i="6" s="1"/>
  <c r="T77" i="1"/>
  <c r="T77" i="6" s="1"/>
  <c r="T31" i="1"/>
  <c r="T31" i="6" s="1"/>
  <c r="T55" i="1"/>
  <c r="T55" i="6" s="1"/>
  <c r="T79" i="1"/>
  <c r="T79" i="6" s="1"/>
  <c r="T37" i="1"/>
  <c r="T37" i="6" s="1"/>
  <c r="T85" i="1"/>
  <c r="T85" i="6" s="1"/>
  <c r="T38" i="1"/>
  <c r="T38" i="6" s="1"/>
  <c r="T86" i="1"/>
  <c r="T86" i="6" s="1"/>
  <c r="T87" i="1"/>
  <c r="T87" i="6" s="1"/>
  <c r="T75" i="1"/>
  <c r="T75" i="6" s="1"/>
  <c r="T76" i="1"/>
  <c r="T76" i="6" s="1"/>
  <c r="Q63" i="6"/>
  <c r="G57" i="12"/>
  <c r="K57" i="12"/>
  <c r="I57" i="12"/>
  <c r="E57" i="12"/>
  <c r="L57" i="12"/>
  <c r="H57" i="12"/>
  <c r="D57" i="12"/>
  <c r="F7" i="11"/>
  <c r="H7" i="11"/>
  <c r="N7" i="11"/>
  <c r="C57" i="2"/>
  <c r="M57" i="12"/>
  <c r="M8" i="11"/>
  <c r="L58" i="12"/>
  <c r="M58" i="12"/>
  <c r="N58" i="12"/>
  <c r="D58" i="12"/>
  <c r="E58" i="12"/>
  <c r="F58" i="12"/>
  <c r="G58" i="12"/>
  <c r="H58" i="12"/>
  <c r="C58" i="2"/>
  <c r="I58" i="12"/>
  <c r="J58" i="12"/>
  <c r="K58" i="12"/>
  <c r="N57" i="12"/>
  <c r="J57" i="12"/>
  <c r="P84" i="17"/>
  <c r="O84" i="17"/>
  <c r="H8" i="14"/>
  <c r="C10" i="14" s="1"/>
  <c r="J12" i="6" l="1"/>
  <c r="H93" i="11"/>
  <c r="H95" i="11"/>
  <c r="H104" i="11"/>
  <c r="H88" i="11"/>
  <c r="H91" i="11"/>
  <c r="H101" i="11"/>
  <c r="H97" i="11"/>
  <c r="H103" i="11"/>
  <c r="H94" i="11"/>
  <c r="H98" i="11"/>
  <c r="H39" i="11"/>
  <c r="H29" i="11"/>
  <c r="H28" i="11"/>
  <c r="H21" i="11"/>
  <c r="H49" i="11"/>
  <c r="H18" i="11"/>
  <c r="H22" i="11"/>
  <c r="H63" i="11"/>
  <c r="H20" i="11"/>
  <c r="H25" i="11"/>
  <c r="H58" i="11"/>
  <c r="H52" i="11"/>
  <c r="H84" i="11"/>
  <c r="H81" i="11"/>
  <c r="H42" i="11"/>
  <c r="H31" i="11"/>
  <c r="H27" i="11"/>
  <c r="H35" i="11"/>
  <c r="H56" i="11"/>
  <c r="H55" i="11"/>
  <c r="H48" i="11"/>
  <c r="H17" i="11"/>
  <c r="H14" i="11"/>
  <c r="H50" i="11"/>
  <c r="H59" i="11"/>
  <c r="H77" i="11"/>
  <c r="H57" i="11"/>
  <c r="H34" i="11"/>
  <c r="H60" i="11"/>
  <c r="H13" i="11"/>
  <c r="H86" i="11"/>
  <c r="H76" i="11"/>
  <c r="H78" i="11"/>
  <c r="H19" i="11"/>
  <c r="H16" i="11"/>
  <c r="H79" i="11"/>
  <c r="H72" i="11"/>
  <c r="H74" i="11"/>
  <c r="H64" i="11"/>
  <c r="H36" i="11"/>
  <c r="H82" i="11"/>
  <c r="H65" i="11"/>
  <c r="H24" i="11"/>
  <c r="H41" i="11"/>
  <c r="H67" i="11"/>
  <c r="H44" i="11"/>
  <c r="H37" i="11"/>
  <c r="H71" i="11"/>
  <c r="H30" i="11"/>
  <c r="H10" i="11"/>
  <c r="H46" i="11"/>
  <c r="H9" i="11"/>
  <c r="H62" i="11"/>
  <c r="H11" i="11"/>
  <c r="H70" i="11"/>
  <c r="H43" i="11"/>
  <c r="H33" i="11"/>
  <c r="H54" i="11"/>
  <c r="H38" i="11"/>
  <c r="H26" i="11"/>
  <c r="H68" i="11"/>
  <c r="H85" i="11"/>
  <c r="H45" i="11"/>
  <c r="H23" i="11"/>
  <c r="H73" i="11"/>
  <c r="H32" i="11"/>
  <c r="H66" i="11"/>
  <c r="H51" i="11"/>
  <c r="H75" i="11"/>
  <c r="H53" i="11"/>
  <c r="H8" i="11"/>
  <c r="H69" i="11"/>
  <c r="H15" i="11"/>
  <c r="H40" i="11"/>
  <c r="H61" i="11"/>
  <c r="H80" i="11"/>
  <c r="H12" i="11"/>
  <c r="H47" i="11"/>
  <c r="H83" i="11"/>
  <c r="C8" i="14"/>
  <c r="C12" i="1"/>
  <c r="C12" i="6" l="1"/>
  <c r="G23" i="15"/>
  <c r="G12" i="15"/>
  <c r="D15" i="14" l="1"/>
  <c r="G23" i="14"/>
  <c r="G22" i="14"/>
  <c r="G21" i="14"/>
  <c r="N69" i="17" s="1"/>
  <c r="N70" i="17" l="1"/>
  <c r="P14" i="13" s="1"/>
  <c r="O12" i="17"/>
  <c r="O13" i="17" s="1"/>
  <c r="R14" i="13" l="1"/>
  <c r="P43" i="13"/>
  <c r="P27" i="13"/>
  <c r="R27" i="13" s="1"/>
  <c r="C14" i="15" l="1"/>
  <c r="C24" i="15" s="1"/>
  <c r="A10" i="10" l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2" i="12" l="1"/>
  <c r="J7" i="11" l="1"/>
  <c r="B56" i="2"/>
  <c r="L55" i="12" s="1"/>
  <c r="B57" i="2"/>
  <c r="F22" i="14"/>
  <c r="F23" i="14"/>
  <c r="D16" i="14"/>
  <c r="B53" i="2"/>
  <c r="C52" i="2" s="1"/>
  <c r="B55" i="2"/>
  <c r="O39" i="17"/>
  <c r="B54" i="2"/>
  <c r="E9" i="14"/>
  <c r="D6" i="12"/>
  <c r="C40" i="12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8" i="12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B51" i="2"/>
  <c r="G50" i="12" s="1"/>
  <c r="B52" i="2"/>
  <c r="F51" i="12" s="1"/>
  <c r="P78" i="2"/>
  <c r="P77" i="2"/>
  <c r="O77" i="2"/>
  <c r="P76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T106" i="11" l="1"/>
  <c r="T93" i="11"/>
  <c r="T92" i="11"/>
  <c r="T94" i="11"/>
  <c r="T97" i="11"/>
  <c r="T104" i="11"/>
  <c r="T101" i="11"/>
  <c r="T90" i="11"/>
  <c r="T105" i="11"/>
  <c r="T95" i="11"/>
  <c r="T87" i="11"/>
  <c r="T91" i="11"/>
  <c r="T96" i="11"/>
  <c r="T99" i="11"/>
  <c r="T98" i="11"/>
  <c r="T103" i="11"/>
  <c r="T88" i="11"/>
  <c r="T102" i="11"/>
  <c r="T89" i="11"/>
  <c r="T100" i="11"/>
  <c r="T86" i="11"/>
  <c r="T85" i="11"/>
  <c r="M55" i="12"/>
  <c r="T84" i="11"/>
  <c r="T83" i="11"/>
  <c r="E55" i="12"/>
  <c r="H55" i="12"/>
  <c r="I55" i="12"/>
  <c r="C55" i="2"/>
  <c r="F55" i="12"/>
  <c r="D55" i="12"/>
  <c r="K55" i="12"/>
  <c r="J55" i="12"/>
  <c r="G55" i="12"/>
  <c r="N55" i="12"/>
  <c r="G56" i="12"/>
  <c r="K56" i="12"/>
  <c r="C56" i="2"/>
  <c r="D56" i="12"/>
  <c r="H56" i="12"/>
  <c r="L56" i="12"/>
  <c r="J56" i="12"/>
  <c r="E56" i="12"/>
  <c r="I56" i="12"/>
  <c r="M56" i="12"/>
  <c r="F56" i="12"/>
  <c r="N56" i="12"/>
  <c r="I52" i="12"/>
  <c r="L52" i="12"/>
  <c r="E52" i="12"/>
  <c r="M42" i="17"/>
  <c r="O42" i="17"/>
  <c r="K52" i="12"/>
  <c r="N52" i="12"/>
  <c r="H52" i="12"/>
  <c r="F52" i="12"/>
  <c r="D52" i="12"/>
  <c r="J52" i="12"/>
  <c r="M52" i="12"/>
  <c r="G52" i="12"/>
  <c r="D54" i="12"/>
  <c r="H54" i="12"/>
  <c r="L54" i="12"/>
  <c r="G54" i="12"/>
  <c r="J54" i="12"/>
  <c r="N54" i="12"/>
  <c r="E54" i="12"/>
  <c r="I54" i="12"/>
  <c r="M54" i="12"/>
  <c r="K54" i="12"/>
  <c r="C54" i="2"/>
  <c r="F54" i="12"/>
  <c r="C53" i="2"/>
  <c r="G53" i="12"/>
  <c r="K53" i="12"/>
  <c r="F53" i="12"/>
  <c r="J53" i="12"/>
  <c r="N53" i="12"/>
  <c r="E53" i="12"/>
  <c r="I53" i="12"/>
  <c r="M53" i="12"/>
  <c r="D53" i="12"/>
  <c r="H53" i="12"/>
  <c r="L53" i="12"/>
  <c r="M69" i="17"/>
  <c r="F21" i="14"/>
  <c r="C50" i="2"/>
  <c r="O76" i="2"/>
  <c r="D51" i="12"/>
  <c r="M51" i="12"/>
  <c r="H51" i="12"/>
  <c r="I51" i="12"/>
  <c r="K51" i="12"/>
  <c r="E51" i="12"/>
  <c r="L7" i="11"/>
  <c r="B50" i="2"/>
  <c r="E49" i="12" s="1"/>
  <c r="L51" i="12"/>
  <c r="G51" i="12"/>
  <c r="C34" i="12"/>
  <c r="C35" i="12" s="1"/>
  <c r="C36" i="12" s="1"/>
  <c r="C37" i="12" s="1"/>
  <c r="C38" i="12" s="1"/>
  <c r="K50" i="12"/>
  <c r="D50" i="12"/>
  <c r="N51" i="12"/>
  <c r="J51" i="12"/>
  <c r="L50" i="12"/>
  <c r="H50" i="12"/>
  <c r="M50" i="12"/>
  <c r="I50" i="12"/>
  <c r="E50" i="12"/>
  <c r="N50" i="12"/>
  <c r="J50" i="12"/>
  <c r="F50" i="12"/>
  <c r="O34" i="17"/>
  <c r="O36" i="17"/>
  <c r="O38" i="17"/>
  <c r="O37" i="17"/>
  <c r="C9" i="14"/>
  <c r="O75" i="2"/>
  <c r="Q75" i="2" s="1"/>
  <c r="Q76" i="2"/>
  <c r="D12" i="1"/>
  <c r="C51" i="2"/>
  <c r="P74" i="2"/>
  <c r="D12" i="6" l="1"/>
  <c r="E90" i="6"/>
  <c r="E91" i="6"/>
  <c r="K12" i="15"/>
  <c r="K22" i="15" s="1"/>
  <c r="C12" i="15"/>
  <c r="I12" i="15" s="1"/>
  <c r="E84" i="6"/>
  <c r="E88" i="6"/>
  <c r="E80" i="6"/>
  <c r="E71" i="6"/>
  <c r="E86" i="6"/>
  <c r="E82" i="6"/>
  <c r="E76" i="6"/>
  <c r="E89" i="6"/>
  <c r="E81" i="6"/>
  <c r="E83" i="6"/>
  <c r="E77" i="6"/>
  <c r="E85" i="6"/>
  <c r="E72" i="6"/>
  <c r="E87" i="6"/>
  <c r="O68" i="10"/>
  <c r="M8" i="10"/>
  <c r="P68" i="10"/>
  <c r="P66" i="17"/>
  <c r="M70" i="17"/>
  <c r="G22" i="15"/>
  <c r="C21" i="15"/>
  <c r="P8" i="10"/>
  <c r="O8" i="10"/>
  <c r="C49" i="2"/>
  <c r="I49" i="12"/>
  <c r="K49" i="12"/>
  <c r="F49" i="12"/>
  <c r="L49" i="12"/>
  <c r="G49" i="12"/>
  <c r="M49" i="12"/>
  <c r="J49" i="12"/>
  <c r="H49" i="12"/>
  <c r="N49" i="12"/>
  <c r="D49" i="12"/>
  <c r="P75" i="2"/>
  <c r="B49" i="2"/>
  <c r="O74" i="2"/>
  <c r="B48" i="2"/>
  <c r="O66" i="17"/>
  <c r="C22" i="15" l="1"/>
  <c r="I22" i="15" s="1"/>
  <c r="F47" i="12"/>
  <c r="E47" i="12"/>
  <c r="K47" i="12"/>
  <c r="D47" i="12"/>
  <c r="I47" i="12"/>
  <c r="H47" i="12"/>
  <c r="M47" i="12"/>
  <c r="G47" i="12"/>
  <c r="L47" i="12"/>
  <c r="C47" i="2"/>
  <c r="J47" i="12"/>
  <c r="N47" i="12"/>
  <c r="L8" i="10"/>
  <c r="G48" i="12"/>
  <c r="H48" i="12"/>
  <c r="E48" i="12"/>
  <c r="L48" i="12"/>
  <c r="I48" i="12"/>
  <c r="F48" i="12"/>
  <c r="C48" i="2"/>
  <c r="M48" i="12"/>
  <c r="J48" i="12"/>
  <c r="K48" i="12"/>
  <c r="D48" i="12"/>
  <c r="N48" i="12"/>
  <c r="B47" i="2"/>
  <c r="Q74" i="2"/>
  <c r="P73" i="2"/>
  <c r="O73" i="2"/>
  <c r="P67" i="10"/>
  <c r="E79" i="6" l="1"/>
  <c r="B46" i="2"/>
  <c r="P72" i="2"/>
  <c r="O72" i="2"/>
  <c r="Q73" i="2"/>
  <c r="F46" i="12"/>
  <c r="G46" i="12"/>
  <c r="H46" i="12"/>
  <c r="N46" i="12"/>
  <c r="K46" i="12"/>
  <c r="L46" i="12"/>
  <c r="E46" i="12"/>
  <c r="D46" i="12"/>
  <c r="I46" i="12"/>
  <c r="M46" i="12"/>
  <c r="J46" i="12"/>
  <c r="C46" i="2"/>
  <c r="O67" i="10"/>
  <c r="E78" i="6" l="1"/>
  <c r="M45" i="12"/>
  <c r="K45" i="12"/>
  <c r="D45" i="12"/>
  <c r="F45" i="12"/>
  <c r="H45" i="12"/>
  <c r="E45" i="12"/>
  <c r="J45" i="12"/>
  <c r="L45" i="12"/>
  <c r="I45" i="12"/>
  <c r="N45" i="12"/>
  <c r="G45" i="12"/>
  <c r="C45" i="2"/>
  <c r="B45" i="2"/>
  <c r="P71" i="2"/>
  <c r="O71" i="2"/>
  <c r="F44" i="12" l="1"/>
  <c r="G44" i="12"/>
  <c r="L44" i="12"/>
  <c r="E44" i="12"/>
  <c r="N44" i="12"/>
  <c r="K44" i="12"/>
  <c r="I44" i="12"/>
  <c r="M44" i="12"/>
  <c r="D44" i="12"/>
  <c r="H44" i="12"/>
  <c r="J44" i="12"/>
  <c r="C44" i="2"/>
  <c r="B44" i="2"/>
  <c r="O70" i="2"/>
  <c r="P70" i="2"/>
  <c r="F43" i="12" l="1"/>
  <c r="I43" i="12"/>
  <c r="H43" i="12"/>
  <c r="M43" i="12"/>
  <c r="D43" i="12"/>
  <c r="G43" i="12"/>
  <c r="L43" i="12"/>
  <c r="E43" i="12"/>
  <c r="K43" i="12"/>
  <c r="J43" i="12"/>
  <c r="N43" i="12"/>
  <c r="C43" i="2"/>
  <c r="B43" i="2"/>
  <c r="Q70" i="2"/>
  <c r="O69" i="2"/>
  <c r="P69" i="2"/>
  <c r="E75" i="6" l="1"/>
  <c r="B42" i="2"/>
  <c r="O68" i="2"/>
  <c r="P68" i="2"/>
  <c r="Q69" i="2"/>
  <c r="G42" i="12"/>
  <c r="L42" i="12"/>
  <c r="F42" i="12"/>
  <c r="D42" i="12"/>
  <c r="E42" i="12"/>
  <c r="J42" i="12"/>
  <c r="I42" i="12"/>
  <c r="N42" i="12"/>
  <c r="K42" i="12"/>
  <c r="H42" i="12"/>
  <c r="M42" i="12"/>
  <c r="C42" i="2"/>
  <c r="E74" i="6" l="1"/>
  <c r="O70" i="10"/>
  <c r="P70" i="10"/>
  <c r="I41" i="12"/>
  <c r="D41" i="12"/>
  <c r="F41" i="12"/>
  <c r="K41" i="12"/>
  <c r="E41" i="12"/>
  <c r="J41" i="12"/>
  <c r="M41" i="12"/>
  <c r="N41" i="12"/>
  <c r="H41" i="12"/>
  <c r="G41" i="12"/>
  <c r="L41" i="12"/>
  <c r="C41" i="2"/>
  <c r="B41" i="2"/>
  <c r="Q68" i="2"/>
  <c r="P67" i="2"/>
  <c r="O67" i="2"/>
  <c r="E73" i="6" l="1"/>
  <c r="O69" i="10"/>
  <c r="P69" i="10"/>
  <c r="B40" i="2"/>
  <c r="P66" i="2"/>
  <c r="O66" i="2"/>
  <c r="K40" i="12"/>
  <c r="G40" i="12"/>
  <c r="E40" i="12"/>
  <c r="J40" i="12"/>
  <c r="I40" i="12"/>
  <c r="D40" i="12"/>
  <c r="N40" i="12"/>
  <c r="H40" i="12"/>
  <c r="M40" i="12"/>
  <c r="L40" i="12"/>
  <c r="F40" i="12"/>
  <c r="C40" i="2"/>
  <c r="F39" i="12" l="1"/>
  <c r="H39" i="12"/>
  <c r="M39" i="12"/>
  <c r="G39" i="12"/>
  <c r="L39" i="12"/>
  <c r="E39" i="12"/>
  <c r="K39" i="12"/>
  <c r="D39" i="12"/>
  <c r="I39" i="12"/>
  <c r="J39" i="12"/>
  <c r="N39" i="12"/>
  <c r="C39" i="2"/>
  <c r="B39" i="2"/>
  <c r="P65" i="2"/>
  <c r="O65" i="2"/>
  <c r="G38" i="12" l="1"/>
  <c r="F38" i="12"/>
  <c r="E38" i="12"/>
  <c r="J38" i="12"/>
  <c r="K38" i="12"/>
  <c r="D38" i="12"/>
  <c r="H38" i="12"/>
  <c r="I38" i="12"/>
  <c r="N38" i="12"/>
  <c r="L38" i="12"/>
  <c r="M38" i="12"/>
  <c r="C38" i="2"/>
  <c r="B38" i="2"/>
  <c r="O64" i="2"/>
  <c r="Q65" i="2"/>
  <c r="P64" i="2"/>
  <c r="E70" i="6" l="1"/>
  <c r="E37" i="12"/>
  <c r="D37" i="12"/>
  <c r="J37" i="12"/>
  <c r="K37" i="12"/>
  <c r="M37" i="12"/>
  <c r="N37" i="12"/>
  <c r="H37" i="12"/>
  <c r="F37" i="12"/>
  <c r="G37" i="12"/>
  <c r="L37" i="12"/>
  <c r="I37" i="12"/>
  <c r="C37" i="2"/>
  <c r="B37" i="2"/>
  <c r="Q64" i="2"/>
  <c r="O63" i="2"/>
  <c r="P63" i="2"/>
  <c r="E69" i="6" l="1"/>
  <c r="B36" i="2"/>
  <c r="O62" i="2"/>
  <c r="O61" i="2"/>
  <c r="P62" i="2"/>
  <c r="Q63" i="2"/>
  <c r="G36" i="12"/>
  <c r="E36" i="12"/>
  <c r="J36" i="12"/>
  <c r="H36" i="12"/>
  <c r="I36" i="12"/>
  <c r="D36" i="12"/>
  <c r="N36" i="12"/>
  <c r="L36" i="12"/>
  <c r="M36" i="12"/>
  <c r="K36" i="12"/>
  <c r="F36" i="12"/>
  <c r="C36" i="2"/>
  <c r="E68" i="6" l="1"/>
  <c r="O66" i="10"/>
  <c r="F35" i="12"/>
  <c r="G35" i="12"/>
  <c r="L35" i="12"/>
  <c r="D35" i="12"/>
  <c r="E35" i="12"/>
  <c r="K35" i="12"/>
  <c r="I35" i="12"/>
  <c r="H35" i="12"/>
  <c r="M35" i="12"/>
  <c r="N35" i="12"/>
  <c r="J35" i="12"/>
  <c r="C35" i="2"/>
  <c r="P66" i="10"/>
  <c r="B35" i="2"/>
  <c r="P61" i="2"/>
  <c r="Q62" i="2"/>
  <c r="B34" i="2"/>
  <c r="P60" i="2"/>
  <c r="Q61" i="2"/>
  <c r="O60" i="2"/>
  <c r="E66" i="6" l="1"/>
  <c r="E67" i="6"/>
  <c r="B33" i="2"/>
  <c r="P59" i="2"/>
  <c r="Q60" i="2"/>
  <c r="O59" i="2"/>
  <c r="O65" i="10"/>
  <c r="G33" i="12"/>
  <c r="F33" i="12"/>
  <c r="D33" i="12"/>
  <c r="H33" i="12"/>
  <c r="E33" i="12"/>
  <c r="J33" i="12"/>
  <c r="K33" i="12"/>
  <c r="L33" i="12"/>
  <c r="I33" i="12"/>
  <c r="N33" i="12"/>
  <c r="M33" i="12"/>
  <c r="C33" i="2"/>
  <c r="P65" i="10"/>
  <c r="G34" i="12"/>
  <c r="H34" i="12"/>
  <c r="F34" i="12"/>
  <c r="L34" i="12"/>
  <c r="E34" i="12"/>
  <c r="J34" i="12"/>
  <c r="I34" i="12"/>
  <c r="N34" i="12"/>
  <c r="D34" i="12"/>
  <c r="M34" i="12"/>
  <c r="K34" i="12"/>
  <c r="C34" i="2"/>
  <c r="E65" i="6" l="1"/>
  <c r="P64" i="10"/>
  <c r="E32" i="12"/>
  <c r="N32" i="12"/>
  <c r="K32" i="12"/>
  <c r="D32" i="12"/>
  <c r="M32" i="12"/>
  <c r="F32" i="12"/>
  <c r="H32" i="12"/>
  <c r="J32" i="12"/>
  <c r="G32" i="12"/>
  <c r="L32" i="12"/>
  <c r="I32" i="12"/>
  <c r="C32" i="2"/>
  <c r="O64" i="10"/>
  <c r="B32" i="2"/>
  <c r="P58" i="2"/>
  <c r="Q59" i="2"/>
  <c r="O58" i="2"/>
  <c r="E64" i="6" l="1"/>
  <c r="P62" i="10"/>
  <c r="O63" i="10"/>
  <c r="P63" i="10"/>
  <c r="B31" i="2"/>
  <c r="P57" i="2"/>
  <c r="Q58" i="2"/>
  <c r="O57" i="2"/>
  <c r="H31" i="12"/>
  <c r="F31" i="12"/>
  <c r="K31" i="12"/>
  <c r="E31" i="12"/>
  <c r="J31" i="12"/>
  <c r="D31" i="12"/>
  <c r="I31" i="12"/>
  <c r="N31" i="12"/>
  <c r="G31" i="12"/>
  <c r="M31" i="12"/>
  <c r="L31" i="12"/>
  <c r="C31" i="2"/>
  <c r="O62" i="10"/>
  <c r="E63" i="6" l="1"/>
  <c r="O61" i="10"/>
  <c r="P61" i="10"/>
  <c r="B30" i="2"/>
  <c r="Q57" i="2"/>
  <c r="P56" i="2"/>
  <c r="O56" i="2"/>
  <c r="E30" i="12"/>
  <c r="D30" i="12"/>
  <c r="N30" i="12"/>
  <c r="H30" i="12"/>
  <c r="G30" i="12"/>
  <c r="L30" i="12"/>
  <c r="I30" i="12"/>
  <c r="F30" i="12"/>
  <c r="K30" i="12"/>
  <c r="M30" i="12"/>
  <c r="J30" i="12"/>
  <c r="C30" i="2"/>
  <c r="E62" i="6" l="1"/>
  <c r="K29" i="12"/>
  <c r="D29" i="12"/>
  <c r="H29" i="12"/>
  <c r="M29" i="12"/>
  <c r="L29" i="12"/>
  <c r="F29" i="12"/>
  <c r="E29" i="12"/>
  <c r="J29" i="12"/>
  <c r="G29" i="12"/>
  <c r="I29" i="12"/>
  <c r="N29" i="12"/>
  <c r="C29" i="2"/>
  <c r="O60" i="10"/>
  <c r="P60" i="10"/>
  <c r="B29" i="2"/>
  <c r="O55" i="2"/>
  <c r="P55" i="2"/>
  <c r="Q56" i="2"/>
  <c r="E61" i="6" l="1"/>
  <c r="E28" i="12"/>
  <c r="G28" i="12"/>
  <c r="L28" i="12"/>
  <c r="M28" i="12"/>
  <c r="F28" i="12"/>
  <c r="K28" i="12"/>
  <c r="J28" i="12"/>
  <c r="D28" i="12"/>
  <c r="N28" i="12"/>
  <c r="H28" i="12"/>
  <c r="I28" i="12"/>
  <c r="C28" i="2"/>
  <c r="B28" i="2"/>
  <c r="O54" i="2"/>
  <c r="Q55" i="2"/>
  <c r="P54" i="2"/>
  <c r="P59" i="10"/>
  <c r="O59" i="10"/>
  <c r="E60" i="6" l="1"/>
  <c r="O58" i="10"/>
  <c r="G27" i="12"/>
  <c r="L27" i="12"/>
  <c r="D27" i="12"/>
  <c r="F27" i="12"/>
  <c r="E27" i="12"/>
  <c r="J27" i="12"/>
  <c r="I27" i="12"/>
  <c r="N27" i="12"/>
  <c r="K27" i="12"/>
  <c r="H27" i="12"/>
  <c r="M27" i="12"/>
  <c r="C27" i="2"/>
  <c r="B27" i="2"/>
  <c r="Q54" i="2"/>
  <c r="P53" i="2"/>
  <c r="O53" i="2"/>
  <c r="P58" i="10"/>
  <c r="E59" i="6" l="1"/>
  <c r="O57" i="10"/>
  <c r="B26" i="2"/>
  <c r="O52" i="2"/>
  <c r="Q53" i="2"/>
  <c r="P52" i="2"/>
  <c r="P57" i="10"/>
  <c r="F26" i="12"/>
  <c r="E26" i="12"/>
  <c r="K26" i="12"/>
  <c r="I26" i="12"/>
  <c r="H26" i="12"/>
  <c r="M26" i="12"/>
  <c r="G26" i="12"/>
  <c r="L26" i="12"/>
  <c r="D26" i="12"/>
  <c r="J26" i="12"/>
  <c r="N26" i="12"/>
  <c r="C26" i="2"/>
  <c r="E58" i="6" l="1"/>
  <c r="G25" i="12"/>
  <c r="L25" i="12"/>
  <c r="M25" i="12"/>
  <c r="F25" i="12"/>
  <c r="K25" i="12"/>
  <c r="E25" i="12"/>
  <c r="D25" i="12"/>
  <c r="J25" i="12"/>
  <c r="H25" i="12"/>
  <c r="I25" i="12"/>
  <c r="N25" i="12"/>
  <c r="C25" i="2"/>
  <c r="P56" i="10"/>
  <c r="B25" i="2"/>
  <c r="Q52" i="2"/>
  <c r="O51" i="2"/>
  <c r="P51" i="2"/>
  <c r="O56" i="10"/>
  <c r="E57" i="6" l="1"/>
  <c r="O55" i="10"/>
  <c r="E24" i="12"/>
  <c r="F24" i="12"/>
  <c r="D24" i="12"/>
  <c r="G24" i="12"/>
  <c r="L24" i="12"/>
  <c r="M24" i="12"/>
  <c r="J24" i="12"/>
  <c r="K24" i="12"/>
  <c r="N24" i="12"/>
  <c r="H24" i="12"/>
  <c r="I24" i="12"/>
  <c r="C24" i="2"/>
  <c r="P55" i="10"/>
  <c r="B24" i="2"/>
  <c r="Q51" i="2"/>
  <c r="P50" i="2"/>
  <c r="O50" i="2"/>
  <c r="E56" i="6" l="1"/>
  <c r="O54" i="10"/>
  <c r="B23" i="2"/>
  <c r="O49" i="2"/>
  <c r="Q50" i="2"/>
  <c r="P49" i="2"/>
  <c r="P54" i="10"/>
  <c r="G23" i="12"/>
  <c r="F23" i="12"/>
  <c r="E23" i="12"/>
  <c r="J23" i="12"/>
  <c r="D23" i="12"/>
  <c r="H23" i="12"/>
  <c r="I23" i="12"/>
  <c r="N23" i="12"/>
  <c r="K23" i="12"/>
  <c r="L23" i="12"/>
  <c r="M23" i="12"/>
  <c r="C23" i="2"/>
  <c r="E55" i="6" l="1"/>
  <c r="F22" i="12"/>
  <c r="I22" i="12"/>
  <c r="H22" i="12"/>
  <c r="M22" i="12"/>
  <c r="D22" i="12"/>
  <c r="G22" i="12"/>
  <c r="L22" i="12"/>
  <c r="E22" i="12"/>
  <c r="K22" i="12"/>
  <c r="J22" i="12"/>
  <c r="N22" i="12"/>
  <c r="C22" i="2"/>
  <c r="P53" i="10"/>
  <c r="O53" i="10"/>
  <c r="B22" i="2"/>
  <c r="P48" i="2"/>
  <c r="O48" i="2"/>
  <c r="Q49" i="2"/>
  <c r="E54" i="6" l="1"/>
  <c r="B21" i="2"/>
  <c r="F20" i="12" s="1"/>
  <c r="P47" i="2"/>
  <c r="O47" i="2"/>
  <c r="Q48" i="2"/>
  <c r="P52" i="10"/>
  <c r="O52" i="10"/>
  <c r="G21" i="12"/>
  <c r="D21" i="12"/>
  <c r="M21" i="12"/>
  <c r="F21" i="12"/>
  <c r="K21" i="12"/>
  <c r="H21" i="12"/>
  <c r="E21" i="12"/>
  <c r="J21" i="12"/>
  <c r="L21" i="12"/>
  <c r="I21" i="12"/>
  <c r="N21" i="12"/>
  <c r="C21" i="2"/>
  <c r="E53" i="6" l="1"/>
  <c r="P51" i="10"/>
  <c r="E20" i="12"/>
  <c r="J20" i="12"/>
  <c r="G20" i="12"/>
  <c r="L20" i="12"/>
  <c r="M20" i="12"/>
  <c r="N20" i="12"/>
  <c r="K20" i="12"/>
  <c r="D20" i="12"/>
  <c r="H20" i="12"/>
  <c r="I20" i="12"/>
  <c r="C20" i="2"/>
  <c r="O51" i="10"/>
  <c r="B20" i="2"/>
  <c r="O46" i="2"/>
  <c r="Q47" i="2"/>
  <c r="P46" i="2"/>
  <c r="E52" i="6" l="1"/>
  <c r="B19" i="2"/>
  <c r="P45" i="2"/>
  <c r="O45" i="2"/>
  <c r="Q46" i="2"/>
  <c r="O50" i="10"/>
  <c r="P50" i="10"/>
  <c r="G19" i="12"/>
  <c r="F19" i="12"/>
  <c r="H19" i="12"/>
  <c r="E19" i="12"/>
  <c r="J19" i="12"/>
  <c r="L19" i="12"/>
  <c r="I19" i="12"/>
  <c r="N19" i="12"/>
  <c r="D19" i="12"/>
  <c r="K19" i="12"/>
  <c r="M19" i="12"/>
  <c r="C19" i="2"/>
  <c r="E51" i="6" l="1"/>
  <c r="T69" i="11"/>
  <c r="T74" i="11"/>
  <c r="T71" i="11"/>
  <c r="T73" i="11"/>
  <c r="T76" i="11"/>
  <c r="T79" i="11"/>
  <c r="T70" i="11"/>
  <c r="T72" i="11"/>
  <c r="T77" i="11"/>
  <c r="T82" i="11"/>
  <c r="T80" i="11"/>
  <c r="T81" i="11"/>
  <c r="T75" i="11"/>
  <c r="T78" i="11"/>
  <c r="F18" i="12"/>
  <c r="H18" i="12"/>
  <c r="M18" i="12"/>
  <c r="G18" i="12"/>
  <c r="L18" i="12"/>
  <c r="E18" i="12"/>
  <c r="K18" i="12"/>
  <c r="I18" i="12"/>
  <c r="D18" i="12"/>
  <c r="N18" i="12"/>
  <c r="J18" i="12"/>
  <c r="C18" i="2"/>
  <c r="B18" i="2"/>
  <c r="Q45" i="2"/>
  <c r="P44" i="2"/>
  <c r="O44" i="2"/>
  <c r="O49" i="10"/>
  <c r="P49" i="10"/>
  <c r="E50" i="6" l="1"/>
  <c r="B17" i="2"/>
  <c r="O43" i="2"/>
  <c r="Q44" i="2"/>
  <c r="P43" i="2"/>
  <c r="G17" i="12"/>
  <c r="D17" i="12"/>
  <c r="M17" i="12"/>
  <c r="H17" i="12"/>
  <c r="F17" i="12"/>
  <c r="K17" i="12"/>
  <c r="L17" i="12"/>
  <c r="E17" i="12"/>
  <c r="J17" i="12"/>
  <c r="I17" i="12"/>
  <c r="N17" i="12"/>
  <c r="C17" i="2"/>
  <c r="P48" i="10"/>
  <c r="O48" i="10"/>
  <c r="E49" i="6" l="1"/>
  <c r="O47" i="10"/>
  <c r="P47" i="10"/>
  <c r="E16" i="12"/>
  <c r="D16" i="12"/>
  <c r="N16" i="12"/>
  <c r="G16" i="12"/>
  <c r="L16" i="12"/>
  <c r="M16" i="12"/>
  <c r="K16" i="12"/>
  <c r="F16" i="12"/>
  <c r="J16" i="12"/>
  <c r="H16" i="12"/>
  <c r="I16" i="12"/>
  <c r="C16" i="2"/>
  <c r="B16" i="2"/>
  <c r="P42" i="2"/>
  <c r="O42" i="2"/>
  <c r="Q43" i="2"/>
  <c r="E48" i="6" l="1"/>
  <c r="G15" i="12"/>
  <c r="H15" i="12"/>
  <c r="F15" i="12"/>
  <c r="L15" i="12"/>
  <c r="E15" i="12"/>
  <c r="J15" i="12"/>
  <c r="D15" i="12"/>
  <c r="I15" i="12"/>
  <c r="N15" i="12"/>
  <c r="K15" i="12"/>
  <c r="M15" i="12"/>
  <c r="C15" i="2"/>
  <c r="P46" i="10"/>
  <c r="O46" i="10"/>
  <c r="B15" i="2"/>
  <c r="O41" i="2"/>
  <c r="Q42" i="2"/>
  <c r="P41" i="2"/>
  <c r="E47" i="6" l="1"/>
  <c r="P45" i="10"/>
  <c r="E14" i="12"/>
  <c r="M14" i="12"/>
  <c r="K14" i="12"/>
  <c r="F14" i="12"/>
  <c r="I14" i="12"/>
  <c r="D14" i="12"/>
  <c r="J14" i="12"/>
  <c r="H14" i="12"/>
  <c r="N14" i="12"/>
  <c r="G14" i="12"/>
  <c r="L14" i="12"/>
  <c r="C14" i="2"/>
  <c r="B14" i="2"/>
  <c r="O40" i="2"/>
  <c r="Q41" i="2"/>
  <c r="P40" i="2"/>
  <c r="O45" i="10"/>
  <c r="E46" i="6" l="1"/>
  <c r="O44" i="10"/>
  <c r="P44" i="10"/>
  <c r="G13" i="12"/>
  <c r="L13" i="12"/>
  <c r="E13" i="12"/>
  <c r="J13" i="12"/>
  <c r="K13" i="12"/>
  <c r="I13" i="12"/>
  <c r="N13" i="12"/>
  <c r="M13" i="12"/>
  <c r="H13" i="12"/>
  <c r="F13" i="12"/>
  <c r="D13" i="12"/>
  <c r="C13" i="2"/>
  <c r="B13" i="2"/>
  <c r="P39" i="2"/>
  <c r="O39" i="2"/>
  <c r="Q40" i="2"/>
  <c r="E45" i="6" l="1"/>
  <c r="B12" i="2"/>
  <c r="Q39" i="2"/>
  <c r="O38" i="2"/>
  <c r="P38" i="2"/>
  <c r="P43" i="10"/>
  <c r="E12" i="12"/>
  <c r="F12" i="12"/>
  <c r="J12" i="12"/>
  <c r="H12" i="12"/>
  <c r="N12" i="12"/>
  <c r="G12" i="12"/>
  <c r="L12" i="12"/>
  <c r="I12" i="12"/>
  <c r="K12" i="12"/>
  <c r="D12" i="12"/>
  <c r="M12" i="12"/>
  <c r="C12" i="2"/>
  <c r="O43" i="10"/>
  <c r="E44" i="6" l="1"/>
  <c r="O42" i="10"/>
  <c r="G11" i="12"/>
  <c r="I11" i="12"/>
  <c r="N11" i="12"/>
  <c r="D11" i="12"/>
  <c r="M11" i="12"/>
  <c r="K11" i="12"/>
  <c r="H11" i="12"/>
  <c r="F11" i="12"/>
  <c r="L11" i="12"/>
  <c r="E11" i="12"/>
  <c r="J11" i="12"/>
  <c r="C11" i="2"/>
  <c r="B11" i="2"/>
  <c r="O37" i="2"/>
  <c r="Q38" i="2"/>
  <c r="P37" i="2"/>
  <c r="P42" i="10"/>
  <c r="E43" i="6" l="1"/>
  <c r="P41" i="10"/>
  <c r="E10" i="12"/>
  <c r="J10" i="12"/>
  <c r="H10" i="12"/>
  <c r="M10" i="12"/>
  <c r="D10" i="12"/>
  <c r="N10" i="12"/>
  <c r="G10" i="12"/>
  <c r="L10" i="12"/>
  <c r="K10" i="12"/>
  <c r="F10" i="12"/>
  <c r="I10" i="12"/>
  <c r="C10" i="2"/>
  <c r="O41" i="10"/>
  <c r="B10" i="2"/>
  <c r="O36" i="2"/>
  <c r="P36" i="2"/>
  <c r="Q37" i="2"/>
  <c r="E42" i="6" l="1"/>
  <c r="O40" i="10"/>
  <c r="G9" i="12"/>
  <c r="M9" i="12"/>
  <c r="D9" i="12"/>
  <c r="H9" i="12"/>
  <c r="F9" i="12"/>
  <c r="L9" i="12"/>
  <c r="E9" i="12"/>
  <c r="J9" i="12"/>
  <c r="K9" i="12"/>
  <c r="I9" i="12"/>
  <c r="N9" i="12"/>
  <c r="C9" i="2"/>
  <c r="P40" i="10"/>
  <c r="B9" i="2"/>
  <c r="D8" i="12" s="1"/>
  <c r="P35" i="2"/>
  <c r="O35" i="2"/>
  <c r="Q36" i="2"/>
  <c r="T36" i="11" l="1"/>
  <c r="E41" i="6"/>
  <c r="T37" i="11"/>
  <c r="T67" i="11"/>
  <c r="T68" i="11"/>
  <c r="O39" i="10"/>
  <c r="E8" i="12"/>
  <c r="N8" i="12"/>
  <c r="G8" i="12"/>
  <c r="L8" i="12"/>
  <c r="I8" i="12"/>
  <c r="K8" i="12"/>
  <c r="M8" i="12"/>
  <c r="F8" i="12"/>
  <c r="J8" i="12"/>
  <c r="H8" i="12"/>
  <c r="P39" i="10"/>
  <c r="O34" i="2"/>
  <c r="Q35" i="2"/>
  <c r="P34" i="2"/>
  <c r="T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5" i="11" l="1"/>
  <c r="E40" i="6"/>
  <c r="P38" i="10"/>
  <c r="O33" i="2"/>
  <c r="P33" i="2"/>
  <c r="Q34" i="2"/>
  <c r="O38" i="10"/>
  <c r="T34" i="11" l="1"/>
  <c r="E39" i="6"/>
  <c r="O37" i="10"/>
  <c r="Q33" i="2"/>
  <c r="O32" i="2"/>
  <c r="P32" i="2"/>
  <c r="P37" i="10"/>
  <c r="T33" i="11" l="1"/>
  <c r="E38" i="6"/>
  <c r="O36" i="10"/>
  <c r="O31" i="2"/>
  <c r="Q32" i="2"/>
  <c r="P31" i="2"/>
  <c r="P36" i="10"/>
  <c r="T32" i="11" l="1"/>
  <c r="E37" i="6"/>
  <c r="O30" i="2"/>
  <c r="Q31" i="2"/>
  <c r="P30" i="2"/>
  <c r="O35" i="10"/>
  <c r="P35" i="10"/>
  <c r="T31" i="11" l="1"/>
  <c r="E36" i="6"/>
  <c r="P34" i="10"/>
  <c r="O29" i="2"/>
  <c r="P29" i="2"/>
  <c r="Q30" i="2"/>
  <c r="O34" i="10"/>
  <c r="T30" i="11" l="1"/>
  <c r="E35" i="6"/>
  <c r="O33" i="10"/>
  <c r="Q29" i="2"/>
  <c r="O28" i="2"/>
  <c r="P28" i="2"/>
  <c r="P33" i="10"/>
  <c r="T29" i="11" l="1"/>
  <c r="E34" i="6"/>
  <c r="P32" i="10"/>
  <c r="O32" i="10"/>
  <c r="P27" i="2"/>
  <c r="O27" i="2"/>
  <c r="Q28" i="2"/>
  <c r="T28" i="11" l="1"/>
  <c r="E33" i="6"/>
  <c r="O26" i="2"/>
  <c r="P26" i="2"/>
  <c r="Q27" i="2"/>
  <c r="O31" i="10"/>
  <c r="P31" i="10"/>
  <c r="T27" i="11" l="1"/>
  <c r="E32" i="6"/>
  <c r="O30" i="10"/>
  <c r="P25" i="2"/>
  <c r="O25" i="2"/>
  <c r="Q26" i="2"/>
  <c r="P30" i="10"/>
  <c r="T26" i="11" l="1"/>
  <c r="E31" i="6"/>
  <c r="P29" i="10"/>
  <c r="O24" i="2"/>
  <c r="P24" i="2"/>
  <c r="Q25" i="2"/>
  <c r="O29" i="10"/>
  <c r="T25" i="11" l="1"/>
  <c r="E30" i="6"/>
  <c r="O28" i="10"/>
  <c r="P28" i="10"/>
  <c r="O23" i="2"/>
  <c r="Q24" i="2"/>
  <c r="P23" i="2"/>
  <c r="T24" i="11" l="1"/>
  <c r="E29" i="6"/>
  <c r="O27" i="10"/>
  <c r="P22" i="2"/>
  <c r="Q23" i="2"/>
  <c r="O22" i="2"/>
  <c r="P27" i="10"/>
  <c r="T23" i="11" l="1"/>
  <c r="E28" i="6"/>
  <c r="O26" i="10"/>
  <c r="P26" i="10"/>
  <c r="P21" i="2"/>
  <c r="O21" i="2"/>
  <c r="Q22" i="2"/>
  <c r="T22" i="11" l="1"/>
  <c r="E27" i="6"/>
  <c r="O25" i="10"/>
  <c r="P20" i="2"/>
  <c r="O20" i="2"/>
  <c r="Q21" i="2"/>
  <c r="P25" i="10"/>
  <c r="T21" i="11" l="1"/>
  <c r="E26" i="6"/>
  <c r="O19" i="2"/>
  <c r="Q20" i="2"/>
  <c r="P19" i="2"/>
  <c r="O24" i="10"/>
  <c r="P24" i="10"/>
  <c r="T20" i="11" l="1"/>
  <c r="E25" i="6"/>
  <c r="P23" i="10"/>
  <c r="O18" i="2"/>
  <c r="Q19" i="2"/>
  <c r="P18" i="2"/>
  <c r="O23" i="10"/>
  <c r="T19" i="11" l="1"/>
  <c r="E24" i="6"/>
  <c r="O22" i="10"/>
  <c r="P22" i="10"/>
  <c r="Q18" i="2"/>
  <c r="P17" i="2"/>
  <c r="O17" i="2"/>
  <c r="T18" i="11" l="1"/>
  <c r="E23" i="6"/>
  <c r="O16" i="2"/>
  <c r="Q17" i="2"/>
  <c r="P16" i="2"/>
  <c r="P21" i="10"/>
  <c r="O21" i="10"/>
  <c r="T17" i="11" l="1"/>
  <c r="E22" i="6"/>
  <c r="O20" i="10"/>
  <c r="P20" i="10"/>
  <c r="P15" i="2"/>
  <c r="O15" i="2"/>
  <c r="Q16" i="2"/>
  <c r="T16" i="11" l="1"/>
  <c r="E21" i="6"/>
  <c r="O19" i="10"/>
  <c r="Q15" i="2"/>
  <c r="P14" i="2"/>
  <c r="O14" i="2"/>
  <c r="P19" i="10"/>
  <c r="T15" i="11" l="1"/>
  <c r="E20" i="6"/>
  <c r="O18" i="10"/>
  <c r="P18" i="10"/>
  <c r="Q14" i="2"/>
  <c r="O13" i="2"/>
  <c r="P13" i="2"/>
  <c r="T14" i="11" l="1"/>
  <c r="E19" i="6"/>
  <c r="O17" i="10"/>
  <c r="O12" i="2"/>
  <c r="Q13" i="2"/>
  <c r="P12" i="2"/>
  <c r="P17" i="10"/>
  <c r="T13" i="11" l="1"/>
  <c r="E18" i="6"/>
  <c r="P16" i="10"/>
  <c r="O16" i="10"/>
  <c r="O11" i="2"/>
  <c r="Q12" i="2"/>
  <c r="P11" i="2"/>
  <c r="T12" i="11" l="1"/>
  <c r="E17" i="6"/>
  <c r="O15" i="10"/>
  <c r="P15" i="10"/>
  <c r="O10" i="2"/>
  <c r="P10" i="2"/>
  <c r="Q11" i="2"/>
  <c r="T11" i="11" l="1"/>
  <c r="E16" i="6"/>
  <c r="P14" i="10"/>
  <c r="P9" i="2"/>
  <c r="Q10" i="2"/>
  <c r="O9" i="2"/>
  <c r="O14" i="10"/>
  <c r="T10" i="11" l="1"/>
  <c r="E15" i="6"/>
  <c r="P8" i="2"/>
  <c r="O8" i="2"/>
  <c r="Q8" i="2" s="1"/>
  <c r="Q9" i="2"/>
  <c r="O13" i="10"/>
  <c r="P13" i="10"/>
  <c r="T8" i="11" l="1"/>
  <c r="E13" i="6"/>
  <c r="T9" i="11"/>
  <c r="E14" i="6"/>
  <c r="P12" i="10"/>
  <c r="O12" i="10"/>
  <c r="P11" i="10" l="1"/>
  <c r="O11" i="10"/>
  <c r="P9" i="10" l="1"/>
  <c r="O9" i="10"/>
  <c r="O10" i="10"/>
  <c r="P10" i="10"/>
</calcChain>
</file>

<file path=xl/sharedStrings.xml><?xml version="1.0" encoding="utf-8"?>
<sst xmlns="http://schemas.openxmlformats.org/spreadsheetml/2006/main" count="703" uniqueCount="453">
  <si>
    <t>Salaire journalier et code chiffré</t>
  </si>
  <si>
    <t xml:space="preserve">Dagloon en cijfercode </t>
  </si>
  <si>
    <t>dagloon  - salaire journalier</t>
  </si>
  <si>
    <t>code</t>
  </si>
  <si>
    <t>MIN</t>
  </si>
  <si>
    <t xml:space="preserve">Geldig/valable
</t>
  </si>
  <si>
    <t>Multiplicat(o)(eu)r</t>
  </si>
  <si>
    <t>Code</t>
  </si>
  <si>
    <t>1e periode</t>
  </si>
  <si>
    <t>A6</t>
  </si>
  <si>
    <t>E
FA</t>
  </si>
  <si>
    <t>GN
FN</t>
  </si>
  <si>
    <t>GB
FB</t>
  </si>
  <si>
    <r>
      <t>Volledige werkloosheidsuitkeringen - dagbedrag van de</t>
    </r>
    <r>
      <rPr>
        <b/>
        <sz val="12"/>
        <color rgb="FF0000FF"/>
        <rFont val="Arial"/>
        <family val="2"/>
      </rPr>
      <t xml:space="preserve"> uitkering - speciale categorieën</t>
    </r>
  </si>
  <si>
    <r>
      <t>Allocations de chômage complet - montant journalier de l'allocation</t>
    </r>
    <r>
      <rPr>
        <b/>
        <sz val="12"/>
        <color rgb="FF0000FF"/>
        <rFont val="Arial"/>
        <family val="2"/>
      </rPr>
      <t xml:space="preserve"> - catégories spéciales</t>
    </r>
  </si>
  <si>
    <t>Stelsel van werkloosheid met bedrijfstoeslag (voorheen brugpensioen)
Régime de chômage avec complément d'entreprise (auparavant prépension)</t>
  </si>
  <si>
    <r>
      <t>Tijdelijke werkloosheidsuitkeringen - dagbedrag van de</t>
    </r>
    <r>
      <rPr>
        <b/>
        <sz val="12"/>
        <color rgb="FF0000FF"/>
        <rFont val="Arial"/>
        <family val="2"/>
      </rPr>
      <t xml:space="preserve"> uitkering</t>
    </r>
  </si>
  <si>
    <t>Allocations de chômage temporaire - montant journalier de l'allocation</t>
  </si>
  <si>
    <r>
      <rPr>
        <b/>
        <sz val="12"/>
        <color rgb="FFFF0000"/>
        <rFont val="Arial"/>
        <family val="2"/>
      </rPr>
      <t>Volle</t>
    </r>
    <r>
      <rPr>
        <b/>
        <sz val="12"/>
        <color rgb="FF0000FF"/>
        <rFont val="Arial"/>
        <family val="2"/>
      </rPr>
      <t xml:space="preserve"> uitkering / Allocation </t>
    </r>
    <r>
      <rPr>
        <b/>
        <sz val="12"/>
        <color rgb="FFFF0000"/>
        <rFont val="Arial"/>
        <family val="2"/>
      </rPr>
      <t>entière</t>
    </r>
  </si>
  <si>
    <t>J/S</t>
  </si>
  <si>
    <t>Salaires horaires</t>
  </si>
  <si>
    <t>Q</t>
  </si>
  <si>
    <t>Uurlonen</t>
  </si>
  <si>
    <t>leeftijd / âge</t>
  </si>
  <si>
    <t>//</t>
  </si>
  <si>
    <t xml:space="preserve">W =  </t>
  </si>
  <si>
    <t>inschakelingsuitkering</t>
  </si>
  <si>
    <t>allocation d'insertion</t>
  </si>
  <si>
    <t>I =</t>
  </si>
  <si>
    <t>inschakelingsuitkering "opleidingsuitkering"</t>
  </si>
  <si>
    <t>&lt; 18</t>
  </si>
  <si>
    <t xml:space="preserve">allocation d'insertion  "allocation de formation" </t>
  </si>
  <si>
    <t>T =</t>
  </si>
  <si>
    <t>overbruggingsuitkering - tijdelijk werkloze</t>
  </si>
  <si>
    <t>allocation de transition - chômeur temporaire</t>
  </si>
  <si>
    <t>Inschakelingsuitkeringen en gelijkgestelde</t>
  </si>
  <si>
    <t>Allocations d'insertion et assimilées</t>
  </si>
  <si>
    <t>Andere RVA-reglementering</t>
  </si>
  <si>
    <t xml:space="preserve">Autres réglementations ONEM </t>
  </si>
  <si>
    <t>&lt;=</t>
  </si>
  <si>
    <t>&gt;</t>
  </si>
  <si>
    <t>Opvanguitkering - allocation de garde</t>
  </si>
  <si>
    <t>Werkuitkering / Allocation de travail</t>
  </si>
  <si>
    <t>maximum maandbedrag - montant mensuel maximum</t>
  </si>
  <si>
    <t>500,00 X U/[Sx4]   (max. 500,00)</t>
  </si>
  <si>
    <t>SINE</t>
  </si>
  <si>
    <t xml:space="preserve">Nieuwe regeling (aanvang of wijziging arbeidsduur vanaf 2004) </t>
  </si>
  <si>
    <t>Nouveau régime (début ou changement du durée de travail à partir de 2004)</t>
  </si>
  <si>
    <t>CA/ ••1••••</t>
  </si>
  <si>
    <t>750,00 X Q/S   (max. 500,00)</t>
  </si>
  <si>
    <t>CA/ ••2••••</t>
  </si>
  <si>
    <t>Oude regeling (aanvang vóór 2004) / Ancien régime (début avant 2004)</t>
  </si>
  <si>
    <t>Activeringsuitkeringen - Allocations d'activation</t>
  </si>
  <si>
    <r>
      <t>&gt;</t>
    </r>
    <r>
      <rPr>
        <sz val="10"/>
        <rFont val="Arial"/>
        <family val="2"/>
      </rPr>
      <t xml:space="preserve"> 21</t>
    </r>
  </si>
  <si>
    <r>
      <t>&gt;</t>
    </r>
    <r>
      <rPr>
        <sz val="10"/>
        <rFont val="Arial"/>
        <family val="2"/>
      </rPr>
      <t xml:space="preserve"> 18 en &lt; 21</t>
    </r>
  </si>
  <si>
    <r>
      <t>&gt;</t>
    </r>
    <r>
      <rPr>
        <sz val="10"/>
        <rFont val="Arial"/>
        <family val="2"/>
      </rPr>
      <t xml:space="preserve"> 18</t>
    </r>
  </si>
  <si>
    <t>Employé du secteur privé ou contractuel du secteur public</t>
  </si>
  <si>
    <t>Bediende privésector of contractueel van de openbare sector</t>
  </si>
  <si>
    <t>(referteloon aan 100 % in EUR)</t>
  </si>
  <si>
    <t>R</t>
  </si>
  <si>
    <t>(montant de base du bonus en EUR)</t>
  </si>
  <si>
    <t>(salaire de référence à 100 % en EUR)</t>
  </si>
  <si>
    <t>(basisbedrag van de bonus in EUR)</t>
  </si>
  <si>
    <t>Pour le calcul de l'AGR: également d'application s'il s'agit d'un ouvrier</t>
  </si>
  <si>
    <t>&lt;</t>
  </si>
  <si>
    <t xml:space="preserve">x (S - </t>
  </si>
  <si>
    <t>))</t>
  </si>
  <si>
    <t xml:space="preserve">Voor de berekening van de IGU: ook van toepassing indien het een arbeider betreft </t>
  </si>
  <si>
    <t>Ouvrier du secteur privé ou contractuel du secteur public</t>
  </si>
  <si>
    <t>Arbeider privésector of contractueel van de openbare sector</t>
  </si>
  <si>
    <t xml:space="preserve">Pour le calcul d'autres montants nets de salaire d'un ouvrier </t>
  </si>
  <si>
    <t>(p.ex. pour vérifier si un emploi est convenable)</t>
  </si>
  <si>
    <t>Voor de berekening van andere nettoloonbedragen van een arbeider</t>
  </si>
  <si>
    <t xml:space="preserve">(bv. om na te gaan of een dienstbetrekking passend is)  </t>
  </si>
  <si>
    <t>Werkbonus</t>
  </si>
  <si>
    <t>Bonus à l'emploi</t>
  </si>
  <si>
    <r>
      <t xml:space="preserve">en </t>
    </r>
    <r>
      <rPr>
        <u/>
        <sz val="10"/>
        <rFont val="Arial"/>
        <family val="2"/>
      </rPr>
      <t>&lt;</t>
    </r>
  </si>
  <si>
    <t xml:space="preserve"> S</t>
  </si>
  <si>
    <t>Brutomaandloon
Salaire mensuel brut</t>
  </si>
  <si>
    <t>Maandbedrag toeslag
Montant mensuel indem</t>
  </si>
  <si>
    <t xml:space="preserve">Maandbedrag toeslag
Montant mensuel indem
</t>
  </si>
  <si>
    <t>Vol - Plein</t>
  </si>
  <si>
    <t>Half - Demi</t>
  </si>
  <si>
    <t>Dagbedrag - Montant journalier</t>
  </si>
  <si>
    <t>Bijzondere  bedragen werkloosheid</t>
  </si>
  <si>
    <t>Montants particuliers chômage</t>
  </si>
  <si>
    <t>art. 110</t>
  </si>
  <si>
    <t>art. 130bis</t>
  </si>
  <si>
    <t>Artikel - Article</t>
  </si>
  <si>
    <t>Uitleg - Explications</t>
  </si>
  <si>
    <t>Refertemaandloon - Salaire mensuel de référence</t>
  </si>
  <si>
    <t>Loongrens AX - Plafond salarial AX</t>
  </si>
  <si>
    <t>Loongrens B - Plafond salarial B</t>
  </si>
  <si>
    <t>Loongrens C - Plafond salarial C</t>
  </si>
  <si>
    <t>Beroepsinkomen kind - Revenu professionnel enfant</t>
  </si>
  <si>
    <t>Vervangingsinkomen - Revenu de remplacement</t>
  </si>
  <si>
    <t>Vervangingsinkomen kind - Revenu de remplacement enfant</t>
  </si>
  <si>
    <t>Gepensioneerd ascendent + kind - Ascendant pensionné + enfant</t>
  </si>
  <si>
    <t>Gepensioneerd ascendent - Ascendant pensionné</t>
  </si>
  <si>
    <t>Gehandicapt gepensioneerd ascendent - Ascendant pensionné handicapé</t>
  </si>
  <si>
    <t>Beroepsinkomen partner - Revenu professionnel conjoint</t>
  </si>
  <si>
    <t>Werkhervattingstoeslag - Complément de reprise de travail</t>
  </si>
  <si>
    <t>Tijdelijke werkhervattingstoeslag - Complément de reprise de travail temporaire</t>
  </si>
  <si>
    <t>dag/
jour</t>
  </si>
  <si>
    <t>maand/
mois</t>
  </si>
  <si>
    <t>jaar/
année</t>
  </si>
  <si>
    <t>maand 1-12</t>
  </si>
  <si>
    <t>maand 13-24</t>
  </si>
  <si>
    <t>maand 25-36</t>
  </si>
  <si>
    <t>N - alleenwonende - isolé</t>
  </si>
  <si>
    <t>A - samenwonende met gezinslast - cohabitant avec charge de famille</t>
  </si>
  <si>
    <t>B - samenwonende - cohabitant</t>
  </si>
  <si>
    <t>Kinderopvangtoeslag - Complément de garde d'enfants</t>
  </si>
  <si>
    <t>Bestaansmiddelen - Moyens d'existence</t>
  </si>
  <si>
    <t>art. 45bis, §2, al. 1, 3°</t>
  </si>
  <si>
    <t xml:space="preserve">Vrijwilligerswerk fiscale plafonds - Volontariat plafonds fiscaux </t>
  </si>
  <si>
    <t>Gemiddeld minimum maandinkomen - Revenu minimum mensuel moyen</t>
  </si>
  <si>
    <t>• 60, al. 2 MB - AM</t>
  </si>
  <si>
    <t>• 61, al. 2 MB - AM</t>
  </si>
  <si>
    <t>• 61, al. 3 MB - AM</t>
  </si>
  <si>
    <t>• 62, al. 1 MB - AM</t>
  </si>
  <si>
    <t>• 62, al. 2 MB - AM</t>
  </si>
  <si>
    <t>• 62, al. 3 MB - AM</t>
  </si>
  <si>
    <t>art. 111, al. 2</t>
  </si>
  <si>
    <t>art. 129bis, §1, al. 2</t>
  </si>
  <si>
    <t>art. 129ter, §1, al. 2</t>
  </si>
  <si>
    <t>art. 129bis, §1bis, al. 2</t>
  </si>
  <si>
    <t>art. 129ter, §1bis, al. 2</t>
  </si>
  <si>
    <t>art. 130, §2</t>
  </si>
  <si>
    <t>Vervangingsinkomen onthaalouder - Revenu de remplacement gardien</t>
  </si>
  <si>
    <t>Toeslag na activiteitencoöperatie - Complémént après coopératives d'activités</t>
  </si>
  <si>
    <t>halve dag/
demi jour</t>
  </si>
  <si>
    <t>IGU refertemaandloon - AGR salaire mensuel de référence</t>
  </si>
  <si>
    <t>IGU Uurtoeslag - AGR supplément par heure</t>
  </si>
  <si>
    <t>IGU minimale halve uitkering - AGR demi-allocation minimale</t>
  </si>
  <si>
    <t>art. 131bis, §1, 4°</t>
  </si>
  <si>
    <t>art. 131bis, §3, 3°</t>
  </si>
  <si>
    <t>art. 131septies/1, §5, al. 1</t>
  </si>
  <si>
    <t>art. 171, al. 1</t>
  </si>
  <si>
    <t>Gezinstoestand bruto-inkomens - Situation familiale revenus bruts</t>
  </si>
  <si>
    <t>Actief zoekgedrag verminderde uitk. - Comportement de recherche actif alloc.réduite</t>
  </si>
  <si>
    <t>KB 03.05.2007</t>
  </si>
  <si>
    <t>Niet-vervanging SWT - Non-remplacement RCC</t>
  </si>
  <si>
    <t>gezinslast / charge de famille</t>
  </si>
  <si>
    <t>bevoorrecht samenwonende</t>
  </si>
  <si>
    <t>cohabitant privilégié</t>
  </si>
  <si>
    <t>niet-bevoorrecht samenwonende</t>
  </si>
  <si>
    <t>alleenwonende / isolé</t>
  </si>
  <si>
    <t>cohabitant non privilégié</t>
  </si>
  <si>
    <t xml:space="preserve">Wisselkoerstoeslag  - indemnité fluctuation taux de change </t>
  </si>
  <si>
    <t>oude regeling - ancien régime</t>
  </si>
  <si>
    <t>nieuwe regeling - nouveau régime</t>
  </si>
  <si>
    <t>A0H</t>
  </si>
  <si>
    <t>uur/
heure</t>
  </si>
  <si>
    <t>stageuitkering "instapstage" 2013</t>
  </si>
  <si>
    <t>Leefloon - Revenu d'intégration</t>
  </si>
  <si>
    <t>gezinshoofd - chef de ménage</t>
  </si>
  <si>
    <t>alleenstaande - isolé</t>
  </si>
  <si>
    <t>samenwonende - cohabitant</t>
  </si>
  <si>
    <t>maand
mois</t>
  </si>
  <si>
    <t>jaar
année</t>
  </si>
  <si>
    <t>Loongrens AZ - Plafond salarial AZ</t>
  </si>
  <si>
    <t>na de BIT - après le SIP</t>
  </si>
  <si>
    <r>
      <rPr>
        <u/>
        <sz val="10"/>
        <rFont val="Arial"/>
        <family val="2"/>
      </rPr>
      <t>&gt;</t>
    </r>
    <r>
      <rPr>
        <sz val="10"/>
        <rFont val="Arial"/>
        <family val="2"/>
      </rPr>
      <t xml:space="preserve"> 21</t>
    </r>
  </si>
  <si>
    <t xml:space="preserve"> SA3F SA7F</t>
  </si>
  <si>
    <t xml:space="preserve"> SA3 SA73</t>
  </si>
  <si>
    <t xml:space="preserve"> SA6F</t>
  </si>
  <si>
    <t xml:space="preserve"> SA63</t>
  </si>
  <si>
    <t xml:space="preserve"> SN3</t>
  </si>
  <si>
    <t>tijdens de BIT - pendant le SIP</t>
  </si>
  <si>
    <t>allocation de stage "stage de transition" 2013</t>
  </si>
  <si>
    <t xml:space="preserve"> - (</t>
  </si>
  <si>
    <t>art. 131bis, §2bis, al. 3</t>
  </si>
  <si>
    <t>• 60, al. 3 MB - AM</t>
  </si>
  <si>
    <t>art. 79, §10, al. 5</t>
  </si>
  <si>
    <t>art. 129quater, §1, al. 2</t>
  </si>
  <si>
    <t>Refertedagloon artiesten - Salaire journalier de référence artistes</t>
  </si>
  <si>
    <t>art. 28, §2 (5 MB - AM)</t>
  </si>
  <si>
    <t xml:space="preserve"> SP3</t>
  </si>
  <si>
    <t xml:space="preserve"> SB3</t>
  </si>
  <si>
    <t>S =</t>
  </si>
  <si>
    <r>
      <rPr>
        <u/>
        <sz val="10"/>
        <color theme="1"/>
        <rFont val="Arial"/>
        <family val="2"/>
      </rPr>
      <t>&gt;</t>
    </r>
    <r>
      <rPr>
        <sz val="10"/>
        <color theme="1"/>
        <rFont val="Arial"/>
        <family val="2"/>
      </rPr>
      <t xml:space="preserve"> 18 en &lt; 21</t>
    </r>
  </si>
  <si>
    <r>
      <rPr>
        <u/>
        <sz val="10"/>
        <color theme="1"/>
        <rFont val="Arial"/>
        <family val="2"/>
      </rPr>
      <t>&gt;</t>
    </r>
    <r>
      <rPr>
        <sz val="10"/>
        <color theme="1"/>
        <rFont val="Arial"/>
        <family val="2"/>
      </rPr>
      <t xml:space="preserve"> 18</t>
    </r>
  </si>
  <si>
    <t>Havenarbeiders
Travailleurs de port
(Bedragen/montants R5!)</t>
  </si>
  <si>
    <t>Toegelaten cumul (vanaf geldigheid barema) - Cumul autorisé (à partir de la validité barème)</t>
  </si>
  <si>
    <t>art. 37</t>
  </si>
  <si>
    <t>Bedragen betaalde sportbeoefenaars - Montants sportifs rémunérés</t>
  </si>
  <si>
    <t>Minimumbedrag - Montant minimal</t>
  </si>
  <si>
    <t>Zeevissers
Pêcheurs de mer</t>
  </si>
  <si>
    <t>A7</t>
  </si>
  <si>
    <t>Artistieke activiteiten Bedrag Y - Activités artistiques Montant Y</t>
  </si>
  <si>
    <t>CA/ ••#••••</t>
  </si>
  <si>
    <t># = 1, 2, 3, 4, 5</t>
  </si>
  <si>
    <t>ACTIVA - WALLONIE</t>
  </si>
  <si>
    <t>G•/ ••WA1••</t>
  </si>
  <si>
    <t>G•/ ••WA2••</t>
  </si>
  <si>
    <t>G•/ ••WA3••</t>
  </si>
  <si>
    <t>G•/ ••WB1••</t>
  </si>
  <si>
    <t>G•/ ••WB2••</t>
  </si>
  <si>
    <t>G•/ ••WB3••</t>
  </si>
  <si>
    <t>250,00 X U/[Sx4]   (max. 250,00)</t>
  </si>
  <si>
    <t>125,00 X U/[Sx4]   (max. 125,00)</t>
  </si>
  <si>
    <t>ACTIVA - BRUSSEL/BRUXELLES</t>
  </si>
  <si>
    <t>G•/ ••BA1••</t>
  </si>
  <si>
    <t>G•/ ••BA2••</t>
  </si>
  <si>
    <t>G•/ ••BA3••</t>
  </si>
  <si>
    <t>G•/ ••BB1••</t>
  </si>
  <si>
    <t>G•/ ••BB2••</t>
  </si>
  <si>
    <t>350,00 X U/[Sx4]   (max.350,00)</t>
  </si>
  <si>
    <t>800,00 X U/[Sx4]   (max. 800,00)</t>
  </si>
  <si>
    <t>350,00 X U/[Sx4]   (max. 350,00)</t>
  </si>
  <si>
    <t>750,00 X U/[Sx4]   (max. 750,00)</t>
  </si>
  <si>
    <t>600,00 X U/[Sx4]   (max. 600,00)</t>
  </si>
  <si>
    <t xml:space="preserve"> IA TA</t>
  </si>
  <si>
    <t xml:space="preserve"> IN</t>
  </si>
  <si>
    <t xml:space="preserve"> IN </t>
  </si>
  <si>
    <t xml:space="preserve"> IN TN</t>
  </si>
  <si>
    <t xml:space="preserve"> IP</t>
  </si>
  <si>
    <t xml:space="preserve"> IP TP</t>
  </si>
  <si>
    <t xml:space="preserve"> I</t>
  </si>
  <si>
    <t xml:space="preserve"> I T</t>
  </si>
  <si>
    <t xml:space="preserve">Basisbedragen geldig op </t>
  </si>
  <si>
    <t>Rang index</t>
  </si>
  <si>
    <t>Multiplicator</t>
  </si>
  <si>
    <t>Datum</t>
  </si>
  <si>
    <t>Gewone regeling</t>
  </si>
  <si>
    <t>Wat</t>
  </si>
  <si>
    <t>Basisbedrag</t>
  </si>
  <si>
    <t>Freq bedrag</t>
  </si>
  <si>
    <t>Zie (geen bedrag in KB)</t>
  </si>
  <si>
    <t>45bis (fiscale vrijstelling vrijwilligers)</t>
  </si>
  <si>
    <t>Wisselkoerstoeslag (loongrenzen)</t>
  </si>
  <si>
    <t>28, § 2 (5 MB)</t>
  </si>
  <si>
    <t>maand</t>
  </si>
  <si>
    <t>cao 43</t>
  </si>
  <si>
    <t>36quater, § 4, 1e lid</t>
  </si>
  <si>
    <t>Bedrag stage-uitkering (instapstage)</t>
  </si>
  <si>
    <t>dag</t>
  </si>
  <si>
    <t>Betaalde sportbeoefenaar minimumbedrag</t>
  </si>
  <si>
    <t>jaar</t>
  </si>
  <si>
    <t>wet 24/02/1978, art. 2, § 1 + jaarlijks KB</t>
  </si>
  <si>
    <t>45bis</t>
  </si>
  <si>
    <t>Maximumbedrag dagvoordeel vrijwilligers met fiscale vrijstelling</t>
  </si>
  <si>
    <t>wet 03/07/2005, art. 10, 1e lid</t>
  </si>
  <si>
    <t>Maximumbedrag jaarvoordeel vrijwilligers met fiscale vrijstelling</t>
  </si>
  <si>
    <t>110 (60, 2e lid MB)</t>
  </si>
  <si>
    <t>Beroepsinkomen partner maximum</t>
  </si>
  <si>
    <t>110 (60, 3e lid MB)</t>
  </si>
  <si>
    <t>Beroepsinkomen kind maximum</t>
  </si>
  <si>
    <t>110 (61, 2e lid MB)</t>
  </si>
  <si>
    <t>Vervanginsinkomen maximum</t>
  </si>
  <si>
    <t>110 (61, 3e lid MB)</t>
  </si>
  <si>
    <t>Vervangingsinkomen onthaalouder maximum</t>
  </si>
  <si>
    <t>110 (62, 2e en 3e lid MB)</t>
  </si>
  <si>
    <t>Gepensioneerde ascendent + kind (of gehandicapte ascendent) maximum</t>
  </si>
  <si>
    <t>110 (62, 3e lid MB)</t>
  </si>
  <si>
    <t>Gepensioneerde ascendent maximum</t>
  </si>
  <si>
    <t>Loongrens B</t>
  </si>
  <si>
    <t>Loongrens C</t>
  </si>
  <si>
    <t>Loongrens AX (jeugd- en seniorvakantie)</t>
  </si>
  <si>
    <t>Loongrens AZ (SWT)</t>
  </si>
  <si>
    <t>Minimum VW samenwonende B11</t>
  </si>
  <si>
    <t>124, 1e lid, 1°</t>
  </si>
  <si>
    <t>Inschakelingsuitkering gezinshoofd</t>
  </si>
  <si>
    <t>124, 1e lid, 2°, a</t>
  </si>
  <si>
    <t>Inschakelingsuitkering alleenstaande &lt;18</t>
  </si>
  <si>
    <t>124, 1e lid, 2°, b</t>
  </si>
  <si>
    <t>Inschakelingsuitkering alleenstaande &gt;=18 - &lt;21</t>
  </si>
  <si>
    <t>124, 1e lid, 2°, c</t>
  </si>
  <si>
    <t>124, 1e lid, 3°, a</t>
  </si>
  <si>
    <t>Inschakelingsuitkering samenwonende &lt;18</t>
  </si>
  <si>
    <t>124, 1e lid, 3°, b</t>
  </si>
  <si>
    <t>Inschakelingsuitkering samenwonende &gt;=18</t>
  </si>
  <si>
    <t>124, 2e lid</t>
  </si>
  <si>
    <t>124, 3e lid</t>
  </si>
  <si>
    <t>129bis+ter, § 1, 2e lid</t>
  </si>
  <si>
    <t>Onbeperkte werkhervattingstoeslag</t>
  </si>
  <si>
    <t>129bis+ter, § 1bis, 2e lid</t>
  </si>
  <si>
    <t>Tijdelijke werkhervattingstoeslag - maand 1-12</t>
  </si>
  <si>
    <t>Tijdelijke werkhervattingstoeslag - maand 13-24</t>
  </si>
  <si>
    <t>Tijdelijke werkhervattingstoeslag - maand 25-36</t>
  </si>
  <si>
    <t>129quater, § 1, 2e lid</t>
  </si>
  <si>
    <t>Werkhervattingstoeslag ACCO</t>
  </si>
  <si>
    <t>130, § 2, 1e lid</t>
  </si>
  <si>
    <t>Grens bijberoep/mandaat/pensioen…</t>
  </si>
  <si>
    <t>130bis</t>
  </si>
  <si>
    <t>Verminderd dagbedrag DISPO gezinshoofd (obv leefloon)</t>
  </si>
  <si>
    <t>wet 26/05/2002, art. 14, § 1</t>
  </si>
  <si>
    <t>Verminderd dagbedrag DISPO alleenstaande (obv leefloon)</t>
  </si>
  <si>
    <t>Leefloon samenwonende</t>
  </si>
  <si>
    <t>131bis, § 2,1e lid, 1°</t>
  </si>
  <si>
    <t>IGU - maandbedrag toeslag oude regeling gezinshoofd</t>
  </si>
  <si>
    <t>131bis, § 2,1e lid, 2°</t>
  </si>
  <si>
    <t>IGU - maandbedrag toeslag oude regeling alleenstaande</t>
  </si>
  <si>
    <t>131bis, § 2,1e lid, 3°</t>
  </si>
  <si>
    <t>IGU - maandbedrag toeslag oude regeling samenwonende</t>
  </si>
  <si>
    <t>131bis, § 2bis, 3e lid</t>
  </si>
  <si>
    <t>IGU - uurbedrag toeslag nieuwe regeling (alle cat.)</t>
  </si>
  <si>
    <t>uur</t>
  </si>
  <si>
    <t>131ter, 4e lid</t>
  </si>
  <si>
    <t>Minimumbedrag jeugd- en seniorvakantie</t>
  </si>
  <si>
    <t>131septies/1, § 5, 1e lid</t>
  </si>
  <si>
    <t>Kinderopvangtoeslag</t>
  </si>
  <si>
    <t>171, 1e lid</t>
  </si>
  <si>
    <t>Ontheffing TV - maximumbedrag bestaansmiddelen</t>
  </si>
  <si>
    <t>Andere</t>
  </si>
  <si>
    <t>Wisselkoerstoeslag eerste loongrens</t>
  </si>
  <si>
    <t>KB 01/06/1999, art. 3</t>
  </si>
  <si>
    <t>Wisselkoerstoeslag tweede loongrens</t>
  </si>
  <si>
    <t>Opvanguitkering</t>
  </si>
  <si>
    <t>KB 26/03/2003, art. 3</t>
  </si>
  <si>
    <t>KB 17/01/2000</t>
  </si>
  <si>
    <t>Inschakelingsuitkering alleenstaande &gt;=21</t>
  </si>
  <si>
    <t>Inschakelingsuitkering bevoorrecht samenwonende &lt;18</t>
  </si>
  <si>
    <t>Inschakelingsuitkering bevoorrecht samenwonende &gt;=18</t>
  </si>
  <si>
    <t>Comp. verg. niet vervanging SWT</t>
  </si>
  <si>
    <t>KB 03/05/2007, art. 11, § 1, 3e lid</t>
  </si>
  <si>
    <t xml:space="preserve">D =  </t>
  </si>
  <si>
    <t>beschermingsuitkering</t>
  </si>
  <si>
    <t>allocation de sauvegarde</t>
  </si>
  <si>
    <t>Minimum SWT/BP gezinshoofd</t>
  </si>
  <si>
    <t>Minimum SWT/BP alleenstaande</t>
  </si>
  <si>
    <t>Minimum SWT/BP samenwonende</t>
  </si>
  <si>
    <t>111, 2e lid, 1°</t>
  </si>
  <si>
    <t>111, 2e lid, 2°</t>
  </si>
  <si>
    <t>111, 2e lid, 3°</t>
  </si>
  <si>
    <t>111, 2e lid, 4°</t>
  </si>
  <si>
    <t>111, 2e lid, 6°</t>
  </si>
  <si>
    <t>art. 46, §3, 7°</t>
  </si>
  <si>
    <t>Zitpenningen culturele sector - Jetons de présence secteur culturel</t>
  </si>
  <si>
    <t>46, § 3, 7°</t>
  </si>
  <si>
    <t>Zitpenningen culturele sector</t>
  </si>
  <si>
    <t>Werkbonus maximumloongrens vermenigvuldigingsfactor</t>
  </si>
  <si>
    <t>Kunstwerkers
Travailleurs des arts</t>
  </si>
  <si>
    <t>AA</t>
  </si>
  <si>
    <t>AN
AB</t>
  </si>
  <si>
    <t xml:space="preserve">191, § 2, 1° </t>
  </si>
  <si>
    <t>Minimum kunstwerkers - cat. A</t>
  </si>
  <si>
    <t xml:space="preserve">191, § 2, 2° </t>
  </si>
  <si>
    <t>Minimum kunstwerkers - cat. N/B</t>
  </si>
  <si>
    <t>189, § 1, 4e lid</t>
  </si>
  <si>
    <t>Grens  bijberoep kunstwerkers</t>
  </si>
  <si>
    <t>Toegelaten cumul kunstwerkers - Cumul autorisé travailleurs des arts</t>
  </si>
  <si>
    <t>art. 48bis, §2, al. 9
art. 195, § 3</t>
  </si>
  <si>
    <t>A0 N0 B0</t>
  </si>
  <si>
    <r>
      <rPr>
        <b/>
        <sz val="12"/>
        <color rgb="FFFF0000"/>
        <rFont val="Arial"/>
        <family val="2"/>
      </rPr>
      <t>Volle</t>
    </r>
    <r>
      <rPr>
        <b/>
        <sz val="12"/>
        <color rgb="FF0000FF"/>
        <rFont val="Arial"/>
        <family val="2"/>
      </rPr>
      <t xml:space="preserve"> uitkering
Allocation </t>
    </r>
    <r>
      <rPr>
        <b/>
        <sz val="12"/>
        <color rgb="FFFF0000"/>
        <rFont val="Arial"/>
        <family val="2"/>
      </rPr>
      <t>entière</t>
    </r>
  </si>
  <si>
    <r>
      <rPr>
        <b/>
        <sz val="12"/>
        <color rgb="FFFF0000"/>
        <rFont val="Arial"/>
        <family val="2"/>
      </rPr>
      <t>Halve</t>
    </r>
    <r>
      <rPr>
        <b/>
        <sz val="12"/>
        <color rgb="FF0000FF"/>
        <rFont val="Arial"/>
        <family val="2"/>
      </rPr>
      <t xml:space="preserve"> uitkering
</t>
    </r>
    <r>
      <rPr>
        <b/>
        <sz val="12"/>
        <color rgb="FFFF0000"/>
        <rFont val="Arial"/>
        <family val="2"/>
      </rPr>
      <t>Demi</t>
    </r>
    <r>
      <rPr>
        <b/>
        <sz val="12"/>
        <color rgb="FF0000FF"/>
        <rFont val="Arial"/>
        <family val="2"/>
      </rPr>
      <t xml:space="preserve"> allocation</t>
    </r>
  </si>
  <si>
    <t>Werkbonus middelste loongrens vermenigvuldigingsfactor</t>
  </si>
  <si>
    <t>art. 188, §2, al. 1</t>
  </si>
  <si>
    <t>Artistieke activiteiten Bedrag Y (2024 -&gt;) - Activités artistiques Montant Y (2024 -&gt;)</t>
  </si>
  <si>
    <t>art. 189, §1, al. 4</t>
  </si>
  <si>
    <t>115, § 4, 1°</t>
  </si>
  <si>
    <t>115, § 4, 2°</t>
  </si>
  <si>
    <t>Minimum TW alle cat. (indien geen overmacht)</t>
  </si>
  <si>
    <t>Werkbonus voordeel VA pct</t>
  </si>
  <si>
    <t>Werkbonus voordeel VB pct</t>
  </si>
  <si>
    <t>Werkbonus laagste loongrens vermenigvuldigingsfactor</t>
  </si>
  <si>
    <t>GMMI op 01/04/2022</t>
  </si>
  <si>
    <t>GMMI220401</t>
  </si>
  <si>
    <t>Minimum TW alle cat. (indien overmacht)</t>
  </si>
  <si>
    <r>
      <t xml:space="preserve">Volledige werkloosheidsuitkeringen - dagbedrag van de </t>
    </r>
    <r>
      <rPr>
        <b/>
        <sz val="10"/>
        <color rgb="FFFF0000"/>
        <rFont val="Arial"/>
        <family val="2"/>
      </rPr>
      <t>volle</t>
    </r>
    <r>
      <rPr>
        <b/>
        <sz val="10"/>
        <color rgb="FF0000FF"/>
        <rFont val="Arial"/>
        <family val="2"/>
      </rPr>
      <t xml:space="preserve"> uitkering</t>
    </r>
  </si>
  <si>
    <r>
      <t xml:space="preserve">Allocations de chômage complet - montant journalier de l'allocation </t>
    </r>
    <r>
      <rPr>
        <b/>
        <sz val="10"/>
        <color rgb="FFFF0000"/>
        <rFont val="Arial"/>
        <family val="2"/>
      </rPr>
      <t>entière</t>
    </r>
  </si>
  <si>
    <t>2e per</t>
  </si>
  <si>
    <t>2ème pér</t>
  </si>
  <si>
    <t>111, 2e lid, 1°/1</t>
  </si>
  <si>
    <t>Loongrens A1</t>
  </si>
  <si>
    <t>Loongrens A2</t>
  </si>
  <si>
    <t>115, § 1, 1e lid, 1°, a)</t>
  </si>
  <si>
    <t>115, § 1, 1e lid, 1°, b)</t>
  </si>
  <si>
    <t>115, § 1, 1e lid, 2°, a)</t>
  </si>
  <si>
    <t>115, § 1, 1e lid, 2°, b)</t>
  </si>
  <si>
    <t>115, § 2, 1°</t>
  </si>
  <si>
    <t>115, § 2, 2°</t>
  </si>
  <si>
    <t>Minimum VW samenwonende B12</t>
  </si>
  <si>
    <t>115, § 1, 1e lid, 3°, a)</t>
  </si>
  <si>
    <t>115, § 1, 1e lid, 3°, b)</t>
  </si>
  <si>
    <t>115, § 1, 1e lid, 3°, c)</t>
  </si>
  <si>
    <t>Minimum VW samenwonende B13</t>
  </si>
  <si>
    <t>Minimum VW gezinshoofd - A11-A12</t>
  </si>
  <si>
    <t>Minimum VW gezinshoofd - A13-&gt;</t>
  </si>
  <si>
    <t>Minimum VW alleenstaande - N11-N12</t>
  </si>
  <si>
    <t>Minimum VW alleenstaande - N13 -&gt;</t>
  </si>
  <si>
    <t>115, § 1, 1e lid, 3°, d)</t>
  </si>
  <si>
    <t>Minimum VW samenwonende BF BV+</t>
  </si>
  <si>
    <t>115, § 1, 1e lid, 3°, e)</t>
  </si>
  <si>
    <t>Minimum VW samenwonende BF BV-</t>
  </si>
  <si>
    <t>115, § 2, 3°</t>
  </si>
  <si>
    <t>115, § 3</t>
  </si>
  <si>
    <t>Minimum 28, § 3</t>
  </si>
  <si>
    <t>Max. 48 maanden - Max. 48 mois</t>
  </si>
  <si>
    <t>art. 37 (10 MB - AM)
art. 195, §2</t>
  </si>
  <si>
    <t>Werknemers met gezinslast
Travailleurs ayant charge de famille</t>
  </si>
  <si>
    <t>Alleenwonenden
Isolés</t>
  </si>
  <si>
    <t>Samenwonenden
Cohabitants</t>
  </si>
  <si>
    <t>1ère période</t>
  </si>
  <si>
    <t>BV+ / PP+</t>
  </si>
  <si>
    <t>BV- / PP-</t>
  </si>
  <si>
    <r>
      <t xml:space="preserve">Volledige werkloosheidsuitkeringen - dagbedrag van de </t>
    </r>
    <r>
      <rPr>
        <b/>
        <sz val="10"/>
        <color rgb="FFFF0000"/>
        <rFont val="Arial"/>
        <family val="2"/>
      </rPr>
      <t>halve</t>
    </r>
    <r>
      <rPr>
        <b/>
        <sz val="10"/>
        <color rgb="FF0000FF"/>
        <rFont val="Arial"/>
        <family val="2"/>
      </rPr>
      <t xml:space="preserve"> uitkering</t>
    </r>
  </si>
  <si>
    <r>
      <t xml:space="preserve">Allocations de chômage complet - montant journalier de la </t>
    </r>
    <r>
      <rPr>
        <b/>
        <sz val="10"/>
        <color rgb="FFFF0000"/>
        <rFont val="Arial"/>
        <family val="2"/>
      </rPr>
      <t>demi</t>
    </r>
    <r>
      <rPr>
        <b/>
        <sz val="10"/>
        <color rgb="FF0000FF"/>
        <rFont val="Arial"/>
        <family val="2"/>
      </rPr>
      <t xml:space="preserve"> allocation</t>
    </r>
  </si>
  <si>
    <r>
      <rPr>
        <b/>
        <sz val="12"/>
        <color rgb="FFFF0000"/>
        <rFont val="Arial"/>
        <family val="2"/>
      </rPr>
      <t>Halve</t>
    </r>
    <r>
      <rPr>
        <b/>
        <sz val="12"/>
        <color rgb="FF0000FF"/>
        <rFont val="Arial"/>
        <family val="2"/>
      </rPr>
      <t xml:space="preserve"> uitkering / </t>
    </r>
    <r>
      <rPr>
        <b/>
        <sz val="12"/>
        <color rgb="FFFF0000"/>
        <rFont val="Arial"/>
        <family val="2"/>
      </rPr>
      <t>Demi</t>
    </r>
    <r>
      <rPr>
        <b/>
        <sz val="12"/>
        <color rgb="FF0000FF"/>
        <rFont val="Arial"/>
        <family val="2"/>
      </rPr>
      <t xml:space="preserve"> allocation </t>
    </r>
  </si>
  <si>
    <t>Loongrens A1 - Plafond salarial A1</t>
  </si>
  <si>
    <t>gezinslast (incl. zeevissers) / charge de famille (pêcheurs inclus) M 1 -&gt; 5</t>
  </si>
  <si>
    <t>gezinslast (incl. zeevissers) / charge de famille (pêcheurs inclus) M 6 -&gt;</t>
  </si>
  <si>
    <t>havenarbeiders / travailleurs de port M 1 -&gt; 5</t>
  </si>
  <si>
    <t>havenarbeiders / travailleurs de port M 6 -&gt;</t>
  </si>
  <si>
    <t>AA1</t>
  </si>
  <si>
    <t>AA2</t>
  </si>
  <si>
    <t>AA3</t>
  </si>
  <si>
    <t>NA1</t>
  </si>
  <si>
    <t>NA2</t>
  </si>
  <si>
    <t>NA3</t>
  </si>
  <si>
    <t>BA1</t>
  </si>
  <si>
    <t>BA2</t>
  </si>
  <si>
    <t>BA3</t>
  </si>
  <si>
    <t>art. 115, §1, al. 2</t>
  </si>
  <si>
    <t>Verhoging minimum bevoorrecht samenwonende - Augmentation minimum cohabitant privilégié</t>
  </si>
  <si>
    <t>115, § 1, 2e lid</t>
  </si>
  <si>
    <t>Verhoging minimum bevoorrecht samenwonende</t>
  </si>
  <si>
    <t>BX</t>
  </si>
  <si>
    <t>AB
AX</t>
  </si>
  <si>
    <t>NB
NX</t>
  </si>
  <si>
    <t>BB</t>
  </si>
  <si>
    <t>Forfait kunstwerkers - Forfait travailleurs des arts</t>
  </si>
  <si>
    <t>art. 114bis, al. 3</t>
  </si>
  <si>
    <t>Verhoogd forfait B voldoende BV - Forfait majoré B PP suffisant</t>
  </si>
  <si>
    <t>art. 115, § 1, al. 1, 3°, d)</t>
  </si>
  <si>
    <t xml:space="preserve"> WA2V WA7V</t>
  </si>
  <si>
    <t xml:space="preserve"> WA2 WA72 DA1 DA2</t>
  </si>
  <si>
    <t xml:space="preserve"> WA6V</t>
  </si>
  <si>
    <t xml:space="preserve"> WA62</t>
  </si>
  <si>
    <t xml:space="preserve"> WN2 DN1 DN2</t>
  </si>
  <si>
    <t xml:space="preserve"> WN2</t>
  </si>
  <si>
    <t xml:space="preserve"> WP2 DP1 DP2</t>
  </si>
  <si>
    <t xml:space="preserve"> WP2</t>
  </si>
  <si>
    <t xml:space="preserve"> WB2 DB1 DB2</t>
  </si>
  <si>
    <t xml:space="preserve"> WB2</t>
  </si>
  <si>
    <t>Inschakelingsuitkering gezinshoofd 78 arb. d. - 1e 5m</t>
  </si>
  <si>
    <t>114, § 5</t>
  </si>
  <si>
    <t>Bedrag art. 90 - werkloosheidsuitkeringen</t>
  </si>
  <si>
    <t>Vrijstelling mantelzorg werkloosheidsuitkeringen - Dispenses aidant proche allocations de chômage</t>
  </si>
  <si>
    <t>Vrijstelling mantelzorg inschakelingsuitkeringen - Dispenses aidant proche allocations d'insertion</t>
  </si>
  <si>
    <t>art. 125</t>
  </si>
  <si>
    <t>GMMI op 01/01/2024</t>
  </si>
  <si>
    <t>GMMI vanaf 01/04/2026</t>
  </si>
  <si>
    <t>art. 114, §5</t>
  </si>
  <si>
    <t>Vorige multiplicator</t>
  </si>
  <si>
    <t>Daggrens gedeeltelijke indexering</t>
  </si>
  <si>
    <t>Daggrens gedeeltelijke indexering A6/A0H</t>
  </si>
  <si>
    <t>Maximale indexering</t>
  </si>
  <si>
    <t>Maximale indexering A6/A0H</t>
  </si>
  <si>
    <t>GMMI260401</t>
  </si>
  <si>
    <t>Artikel KB WLH</t>
  </si>
  <si>
    <t>Loongrens A2 - Plafond salarial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</si>
</sst>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0.0000"/>
    <numFmt numFmtId="165" formatCode="d/mm/yyyy;@"/>
    <numFmt numFmtId="166" formatCode="dd\.mm\.yyyy"/>
    <numFmt numFmtId="167" formatCode="#,##0.0000"/>
    <numFmt numFmtId="168" formatCode="#,##0.000000"/>
  </numFmts>
  <fonts count="67">
    <font>
      <sz val="11"/>
      <color theme="1"/>
      <name val="Calibri"/>
      <family val="2"/>
      <scheme val="minor"/>
    </font>
    <font>
      <b/>
      <sz val="7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name val="Arial Narrow"/>
      <family val="2"/>
    </font>
    <font>
      <b/>
      <sz val="12"/>
      <name val="Arial Narrow"/>
      <family val="2"/>
    </font>
    <font>
      <b/>
      <sz val="12"/>
      <color indexed="12"/>
      <name val="Arial Narrow"/>
      <family val="2"/>
    </font>
    <font>
      <b/>
      <sz val="12"/>
      <color indexed="8"/>
      <name val="Arial Narrow"/>
      <family val="2"/>
    </font>
    <font>
      <b/>
      <sz val="11"/>
      <name val="Arial Narrow"/>
      <family val="2"/>
    </font>
    <font>
      <b/>
      <sz val="11"/>
      <color indexed="12"/>
      <name val="Arial Narrow"/>
      <family val="2"/>
    </font>
    <font>
      <sz val="12"/>
      <name val="Arial Narrow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8"/>
      <color rgb="FF0000FF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FF0000"/>
      <name val="Arial"/>
      <family val="2"/>
    </font>
    <font>
      <sz val="9"/>
      <color rgb="FF0000FF"/>
      <name val="Arial"/>
      <family val="2"/>
    </font>
    <font>
      <sz val="11"/>
      <color theme="1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9"/>
      <name val="Helv"/>
    </font>
    <font>
      <sz val="9"/>
      <name val="Arial Narrow"/>
      <family val="2"/>
    </font>
    <font>
      <sz val="10"/>
      <name val="Helv"/>
    </font>
    <font>
      <sz val="10"/>
      <color indexed="12"/>
      <name val="Arial Narrow"/>
      <family val="2"/>
    </font>
    <font>
      <sz val="9"/>
      <color indexed="12"/>
      <name val="Arial Narrow"/>
      <family val="2"/>
    </font>
    <font>
      <b/>
      <sz val="10"/>
      <color indexed="12"/>
      <name val="Arial Narrow"/>
      <family val="2"/>
    </font>
    <font>
      <b/>
      <sz val="10"/>
      <color indexed="8"/>
      <name val="Geneva"/>
    </font>
    <font>
      <b/>
      <sz val="12"/>
      <color indexed="8"/>
      <name val="Helv"/>
    </font>
    <font>
      <sz val="10"/>
      <color indexed="8"/>
      <name val="Helv"/>
    </font>
    <font>
      <sz val="9"/>
      <color indexed="8"/>
      <name val="Arial Narrow"/>
      <family val="2"/>
    </font>
    <font>
      <b/>
      <sz val="10"/>
      <color indexed="8"/>
      <name val="Arial Narrow"/>
      <family val="2"/>
    </font>
    <font>
      <b/>
      <sz val="9"/>
      <color indexed="12"/>
      <name val="Helv"/>
    </font>
    <font>
      <b/>
      <sz val="9"/>
      <color indexed="12"/>
      <name val="Arial Narrow"/>
      <family val="2"/>
    </font>
    <font>
      <b/>
      <sz val="10"/>
      <name val="Helv"/>
    </font>
    <font>
      <sz val="8"/>
      <name val="Arial Narrow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2"/>
      <name val="Geneva"/>
    </font>
    <font>
      <b/>
      <sz val="10"/>
      <color indexed="39"/>
      <name val="Arial"/>
      <family val="2"/>
    </font>
    <font>
      <sz val="8"/>
      <color indexed="8"/>
      <name val="Arial Narrow"/>
      <family val="2"/>
    </font>
    <font>
      <sz val="8"/>
      <name val="Arial"/>
      <family val="2"/>
    </font>
    <font>
      <b/>
      <sz val="9"/>
      <name val="Arial"/>
      <family val="2"/>
    </font>
    <font>
      <sz val="7"/>
      <name val="Arial Narrow"/>
      <family val="2"/>
    </font>
    <font>
      <b/>
      <sz val="14"/>
      <color indexed="12"/>
      <name val="Arial Narrow"/>
      <family val="2"/>
    </font>
    <font>
      <b/>
      <sz val="7"/>
      <color indexed="12"/>
      <name val="Arial Narrow"/>
      <family val="2"/>
    </font>
    <font>
      <b/>
      <sz val="7"/>
      <color rgb="FF0000FF"/>
      <name val="Arial Narrow"/>
      <family val="2"/>
    </font>
    <font>
      <sz val="11"/>
      <color rgb="FF0000FF"/>
      <name val="Calibri"/>
      <family val="2"/>
      <scheme val="minor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rgb="FFFF0000"/>
      <name val="Arial"/>
      <family val="2"/>
    </font>
    <font>
      <u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6337778862885"/>
        <bgColor indexed="64"/>
      </patternFill>
    </fill>
  </fills>
  <borders count="19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medium">
        <color indexed="9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thin">
        <color indexed="8"/>
      </right>
      <top style="medium">
        <color indexed="12"/>
      </top>
      <bottom style="medium">
        <color indexed="12"/>
      </bottom>
      <diagonal/>
    </border>
    <border>
      <left style="hair">
        <color indexed="8"/>
      </left>
      <right style="thin">
        <color indexed="8"/>
      </right>
      <top style="medium">
        <color indexed="12"/>
      </top>
      <bottom style="medium">
        <color indexed="12"/>
      </bottom>
      <diagonal/>
    </border>
    <border>
      <left style="hair">
        <color indexed="8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thin">
        <color indexed="64"/>
      </top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thin">
        <color indexed="64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/>
      <top/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medium">
        <color indexed="12"/>
      </right>
      <top/>
      <bottom style="thin">
        <color indexed="12"/>
      </bottom>
      <diagonal/>
    </border>
    <border>
      <left style="thin">
        <color theme="1"/>
      </left>
      <right style="medium">
        <color rgb="FF0000FF"/>
      </right>
      <top style="medium">
        <color rgb="FF0000FF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FF"/>
      </left>
      <right style="thin">
        <color theme="1"/>
      </right>
      <top style="thin">
        <color theme="1"/>
      </top>
      <bottom style="medium">
        <color rgb="FF0000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FF"/>
      </bottom>
      <diagonal/>
    </border>
    <border>
      <left style="thin">
        <color theme="1"/>
      </left>
      <right style="medium">
        <color rgb="FF0000FF"/>
      </right>
      <top style="thin">
        <color theme="1"/>
      </top>
      <bottom style="medium">
        <color rgb="FF0000FF"/>
      </bottom>
      <diagonal/>
    </border>
    <border>
      <left/>
      <right style="thin">
        <color theme="1"/>
      </right>
      <top/>
      <bottom style="medium">
        <color rgb="FF0000FF"/>
      </bottom>
      <diagonal/>
    </border>
    <border>
      <left style="thin">
        <color theme="1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thin">
        <color theme="1"/>
      </left>
      <right/>
      <top/>
      <bottom style="medium">
        <color rgb="FF0000FF"/>
      </bottom>
      <diagonal/>
    </border>
    <border>
      <left style="medium">
        <color indexed="12"/>
      </left>
      <right/>
      <top style="medium">
        <color indexed="12"/>
      </top>
      <bottom style="thin">
        <color theme="1"/>
      </bottom>
      <diagonal/>
    </border>
    <border>
      <left/>
      <right/>
      <top style="medium">
        <color indexed="12"/>
      </top>
      <bottom style="thin">
        <color theme="1"/>
      </bottom>
      <diagonal/>
    </border>
    <border>
      <left/>
      <right style="medium">
        <color indexed="12"/>
      </right>
      <top style="medium">
        <color indexed="12"/>
      </top>
      <bottom style="thin">
        <color theme="1"/>
      </bottom>
      <diagonal/>
    </border>
    <border>
      <left style="medium">
        <color indexed="12"/>
      </left>
      <right/>
      <top style="thin">
        <color theme="1"/>
      </top>
      <bottom style="medium">
        <color indexed="12"/>
      </bottom>
      <diagonal/>
    </border>
    <border>
      <left/>
      <right/>
      <top style="thin">
        <color theme="1"/>
      </top>
      <bottom style="medium">
        <color indexed="12"/>
      </bottom>
      <diagonal/>
    </border>
    <border>
      <left/>
      <right style="medium">
        <color indexed="12"/>
      </right>
      <top style="thin">
        <color theme="1"/>
      </top>
      <bottom style="medium">
        <color indexed="12"/>
      </bottom>
      <diagonal/>
    </border>
    <border>
      <left style="medium">
        <color indexed="12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indexed="12"/>
      </right>
      <top style="thin">
        <color theme="1"/>
      </top>
      <bottom style="thin">
        <color theme="1"/>
      </bottom>
      <diagonal/>
    </border>
    <border>
      <left style="medium">
        <color rgb="FF0000FF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12"/>
      </left>
      <right style="medium">
        <color indexed="12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rgb="FF0000FF"/>
      </left>
      <right/>
      <top/>
      <bottom/>
      <diagonal/>
    </border>
    <border>
      <left style="medium">
        <color rgb="FF0000FF"/>
      </left>
      <right/>
      <top style="medium">
        <color rgb="FF0000FF"/>
      </top>
      <bottom style="thin">
        <color auto="1"/>
      </bottom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/>
      <top style="thin">
        <color auto="1"/>
      </top>
      <bottom style="medium">
        <color rgb="FF0000FF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medium">
        <color rgb="FF0000FF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indexed="12"/>
      </left>
      <right/>
      <top style="medium">
        <color indexed="12"/>
      </top>
      <bottom style="thin">
        <color auto="1"/>
      </bottom>
      <diagonal/>
    </border>
    <border>
      <left/>
      <right/>
      <top style="medium">
        <color indexed="12"/>
      </top>
      <bottom style="thin">
        <color auto="1"/>
      </bottom>
      <diagonal/>
    </border>
    <border>
      <left/>
      <right style="medium">
        <color indexed="12"/>
      </right>
      <top style="medium">
        <color indexed="12"/>
      </top>
      <bottom style="thin">
        <color auto="1"/>
      </bottom>
      <diagonal/>
    </border>
    <border>
      <left style="medium">
        <color indexed="12"/>
      </left>
      <right/>
      <top style="thin">
        <color auto="1"/>
      </top>
      <bottom style="thin">
        <color auto="1"/>
      </bottom>
      <diagonal/>
    </border>
    <border>
      <left/>
      <right style="medium">
        <color indexed="12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/>
      <top style="medium">
        <color indexed="12"/>
      </top>
      <bottom style="thin">
        <color auto="1"/>
      </bottom>
      <diagonal/>
    </border>
    <border>
      <left style="medium">
        <color rgb="FF0000FF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rgb="FF0000FF"/>
      </top>
      <bottom style="medium">
        <color rgb="FF0000FF"/>
      </bottom>
      <diagonal/>
    </border>
    <border>
      <left style="thin">
        <color theme="1"/>
      </left>
      <right/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FF"/>
      </right>
      <top/>
      <bottom style="thin">
        <color theme="1"/>
      </bottom>
      <diagonal/>
    </border>
    <border>
      <left style="medium">
        <color rgb="FF0000FF"/>
      </left>
      <right style="thin">
        <color theme="1"/>
      </right>
      <top style="medium">
        <color rgb="FF0000FF"/>
      </top>
      <bottom style="medium">
        <color rgb="FF0000FF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theme="1"/>
      </bottom>
      <diagonal/>
    </border>
    <border>
      <left style="medium">
        <color rgb="FF0000FF"/>
      </left>
      <right style="medium">
        <color rgb="FF0000FF"/>
      </right>
      <top style="thin">
        <color theme="1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thin">
        <color theme="1"/>
      </bottom>
      <diagonal/>
    </border>
    <border>
      <left/>
      <right/>
      <top style="medium">
        <color rgb="FF0000FF"/>
      </top>
      <bottom style="thin">
        <color theme="1"/>
      </bottom>
      <diagonal/>
    </border>
    <border>
      <left style="medium">
        <color rgb="FF0000FF"/>
      </left>
      <right/>
      <top style="thin">
        <color theme="1"/>
      </top>
      <bottom style="medium">
        <color rgb="FF0000FF"/>
      </bottom>
      <diagonal/>
    </border>
    <border>
      <left/>
      <right/>
      <top style="thin">
        <color theme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theme="1"/>
      </bottom>
      <diagonal/>
    </border>
    <border>
      <left/>
      <right style="medium">
        <color rgb="FF0000FF"/>
      </right>
      <top style="thin">
        <color theme="1"/>
      </top>
      <bottom style="thin">
        <color theme="1"/>
      </bottom>
      <diagonal/>
    </border>
    <border>
      <left/>
      <right style="medium">
        <color rgb="FF0000FF"/>
      </right>
      <top style="thin">
        <color theme="1"/>
      </top>
      <bottom style="medium">
        <color rgb="FF0000FF"/>
      </bottom>
      <diagonal/>
    </border>
    <border>
      <left style="thin">
        <color theme="1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theme="1"/>
      </left>
      <right style="medium">
        <color rgb="FF0000FF"/>
      </right>
      <top style="thin">
        <color theme="1"/>
      </top>
      <bottom style="thin">
        <color theme="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medium">
        <color rgb="FF0000FF"/>
      </left>
      <right style="medium">
        <color rgb="FF0000FF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/>
      <top style="thin">
        <color theme="1"/>
      </top>
      <bottom/>
      <diagonal/>
    </border>
    <border>
      <left/>
      <right style="medium">
        <color rgb="FF0000FF"/>
      </right>
      <top style="thin">
        <color theme="1"/>
      </top>
      <bottom/>
      <diagonal/>
    </border>
    <border>
      <left style="medium">
        <color rgb="FF0000FF"/>
      </left>
      <right style="medium">
        <color rgb="FF0000FF"/>
      </right>
      <top style="thin">
        <color theme="1"/>
      </top>
      <bottom/>
      <diagonal/>
    </border>
    <border>
      <left style="medium">
        <color rgb="FF0000FF"/>
      </left>
      <right/>
      <top/>
      <bottom style="medium">
        <color indexed="12"/>
      </bottom>
      <diagonal/>
    </border>
    <border>
      <left/>
      <right style="medium">
        <color rgb="FF0000FF"/>
      </right>
      <top/>
      <bottom style="medium">
        <color indexed="12"/>
      </bottom>
      <diagonal/>
    </border>
    <border>
      <left/>
      <right style="medium">
        <color rgb="FF0000FF"/>
      </right>
      <top/>
      <bottom style="thin">
        <color theme="1"/>
      </bottom>
      <diagonal/>
    </border>
    <border>
      <left style="medium">
        <color indexed="12"/>
      </left>
      <right style="thin">
        <color indexed="64"/>
      </right>
      <top style="thin">
        <color indexed="64"/>
      </top>
      <bottom/>
      <diagonal/>
    </border>
    <border>
      <left style="medium">
        <color indexed="12"/>
      </left>
      <right style="medium">
        <color indexed="12"/>
      </right>
      <top style="thin">
        <color indexed="64"/>
      </top>
      <bottom/>
      <diagonal/>
    </border>
    <border>
      <left style="medium">
        <color rgb="FF0000FF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/>
      <top style="thin">
        <color auto="1"/>
      </top>
      <bottom style="medium">
        <color indexed="12"/>
      </bottom>
      <diagonal/>
    </border>
    <border>
      <left/>
      <right/>
      <top style="thin">
        <color auto="1"/>
      </top>
      <bottom style="medium">
        <color indexed="12"/>
      </bottom>
      <diagonal/>
    </border>
    <border>
      <left/>
      <right style="medium">
        <color indexed="12"/>
      </right>
      <top style="thin">
        <color auto="1"/>
      </top>
      <bottom style="medium">
        <color indexed="12"/>
      </bottom>
      <diagonal/>
    </border>
    <border>
      <left style="medium">
        <color indexed="12"/>
      </left>
      <right/>
      <top style="thin">
        <color auto="1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theme="1"/>
      </top>
      <bottom style="thin">
        <color indexed="64"/>
      </bottom>
      <diagonal/>
    </border>
    <border>
      <left style="medium">
        <color indexed="12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64"/>
      </right>
      <top/>
      <bottom/>
      <diagonal/>
    </border>
    <border>
      <left/>
      <right/>
      <top style="thin">
        <color indexed="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12"/>
      </right>
      <top style="thin">
        <color auto="1"/>
      </top>
      <bottom style="thin">
        <color auto="1"/>
      </bottom>
      <diagonal/>
    </border>
    <border>
      <left style="medium">
        <color indexed="12"/>
      </left>
      <right style="medium">
        <color indexed="1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12"/>
      </bottom>
      <diagonal/>
    </border>
    <border>
      <left/>
      <right style="medium">
        <color indexed="12"/>
      </right>
      <top style="thin">
        <color auto="1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auto="1"/>
      </top>
      <bottom style="medium">
        <color indexed="12"/>
      </bottom>
      <diagonal/>
    </border>
    <border>
      <left style="medium">
        <color rgb="FF0000FF"/>
      </left>
      <right/>
      <top style="medium">
        <color rgb="FF0000FF"/>
      </top>
      <bottom style="thin">
        <color rgb="FF002060"/>
      </bottom>
      <diagonal/>
    </border>
    <border>
      <left/>
      <right/>
      <top style="medium">
        <color rgb="FF0000FF"/>
      </top>
      <bottom style="thin">
        <color rgb="FF002060"/>
      </bottom>
      <diagonal/>
    </border>
    <border>
      <left/>
      <right style="medium">
        <color rgb="FF0000FF"/>
      </right>
      <top style="medium">
        <color rgb="FF0000FF"/>
      </top>
      <bottom style="thin">
        <color rgb="FF002060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indexed="12"/>
      </left>
      <right style="medium">
        <color indexed="12"/>
      </right>
      <top style="thin">
        <color theme="1"/>
      </top>
      <bottom style="thin">
        <color theme="1"/>
      </bottom>
      <diagonal/>
    </border>
    <border>
      <left style="medium">
        <color indexed="12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12"/>
      </right>
      <top/>
      <bottom style="thin">
        <color auto="1"/>
      </bottom>
      <diagonal/>
    </border>
    <border>
      <left style="medium">
        <color indexed="12"/>
      </left>
      <right style="medium">
        <color indexed="12"/>
      </right>
      <top style="thin">
        <color theme="1"/>
      </top>
      <bottom/>
      <diagonal/>
    </border>
    <border>
      <left style="medium">
        <color indexed="12"/>
      </left>
      <right style="thin">
        <color indexed="64"/>
      </right>
      <top style="thin">
        <color theme="1"/>
      </top>
      <bottom/>
      <diagonal/>
    </border>
    <border>
      <left style="medium">
        <color rgb="FF0000FF"/>
      </left>
      <right style="medium">
        <color indexed="12"/>
      </right>
      <top style="thin">
        <color indexed="64"/>
      </top>
      <bottom style="medium">
        <color rgb="FF0000FF"/>
      </bottom>
      <diagonal/>
    </border>
    <border>
      <left style="medium">
        <color indexed="12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medium">
        <color indexed="12"/>
      </left>
      <right style="medium">
        <color indexed="12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theme="1"/>
      </bottom>
      <diagonal/>
    </border>
    <border>
      <left style="medium">
        <color rgb="FF0000FF"/>
      </left>
      <right style="medium">
        <color rgb="FF0000FF"/>
      </right>
      <top/>
      <bottom style="thin">
        <color auto="1"/>
      </bottom>
      <diagonal/>
    </border>
    <border>
      <left/>
      <right style="medium">
        <color rgb="FF0000FF"/>
      </right>
      <top/>
      <bottom style="thin">
        <color auto="1"/>
      </bottom>
      <diagonal/>
    </border>
    <border>
      <left style="medium">
        <color rgb="FF0000FF"/>
      </left>
      <right/>
      <top style="thin">
        <color auto="1"/>
      </top>
      <bottom style="medium">
        <color rgb="FF0000FF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</borders>
  <cellStyleXfs count="2">
    <xf numFmtId="0" fontId="0" fillId="0" borderId="0"/>
    <xf numFmtId="0" fontId="62" fillId="0" borderId="0" applyNumberFormat="0" applyFill="0" applyBorder="0" applyAlignment="0" applyProtection="0"/>
  </cellStyleXfs>
  <cellXfs count="8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5" fillId="2" borderId="1" xfId="0" applyFont="1" applyFill="1" applyBorder="1" applyAlignment="1">
      <alignment horizontal="centerContinuous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left" vertical="center"/>
    </xf>
    <xf numFmtId="14" fontId="6" fillId="2" borderId="3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5" fillId="2" borderId="1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7" fillId="2" borderId="6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0" borderId="8" xfId="0" applyBorder="1" applyAlignment="1">
      <alignment horizontal="center"/>
    </xf>
    <xf numFmtId="0" fontId="1" fillId="2" borderId="11" xfId="0" applyFont="1" applyFill="1" applyBorder="1" applyAlignment="1">
      <alignment horizontal="centerContinuous" vertical="center"/>
    </xf>
    <xf numFmtId="0" fontId="1" fillId="2" borderId="12" xfId="0" applyFont="1" applyFill="1" applyBorder="1" applyAlignment="1">
      <alignment horizontal="centerContinuous" vertical="center"/>
    </xf>
    <xf numFmtId="0" fontId="1" fillId="2" borderId="0" xfId="0" applyFont="1" applyFill="1" applyAlignment="1">
      <alignment horizontal="centerContinuous" vertical="center"/>
    </xf>
    <xf numFmtId="0" fontId="3" fillId="2" borderId="0" xfId="0" applyFont="1" applyFill="1"/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9" fillId="2" borderId="13" xfId="0" applyNumberFormat="1" applyFont="1" applyFill="1" applyBorder="1" applyAlignment="1">
      <alignment horizontal="centerContinuous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164" fontId="3" fillId="2" borderId="2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11" fillId="2" borderId="2" xfId="0" applyNumberFormat="1" applyFont="1" applyFill="1" applyBorder="1" applyAlignment="1">
      <alignment horizontal="center" vertical="center"/>
    </xf>
    <xf numFmtId="164" fontId="10" fillId="2" borderId="0" xfId="0" quotePrefix="1" applyNumberFormat="1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2" fillId="0" borderId="0" xfId="0" applyFont="1"/>
    <xf numFmtId="2" fontId="15" fillId="0" borderId="0" xfId="0" applyNumberFormat="1" applyFont="1" applyAlignment="1">
      <alignment horizontal="center"/>
    </xf>
    <xf numFmtId="8" fontId="18" fillId="0" borderId="0" xfId="0" applyNumberFormat="1" applyFont="1" applyAlignment="1">
      <alignment horizontal="left" vertical="top" wrapText="1"/>
    </xf>
    <xf numFmtId="0" fontId="18" fillId="0" borderId="0" xfId="0" applyFont="1"/>
    <xf numFmtId="14" fontId="18" fillId="0" borderId="0" xfId="0" applyNumberFormat="1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9" fillId="0" borderId="16" xfId="0" applyFont="1" applyBorder="1" applyAlignment="1">
      <alignment vertical="center" textRotation="90"/>
    </xf>
    <xf numFmtId="0" fontId="20" fillId="0" borderId="16" xfId="0" applyFont="1" applyBorder="1"/>
    <xf numFmtId="0" fontId="16" fillId="0" borderId="16" xfId="0" applyFont="1" applyBorder="1"/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9" fontId="18" fillId="0" borderId="16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2" fontId="15" fillId="0" borderId="16" xfId="0" applyNumberFormat="1" applyFont="1" applyBorder="1" applyAlignment="1">
      <alignment horizontal="center"/>
    </xf>
    <xf numFmtId="165" fontId="19" fillId="0" borderId="0" xfId="0" applyNumberFormat="1" applyFont="1" applyAlignment="1">
      <alignment horizontal="left"/>
    </xf>
    <xf numFmtId="0" fontId="22" fillId="0" borderId="16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2" fillId="0" borderId="16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right" vertical="center"/>
    </xf>
    <xf numFmtId="0" fontId="24" fillId="0" borderId="0" xfId="0" applyFont="1"/>
    <xf numFmtId="9" fontId="13" fillId="0" borderId="16" xfId="0" applyNumberFormat="1" applyFont="1" applyBorder="1"/>
    <xf numFmtId="0" fontId="0" fillId="0" borderId="16" xfId="0" applyBorder="1"/>
    <xf numFmtId="9" fontId="22" fillId="0" borderId="16" xfId="0" applyNumberFormat="1" applyFont="1" applyBorder="1" applyAlignment="1">
      <alignment horizontal="center"/>
    </xf>
    <xf numFmtId="0" fontId="18" fillId="0" borderId="0" xfId="0" applyFont="1" applyAlignment="1">
      <alignment horizontal="right"/>
    </xf>
    <xf numFmtId="0" fontId="16" fillId="0" borderId="16" xfId="0" applyFont="1" applyBorder="1" applyAlignment="1">
      <alignment horizontal="center"/>
    </xf>
    <xf numFmtId="9" fontId="16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9" fillId="0" borderId="0" xfId="0" applyFont="1"/>
    <xf numFmtId="0" fontId="26" fillId="0" borderId="16" xfId="0" applyFont="1" applyBorder="1" applyAlignment="1">
      <alignment horizontal="center" vertical="top" textRotation="180" wrapText="1"/>
    </xf>
    <xf numFmtId="0" fontId="26" fillId="0" borderId="24" xfId="0" applyFont="1" applyBorder="1" applyAlignment="1">
      <alignment horizontal="center" vertical="top" textRotation="180" wrapText="1"/>
    </xf>
    <xf numFmtId="164" fontId="17" fillId="2" borderId="2" xfId="0" applyNumberFormat="1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17" fillId="2" borderId="2" xfId="0" quotePrefix="1" applyFont="1" applyFill="1" applyBorder="1" applyAlignment="1">
      <alignment horizontal="center" vertical="center"/>
    </xf>
    <xf numFmtId="0" fontId="17" fillId="0" borderId="0" xfId="0" applyFont="1"/>
    <xf numFmtId="0" fontId="22" fillId="2" borderId="12" xfId="0" applyFont="1" applyFill="1" applyBorder="1" applyAlignment="1">
      <alignment horizontal="center" vertical="center"/>
    </xf>
    <xf numFmtId="2" fontId="30" fillId="2" borderId="0" xfId="0" applyNumberFormat="1" applyFont="1" applyFill="1" applyAlignment="1">
      <alignment horizontal="center" vertical="center"/>
    </xf>
    <xf numFmtId="0" fontId="6" fillId="2" borderId="0" xfId="0" applyFont="1" applyFill="1"/>
    <xf numFmtId="0" fontId="10" fillId="2" borderId="0" xfId="0" applyFont="1" applyFill="1"/>
    <xf numFmtId="0" fontId="32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Continuous"/>
    </xf>
    <xf numFmtId="14" fontId="6" fillId="2" borderId="0" xfId="0" applyNumberFormat="1" applyFont="1" applyFill="1" applyAlignment="1">
      <alignment horizontal="centerContinuous" vertical="center"/>
    </xf>
    <xf numFmtId="14" fontId="33" fillId="2" borderId="0" xfId="0" applyNumberFormat="1" applyFont="1" applyFill="1" applyAlignment="1">
      <alignment horizontal="centerContinuous" vertical="center"/>
    </xf>
    <xf numFmtId="14" fontId="34" fillId="2" borderId="0" xfId="0" applyNumberFormat="1" applyFont="1" applyFill="1" applyAlignment="1">
      <alignment horizontal="centerContinuous" vertical="center"/>
    </xf>
    <xf numFmtId="0" fontId="35" fillId="2" borderId="0" xfId="0" applyFont="1" applyFill="1" applyAlignment="1">
      <alignment horizontal="left"/>
    </xf>
    <xf numFmtId="0" fontId="34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Continuous"/>
    </xf>
    <xf numFmtId="2" fontId="37" fillId="2" borderId="0" xfId="0" applyNumberFormat="1" applyFont="1" applyFill="1" applyAlignment="1">
      <alignment horizontal="centerContinuous" vertical="center"/>
    </xf>
    <xf numFmtId="0" fontId="38" fillId="2" borderId="0" xfId="0" applyFont="1" applyFill="1" applyAlignment="1">
      <alignment horizontal="centerContinuous" vertical="center"/>
    </xf>
    <xf numFmtId="0" fontId="39" fillId="2" borderId="0" xfId="0" applyFont="1" applyFill="1" applyAlignment="1">
      <alignment horizontal="centerContinuous" vertical="center"/>
    </xf>
    <xf numFmtId="0" fontId="40" fillId="2" borderId="0" xfId="0" applyFont="1" applyFill="1" applyAlignment="1">
      <alignment horizontal="left"/>
    </xf>
    <xf numFmtId="0" fontId="41" fillId="2" borderId="0" xfId="0" applyFont="1" applyFill="1" applyAlignment="1">
      <alignment vertical="center"/>
    </xf>
    <xf numFmtId="2" fontId="41" fillId="2" borderId="0" xfId="0" applyNumberFormat="1" applyFont="1" applyFill="1" applyAlignment="1">
      <alignment horizontal="center" vertical="center"/>
    </xf>
    <xf numFmtId="0" fontId="42" fillId="2" borderId="27" xfId="0" applyFont="1" applyFill="1" applyBorder="1" applyAlignment="1">
      <alignment horizontal="left" vertical="center"/>
    </xf>
    <xf numFmtId="0" fontId="43" fillId="2" borderId="0" xfId="0" applyFont="1" applyFill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 textRotation="90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right" vertical="top"/>
    </xf>
    <xf numFmtId="0" fontId="2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right" vertical="top"/>
    </xf>
    <xf numFmtId="0" fontId="48" fillId="0" borderId="0" xfId="0" applyFont="1"/>
    <xf numFmtId="0" fontId="17" fillId="0" borderId="39" xfId="0" applyFont="1" applyBorder="1"/>
    <xf numFmtId="0" fontId="17" fillId="2" borderId="53" xfId="0" applyFont="1" applyFill="1" applyBorder="1" applyAlignment="1">
      <alignment horizontal="left" vertical="top"/>
    </xf>
    <xf numFmtId="0" fontId="17" fillId="2" borderId="54" xfId="0" applyFont="1" applyFill="1" applyBorder="1" applyAlignment="1">
      <alignment horizontal="left" vertical="top"/>
    </xf>
    <xf numFmtId="0" fontId="17" fillId="2" borderId="57" xfId="0" applyFont="1" applyFill="1" applyBorder="1" applyAlignment="1">
      <alignment horizontal="left" vertical="top"/>
    </xf>
    <xf numFmtId="0" fontId="17" fillId="2" borderId="6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25" xfId="0" applyFont="1" applyBorder="1" applyAlignment="1">
      <alignment horizontal="right" vertical="top"/>
    </xf>
    <xf numFmtId="0" fontId="15" fillId="0" borderId="17" xfId="0" applyFont="1" applyBorder="1"/>
    <xf numFmtId="0" fontId="15" fillId="0" borderId="67" xfId="0" applyFont="1" applyBorder="1" applyAlignment="1">
      <alignment horizontal="left"/>
    </xf>
    <xf numFmtId="0" fontId="17" fillId="2" borderId="43" xfId="0" applyFont="1" applyFill="1" applyBorder="1" applyAlignment="1">
      <alignment horizontal="left" vertical="top"/>
    </xf>
    <xf numFmtId="0" fontId="17" fillId="0" borderId="31" xfId="0" applyFont="1" applyBorder="1"/>
    <xf numFmtId="0" fontId="15" fillId="0" borderId="80" xfId="0" applyFont="1" applyBorder="1" applyAlignment="1">
      <alignment horizontal="right" vertical="top"/>
    </xf>
    <xf numFmtId="0" fontId="15" fillId="0" borderId="78" xfId="0" applyFont="1" applyBorder="1" applyAlignment="1">
      <alignment vertical="top"/>
    </xf>
    <xf numFmtId="0" fontId="22" fillId="2" borderId="39" xfId="0" applyFont="1" applyFill="1" applyBorder="1" applyAlignment="1">
      <alignment horizontal="left" vertical="center"/>
    </xf>
    <xf numFmtId="0" fontId="33" fillId="0" borderId="0" xfId="0" applyFont="1" applyAlignment="1">
      <alignment wrapText="1"/>
    </xf>
    <xf numFmtId="0" fontId="0" fillId="0" borderId="0" xfId="0" applyAlignment="1">
      <alignment wrapText="1"/>
    </xf>
    <xf numFmtId="0" fontId="33" fillId="0" borderId="0" xfId="0" applyFont="1"/>
    <xf numFmtId="0" fontId="22" fillId="0" borderId="46" xfId="0" applyFont="1" applyBorder="1" applyAlignment="1">
      <alignment horizontal="center"/>
    </xf>
    <xf numFmtId="0" fontId="17" fillId="0" borderId="45" xfId="0" applyFont="1" applyBorder="1"/>
    <xf numFmtId="0" fontId="17" fillId="0" borderId="45" xfId="0" applyFont="1" applyBorder="1" applyAlignment="1">
      <alignment horizontal="center"/>
    </xf>
    <xf numFmtId="2" fontId="52" fillId="2" borderId="0" xfId="0" applyNumberFormat="1" applyFont="1" applyFill="1" applyAlignment="1">
      <alignment horizontal="center" vertical="center"/>
    </xf>
    <xf numFmtId="164" fontId="17" fillId="2" borderId="37" xfId="0" applyNumberFormat="1" applyFont="1" applyFill="1" applyBorder="1" applyAlignment="1">
      <alignment horizontal="center" vertical="center"/>
    </xf>
    <xf numFmtId="164" fontId="17" fillId="2" borderId="40" xfId="0" applyNumberFormat="1" applyFont="1" applyFill="1" applyBorder="1" applyAlignment="1">
      <alignment horizontal="center" vertical="center"/>
    </xf>
    <xf numFmtId="164" fontId="17" fillId="4" borderId="37" xfId="0" applyNumberFormat="1" applyFont="1" applyFill="1" applyBorder="1" applyAlignment="1">
      <alignment horizontal="center" vertical="center"/>
    </xf>
    <xf numFmtId="164" fontId="17" fillId="4" borderId="36" xfId="0" applyNumberFormat="1" applyFont="1" applyFill="1" applyBorder="1" applyAlignment="1">
      <alignment horizontal="center" vertical="center"/>
    </xf>
    <xf numFmtId="164" fontId="17" fillId="2" borderId="36" xfId="0" applyNumberFormat="1" applyFont="1" applyFill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/>
    </xf>
    <xf numFmtId="164" fontId="17" fillId="4" borderId="14" xfId="0" applyNumberFormat="1" applyFont="1" applyFill="1" applyBorder="1" applyAlignment="1">
      <alignment horizontal="center"/>
    </xf>
    <xf numFmtId="164" fontId="17" fillId="4" borderId="14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53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2" fontId="52" fillId="0" borderId="0" xfId="0" applyNumberFormat="1" applyFont="1" applyAlignment="1">
      <alignment horizontal="center" vertical="center"/>
    </xf>
    <xf numFmtId="2" fontId="52" fillId="0" borderId="0" xfId="0" quotePrefix="1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vertical="top"/>
    </xf>
    <xf numFmtId="0" fontId="5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31" fillId="0" borderId="0" xfId="0" applyNumberFormat="1" applyFont="1"/>
    <xf numFmtId="2" fontId="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64" fontId="52" fillId="0" borderId="0" xfId="0" applyNumberFormat="1" applyFont="1" applyAlignment="1">
      <alignment horizontal="center" vertical="center"/>
    </xf>
    <xf numFmtId="2" fontId="0" fillId="0" borderId="0" xfId="0" applyNumberFormat="1"/>
    <xf numFmtId="0" fontId="56" fillId="0" borderId="0" xfId="0" applyFont="1" applyAlignment="1">
      <alignment vertical="center" wrapText="1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8" fillId="0" borderId="85" xfId="0" applyFont="1" applyBorder="1" applyAlignment="1">
      <alignment horizontal="left"/>
    </xf>
    <xf numFmtId="0" fontId="18" fillId="0" borderId="69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26" xfId="0" applyFont="1" applyBorder="1" applyAlignment="1">
      <alignment horizontal="left"/>
    </xf>
    <xf numFmtId="0" fontId="0" fillId="0" borderId="85" xfId="0" applyBorder="1"/>
    <xf numFmtId="0" fontId="0" fillId="0" borderId="69" xfId="0" applyBorder="1"/>
    <xf numFmtId="0" fontId="24" fillId="0" borderId="25" xfId="0" applyFont="1" applyBorder="1" applyAlignment="1">
      <alignment horizontal="left"/>
    </xf>
    <xf numFmtId="0" fontId="24" fillId="0" borderId="85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7" xfId="0" applyFont="1" applyBorder="1" applyAlignment="1">
      <alignment horizontal="left"/>
    </xf>
    <xf numFmtId="0" fontId="18" fillId="0" borderId="16" xfId="0" applyFont="1" applyBorder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/>
    </xf>
    <xf numFmtId="4" fontId="15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5" fillId="0" borderId="89" xfId="0" applyNumberFormat="1" applyFont="1" applyBorder="1" applyAlignment="1">
      <alignment horizontal="center" vertical="center"/>
    </xf>
    <xf numFmtId="4" fontId="15" fillId="0" borderId="93" xfId="0" applyNumberFormat="1" applyFont="1" applyBorder="1" applyAlignment="1">
      <alignment horizontal="center" vertical="center"/>
    </xf>
    <xf numFmtId="4" fontId="15" fillId="0" borderId="97" xfId="0" applyNumberFormat="1" applyFont="1" applyBorder="1" applyAlignment="1">
      <alignment horizontal="center" vertical="center"/>
    </xf>
    <xf numFmtId="167" fontId="15" fillId="0" borderId="89" xfId="0" applyNumberFormat="1" applyFont="1" applyBorder="1" applyAlignment="1">
      <alignment horizontal="center" vertical="center"/>
    </xf>
    <xf numFmtId="167" fontId="15" fillId="0" borderId="97" xfId="0" applyNumberFormat="1" applyFont="1" applyBorder="1" applyAlignment="1">
      <alignment horizontal="center" vertical="center"/>
    </xf>
    <xf numFmtId="4" fontId="15" fillId="5" borderId="89" xfId="0" applyNumberFormat="1" applyFont="1" applyFill="1" applyBorder="1" applyAlignment="1">
      <alignment horizontal="center" vertical="center"/>
    </xf>
    <xf numFmtId="4" fontId="15" fillId="5" borderId="93" xfId="0" applyNumberFormat="1" applyFont="1" applyFill="1" applyBorder="1" applyAlignment="1">
      <alignment horizontal="center" vertical="center"/>
    </xf>
    <xf numFmtId="4" fontId="15" fillId="5" borderId="16" xfId="0" applyNumberFormat="1" applyFont="1" applyFill="1" applyBorder="1" applyAlignment="1">
      <alignment horizontal="center" vertical="center"/>
    </xf>
    <xf numFmtId="4" fontId="15" fillId="5" borderId="97" xfId="0" applyNumberFormat="1" applyFont="1" applyFill="1" applyBorder="1" applyAlignment="1">
      <alignment horizontal="center" vertical="center"/>
    </xf>
    <xf numFmtId="2" fontId="18" fillId="3" borderId="16" xfId="0" applyNumberFormat="1" applyFont="1" applyFill="1" applyBorder="1" applyAlignment="1">
      <alignment horizontal="center" vertical="center"/>
    </xf>
    <xf numFmtId="0" fontId="15" fillId="0" borderId="104" xfId="0" applyFont="1" applyBorder="1" applyAlignment="1">
      <alignment horizontal="right" vertical="top"/>
    </xf>
    <xf numFmtId="0" fontId="15" fillId="0" borderId="83" xfId="0" applyFont="1" applyBorder="1"/>
    <xf numFmtId="0" fontId="15" fillId="0" borderId="105" xfId="0" applyFont="1" applyBorder="1" applyAlignment="1">
      <alignment horizontal="left"/>
    </xf>
    <xf numFmtId="0" fontId="22" fillId="2" borderId="36" xfId="0" applyFont="1" applyFill="1" applyBorder="1" applyAlignment="1">
      <alignment horizontal="center" vertical="center"/>
    </xf>
    <xf numFmtId="0" fontId="22" fillId="4" borderId="36" xfId="0" applyFont="1" applyFill="1" applyBorder="1" applyAlignment="1">
      <alignment horizontal="center" vertical="center"/>
    </xf>
    <xf numFmtId="0" fontId="22" fillId="2" borderId="38" xfId="0" applyFont="1" applyFill="1" applyBorder="1" applyAlignment="1">
      <alignment horizontal="center" vertical="center"/>
    </xf>
    <xf numFmtId="0" fontId="22" fillId="4" borderId="38" xfId="0" applyFont="1" applyFill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47" fillId="2" borderId="5" xfId="0" applyFont="1" applyFill="1" applyBorder="1" applyAlignment="1">
      <alignment horizontal="left"/>
    </xf>
    <xf numFmtId="0" fontId="47" fillId="0" borderId="0" xfId="0" applyFont="1" applyAlignment="1">
      <alignment horizontal="center"/>
    </xf>
    <xf numFmtId="0" fontId="17" fillId="2" borderId="0" xfId="0" applyFont="1" applyFill="1"/>
    <xf numFmtId="0" fontId="47" fillId="2" borderId="0" xfId="0" applyFont="1" applyFill="1" applyAlignment="1">
      <alignment horizontal="centerContinuous" vertical="center" wrapText="1"/>
    </xf>
    <xf numFmtId="0" fontId="59" fillId="2" borderId="0" xfId="0" applyFont="1" applyFill="1" applyAlignment="1">
      <alignment horizontal="left" vertical="center"/>
    </xf>
    <xf numFmtId="0" fontId="59" fillId="2" borderId="0" xfId="0" applyFont="1" applyFill="1" applyAlignment="1">
      <alignment vertical="center"/>
    </xf>
    <xf numFmtId="0" fontId="47" fillId="2" borderId="0" xfId="0" applyFont="1" applyFill="1" applyAlignment="1">
      <alignment horizontal="right" vertical="center"/>
    </xf>
    <xf numFmtId="0" fontId="22" fillId="2" borderId="42" xfId="0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46" fillId="2" borderId="0" xfId="0" applyFont="1" applyFill="1" applyAlignment="1">
      <alignment horizontal="centerContinuous" vertical="center"/>
    </xf>
    <xf numFmtId="0" fontId="17" fillId="2" borderId="0" xfId="0" applyFont="1" applyFill="1" applyAlignment="1">
      <alignment horizontal="centerContinuous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Continuous"/>
    </xf>
    <xf numFmtId="0" fontId="22" fillId="2" borderId="112" xfId="0" applyFont="1" applyFill="1" applyBorder="1" applyAlignment="1">
      <alignment horizontal="left" vertical="center"/>
    </xf>
    <xf numFmtId="0" fontId="15" fillId="0" borderId="47" xfId="0" applyFont="1" applyBorder="1"/>
    <xf numFmtId="0" fontId="15" fillId="0" borderId="48" xfId="0" applyFont="1" applyBorder="1"/>
    <xf numFmtId="0" fontId="15" fillId="0" borderId="41" xfId="0" applyFont="1" applyBorder="1"/>
    <xf numFmtId="0" fontId="15" fillId="0" borderId="42" xfId="0" applyFont="1" applyBorder="1"/>
    <xf numFmtId="0" fontId="59" fillId="2" borderId="47" xfId="0" applyFont="1" applyFill="1" applyBorder="1" applyAlignment="1">
      <alignment vertical="center"/>
    </xf>
    <xf numFmtId="0" fontId="47" fillId="2" borderId="47" xfId="0" applyFont="1" applyFill="1" applyBorder="1" applyAlignment="1">
      <alignment horizontal="right" vertical="center"/>
    </xf>
    <xf numFmtId="0" fontId="47" fillId="2" borderId="48" xfId="0" applyFont="1" applyFill="1" applyBorder="1" applyAlignment="1">
      <alignment horizontal="right" vertical="center"/>
    </xf>
    <xf numFmtId="0" fontId="59" fillId="2" borderId="41" xfId="0" applyFont="1" applyFill="1" applyBorder="1" applyAlignment="1">
      <alignment vertical="center"/>
    </xf>
    <xf numFmtId="0" fontId="47" fillId="2" borderId="41" xfId="0" applyFont="1" applyFill="1" applyBorder="1" applyAlignment="1">
      <alignment horizontal="right" vertical="center"/>
    </xf>
    <xf numFmtId="0" fontId="47" fillId="2" borderId="42" xfId="0" applyFont="1" applyFill="1" applyBorder="1" applyAlignment="1">
      <alignment horizontal="right" vertical="center"/>
    </xf>
    <xf numFmtId="0" fontId="15" fillId="0" borderId="21" xfId="0" applyFont="1" applyBorder="1"/>
    <xf numFmtId="0" fontId="15" fillId="0" borderId="22" xfId="0" applyFont="1" applyBorder="1"/>
    <xf numFmtId="0" fontId="15" fillId="0" borderId="23" xfId="0" applyFont="1" applyBorder="1"/>
    <xf numFmtId="0" fontId="15" fillId="0" borderId="85" xfId="0" applyFont="1" applyBorder="1"/>
    <xf numFmtId="0" fontId="15" fillId="0" borderId="69" xfId="0" applyFont="1" applyBorder="1"/>
    <xf numFmtId="0" fontId="59" fillId="2" borderId="85" xfId="0" applyFont="1" applyFill="1" applyBorder="1" applyAlignment="1">
      <alignment vertical="center"/>
    </xf>
    <xf numFmtId="0" fontId="59" fillId="2" borderId="69" xfId="0" applyFont="1" applyFill="1" applyBorder="1" applyAlignment="1">
      <alignment horizontal="left" vertical="center"/>
    </xf>
    <xf numFmtId="0" fontId="59" fillId="2" borderId="25" xfId="0" applyFont="1" applyFill="1" applyBorder="1" applyAlignment="1">
      <alignment vertical="center"/>
    </xf>
    <xf numFmtId="0" fontId="17" fillId="2" borderId="17" xfId="0" applyFont="1" applyFill="1" applyBorder="1"/>
    <xf numFmtId="0" fontId="47" fillId="2" borderId="17" xfId="0" applyFont="1" applyFill="1" applyBorder="1" applyAlignment="1">
      <alignment horizontal="centerContinuous" vertical="center" wrapText="1"/>
    </xf>
    <xf numFmtId="0" fontId="59" fillId="2" borderId="26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vertical="center"/>
    </xf>
    <xf numFmtId="0" fontId="15" fillId="0" borderId="26" xfId="0" applyFont="1" applyBorder="1"/>
    <xf numFmtId="4" fontId="15" fillId="3" borderId="16" xfId="0" applyNumberFormat="1" applyFont="1" applyFill="1" applyBorder="1" applyAlignment="1">
      <alignment horizontal="center" vertical="center"/>
    </xf>
    <xf numFmtId="0" fontId="45" fillId="0" borderId="103" xfId="0" applyFont="1" applyBorder="1" applyAlignment="1">
      <alignment horizontal="right" vertical="center"/>
    </xf>
    <xf numFmtId="4" fontId="17" fillId="0" borderId="99" xfId="0" applyNumberFormat="1" applyFont="1" applyBorder="1" applyAlignment="1">
      <alignment vertical="center"/>
    </xf>
    <xf numFmtId="0" fontId="17" fillId="0" borderId="99" xfId="0" applyFont="1" applyBorder="1" applyAlignment="1">
      <alignment vertical="center"/>
    </xf>
    <xf numFmtId="0" fontId="17" fillId="0" borderId="100" xfId="0" applyFont="1" applyBorder="1" applyAlignment="1">
      <alignment vertical="center"/>
    </xf>
    <xf numFmtId="0" fontId="17" fillId="0" borderId="102" xfId="0" applyFont="1" applyBorder="1" applyAlignment="1">
      <alignment vertical="center"/>
    </xf>
    <xf numFmtId="4" fontId="17" fillId="0" borderId="102" xfId="0" applyNumberFormat="1" applyFont="1" applyBorder="1" applyAlignment="1">
      <alignment horizontal="left" vertical="center"/>
    </xf>
    <xf numFmtId="0" fontId="45" fillId="0" borderId="98" xfId="0" applyFont="1" applyBorder="1" applyAlignment="1">
      <alignment horizontal="right" vertical="center"/>
    </xf>
    <xf numFmtId="0" fontId="17" fillId="0" borderId="101" xfId="0" applyFont="1" applyBorder="1" applyAlignment="1">
      <alignment horizontal="right" vertical="center"/>
    </xf>
    <xf numFmtId="0" fontId="18" fillId="0" borderId="0" xfId="0" applyFont="1" applyAlignment="1">
      <alignment horizontal="center" vertical="top"/>
    </xf>
    <xf numFmtId="4" fontId="15" fillId="0" borderId="83" xfId="0" applyNumberFormat="1" applyFont="1" applyBorder="1" applyAlignment="1">
      <alignment horizontal="left" vertical="top"/>
    </xf>
    <xf numFmtId="4" fontId="15" fillId="0" borderId="78" xfId="0" applyNumberFormat="1" applyFont="1" applyBorder="1" applyAlignment="1">
      <alignment horizontal="left" vertical="top"/>
    </xf>
    <xf numFmtId="4" fontId="15" fillId="0" borderId="17" xfId="0" applyNumberFormat="1" applyFont="1" applyBorder="1" applyAlignment="1">
      <alignment horizontal="left" vertical="top"/>
    </xf>
    <xf numFmtId="4" fontId="15" fillId="0" borderId="81" xfId="0" applyNumberFormat="1" applyFont="1" applyBorder="1" applyAlignment="1">
      <alignment horizontal="left" vertical="top"/>
    </xf>
    <xf numFmtId="0" fontId="21" fillId="0" borderId="24" xfId="0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 wrapText="1"/>
    </xf>
    <xf numFmtId="0" fontId="16" fillId="0" borderId="111" xfId="0" applyFont="1" applyBorder="1" applyAlignment="1">
      <alignment horizontal="center" wrapText="1"/>
    </xf>
    <xf numFmtId="0" fontId="16" fillId="0" borderId="122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113" xfId="0" applyFont="1" applyBorder="1"/>
    <xf numFmtId="0" fontId="16" fillId="0" borderId="126" xfId="0" applyFont="1" applyBorder="1"/>
    <xf numFmtId="0" fontId="22" fillId="2" borderId="126" xfId="0" applyFont="1" applyFill="1" applyBorder="1" applyAlignment="1">
      <alignment horizontal="left" vertical="center"/>
    </xf>
    <xf numFmtId="0" fontId="16" fillId="0" borderId="114" xfId="0" applyFont="1" applyBorder="1"/>
    <xf numFmtId="0" fontId="17" fillId="2" borderId="85" xfId="0" applyFont="1" applyFill="1" applyBorder="1" applyAlignment="1">
      <alignment vertical="center"/>
    </xf>
    <xf numFmtId="0" fontId="22" fillId="0" borderId="16" xfId="0" applyFont="1" applyBorder="1" applyAlignment="1">
      <alignment horizontal="left" vertical="center"/>
    </xf>
    <xf numFmtId="4" fontId="17" fillId="0" borderId="127" xfId="0" applyNumberFormat="1" applyFont="1" applyBorder="1" applyAlignment="1">
      <alignment horizontal="right" vertical="center"/>
    </xf>
    <xf numFmtId="0" fontId="16" fillId="0" borderId="130" xfId="0" applyFont="1" applyBorder="1"/>
    <xf numFmtId="2" fontId="17" fillId="5" borderId="128" xfId="0" applyNumberFormat="1" applyFont="1" applyFill="1" applyBorder="1" applyAlignment="1">
      <alignment horizontal="center" vertical="center"/>
    </xf>
    <xf numFmtId="2" fontId="17" fillId="5" borderId="129" xfId="0" applyNumberFormat="1" applyFont="1" applyFill="1" applyBorder="1" applyAlignment="1">
      <alignment horizontal="center" vertical="center"/>
    </xf>
    <xf numFmtId="4" fontId="15" fillId="3" borderId="93" xfId="0" applyNumberFormat="1" applyFont="1" applyFill="1" applyBorder="1" applyAlignment="1">
      <alignment horizontal="center" vertical="center"/>
    </xf>
    <xf numFmtId="0" fontId="22" fillId="2" borderId="82" xfId="0" applyFont="1" applyFill="1" applyBorder="1" applyAlignment="1">
      <alignment horizontal="center" vertical="center"/>
    </xf>
    <xf numFmtId="164" fontId="17" fillId="2" borderId="134" xfId="0" applyNumberFormat="1" applyFont="1" applyFill="1" applyBorder="1" applyAlignment="1">
      <alignment horizontal="center" vertical="center"/>
    </xf>
    <xf numFmtId="164" fontId="17" fillId="2" borderId="135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17" fillId="0" borderId="136" xfId="0" applyFont="1" applyBorder="1" applyAlignment="1">
      <alignment horizontal="right" vertical="center"/>
    </xf>
    <xf numFmtId="4" fontId="17" fillId="0" borderId="127" xfId="0" applyNumberFormat="1" applyFont="1" applyBorder="1" applyAlignment="1">
      <alignment vertical="center"/>
    </xf>
    <xf numFmtId="0" fontId="17" fillId="0" borderId="127" xfId="0" applyFont="1" applyBorder="1" applyAlignment="1">
      <alignment horizontal="center" vertical="center"/>
    </xf>
    <xf numFmtId="0" fontId="17" fillId="0" borderId="127" xfId="0" applyFont="1" applyBorder="1" applyAlignment="1">
      <alignment vertical="center"/>
    </xf>
    <xf numFmtId="164" fontId="17" fillId="0" borderId="127" xfId="0" applyNumberFormat="1" applyFont="1" applyBorder="1" applyAlignment="1">
      <alignment horizontal="left" vertical="center"/>
    </xf>
    <xf numFmtId="4" fontId="17" fillId="0" borderId="127" xfId="0" applyNumberFormat="1" applyFont="1" applyBorder="1" applyAlignment="1">
      <alignment horizontal="left" vertical="center"/>
    </xf>
    <xf numFmtId="0" fontId="17" fillId="0" borderId="137" xfId="0" applyFont="1" applyBorder="1" applyAlignment="1">
      <alignment horizontal="right" vertical="center"/>
    </xf>
    <xf numFmtId="4" fontId="17" fillId="0" borderId="138" xfId="0" applyNumberFormat="1" applyFont="1" applyBorder="1" applyAlignment="1">
      <alignment vertical="center"/>
    </xf>
    <xf numFmtId="0" fontId="17" fillId="0" borderId="138" xfId="0" applyFont="1" applyBorder="1" applyAlignment="1">
      <alignment vertical="center"/>
    </xf>
    <xf numFmtId="0" fontId="17" fillId="0" borderId="139" xfId="0" applyFont="1" applyBorder="1" applyAlignment="1">
      <alignment vertical="center"/>
    </xf>
    <xf numFmtId="0" fontId="17" fillId="0" borderId="140" xfId="0" applyFont="1" applyBorder="1" applyAlignment="1">
      <alignment horizontal="right" vertical="center"/>
    </xf>
    <xf numFmtId="2" fontId="18" fillId="0" borderId="0" xfId="0" applyNumberFormat="1" applyFont="1" applyAlignment="1">
      <alignment horizontal="center" vertical="center"/>
    </xf>
    <xf numFmtId="0" fontId="22" fillId="6" borderId="141" xfId="0" applyFont="1" applyFill="1" applyBorder="1" applyAlignment="1">
      <alignment horizontal="center" vertical="center"/>
    </xf>
    <xf numFmtId="164" fontId="17" fillId="6" borderId="142" xfId="0" applyNumberFormat="1" applyFont="1" applyFill="1" applyBorder="1" applyAlignment="1">
      <alignment horizontal="center" vertical="center"/>
    </xf>
    <xf numFmtId="164" fontId="17" fillId="6" borderId="14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7" fillId="2" borderId="145" xfId="0" applyFont="1" applyFill="1" applyBorder="1" applyAlignment="1">
      <alignment horizontal="left" vertical="top"/>
    </xf>
    <xf numFmtId="0" fontId="52" fillId="0" borderId="0" xfId="0" applyFont="1"/>
    <xf numFmtId="4" fontId="15" fillId="3" borderId="115" xfId="0" applyNumberFormat="1" applyFont="1" applyFill="1" applyBorder="1" applyAlignment="1">
      <alignment horizontal="center" vertical="center"/>
    </xf>
    <xf numFmtId="4" fontId="15" fillId="3" borderId="80" xfId="0" applyNumberFormat="1" applyFont="1" applyFill="1" applyBorder="1" applyAlignment="1">
      <alignment horizontal="center" vertical="center"/>
    </xf>
    <xf numFmtId="4" fontId="15" fillId="3" borderId="117" xfId="0" applyNumberFormat="1" applyFont="1" applyFill="1" applyBorder="1" applyAlignment="1">
      <alignment horizontal="center" vertical="center"/>
    </xf>
    <xf numFmtId="4" fontId="15" fillId="3" borderId="62" xfId="0" applyNumberFormat="1" applyFont="1" applyFill="1" applyBorder="1" applyAlignment="1">
      <alignment horizontal="center" vertical="center"/>
    </xf>
    <xf numFmtId="4" fontId="15" fillId="3" borderId="123" xfId="0" applyNumberFormat="1" applyFont="1" applyFill="1" applyBorder="1" applyAlignment="1">
      <alignment horizontal="center" vertical="center"/>
    </xf>
    <xf numFmtId="4" fontId="15" fillId="3" borderId="66" xfId="0" applyNumberFormat="1" applyFont="1" applyFill="1" applyBorder="1" applyAlignment="1">
      <alignment horizontal="center" vertical="center"/>
    </xf>
    <xf numFmtId="0" fontId="22" fillId="3" borderId="82" xfId="0" applyFont="1" applyFill="1" applyBorder="1" applyAlignment="1">
      <alignment horizontal="center" vertical="center"/>
    </xf>
    <xf numFmtId="164" fontId="17" fillId="3" borderId="147" xfId="0" applyNumberFormat="1" applyFont="1" applyFill="1" applyBorder="1" applyAlignment="1">
      <alignment horizontal="center" vertical="center"/>
    </xf>
    <xf numFmtId="164" fontId="17" fillId="3" borderId="8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0" fontId="15" fillId="0" borderId="0" xfId="0" applyFont="1" applyAlignment="1">
      <alignment horizontal="right"/>
    </xf>
    <xf numFmtId="0" fontId="49" fillId="0" borderId="85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46" fillId="0" borderId="0" xfId="0" applyFont="1" applyAlignment="1">
      <alignment horizontal="centerContinuous" vertical="center"/>
    </xf>
    <xf numFmtId="164" fontId="47" fillId="2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47" fillId="2" borderId="0" xfId="0" applyFont="1" applyFill="1" applyAlignment="1">
      <alignment horizontal="centerContinuous"/>
    </xf>
    <xf numFmtId="0" fontId="46" fillId="2" borderId="0" xfId="0" applyFont="1" applyFill="1" applyAlignment="1">
      <alignment vertical="center"/>
    </xf>
    <xf numFmtId="0" fontId="22" fillId="2" borderId="0" xfId="0" applyFont="1" applyFill="1" applyAlignment="1" applyProtection="1">
      <alignment horizontal="centerContinuous" vertical="center" wrapText="1"/>
      <protection locked="0"/>
    </xf>
    <xf numFmtId="16" fontId="22" fillId="2" borderId="0" xfId="0" applyNumberFormat="1" applyFont="1" applyFill="1" applyAlignment="1" applyProtection="1">
      <alignment horizontal="centerContinuous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58" fillId="2" borderId="0" xfId="0" applyFont="1" applyFill="1" applyAlignment="1">
      <alignment vertical="center"/>
    </xf>
    <xf numFmtId="0" fontId="22" fillId="2" borderId="151" xfId="0" applyFont="1" applyFill="1" applyBorder="1" applyAlignment="1">
      <alignment horizontal="left" vertical="center"/>
    </xf>
    <xf numFmtId="0" fontId="22" fillId="2" borderId="154" xfId="0" applyFont="1" applyFill="1" applyBorder="1" applyAlignment="1">
      <alignment horizontal="left" vertical="center"/>
    </xf>
    <xf numFmtId="0" fontId="47" fillId="2" borderId="0" xfId="0" applyFont="1" applyFill="1"/>
    <xf numFmtId="0" fontId="22" fillId="2" borderId="100" xfId="0" applyFont="1" applyFill="1" applyBorder="1" applyAlignment="1">
      <alignment horizontal="left" vertical="center"/>
    </xf>
    <xf numFmtId="0" fontId="47" fillId="2" borderId="0" xfId="0" applyFont="1" applyFill="1" applyAlignment="1">
      <alignment vertical="center"/>
    </xf>
    <xf numFmtId="0" fontId="47" fillId="2" borderId="69" xfId="0" applyFont="1" applyFill="1" applyBorder="1"/>
    <xf numFmtId="0" fontId="47" fillId="2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0" fontId="22" fillId="2" borderId="0" xfId="0" applyFont="1" applyFill="1" applyAlignment="1">
      <alignment horizontal="centerContinuous" vertical="center"/>
    </xf>
    <xf numFmtId="2" fontId="22" fillId="2" borderId="0" xfId="0" applyNumberFormat="1" applyFont="1" applyFill="1" applyAlignment="1">
      <alignment horizontal="right" vertical="center"/>
    </xf>
    <xf numFmtId="0" fontId="17" fillId="0" borderId="0" xfId="0" applyFont="1" applyAlignment="1">
      <alignment vertical="center"/>
    </xf>
    <xf numFmtId="2" fontId="22" fillId="0" borderId="0" xfId="0" applyNumberFormat="1" applyFont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22" fillId="3" borderId="135" xfId="0" applyFont="1" applyFill="1" applyBorder="1" applyAlignment="1">
      <alignment horizontal="center" vertical="center"/>
    </xf>
    <xf numFmtId="164" fontId="17" fillId="3" borderId="134" xfId="0" applyNumberFormat="1" applyFont="1" applyFill="1" applyBorder="1" applyAlignment="1">
      <alignment horizontal="center" vertical="center"/>
    </xf>
    <xf numFmtId="164" fontId="17" fillId="3" borderId="135" xfId="0" applyNumberFormat="1" applyFont="1" applyFill="1" applyBorder="1" applyAlignment="1">
      <alignment horizontal="center" vertical="center"/>
    </xf>
    <xf numFmtId="165" fontId="19" fillId="0" borderId="0" xfId="0" applyNumberFormat="1" applyFont="1" applyAlignment="1" applyProtection="1">
      <alignment horizontal="left"/>
      <protection locked="0"/>
    </xf>
    <xf numFmtId="4" fontId="17" fillId="3" borderId="102" xfId="0" applyNumberFormat="1" applyFont="1" applyFill="1" applyBorder="1" applyAlignment="1">
      <alignment horizontal="left" vertical="center"/>
    </xf>
    <xf numFmtId="164" fontId="18" fillId="0" borderId="0" xfId="0" applyNumberFormat="1" applyFont="1"/>
    <xf numFmtId="164" fontId="18" fillId="0" borderId="0" xfId="0" applyNumberFormat="1" applyFont="1" applyAlignment="1">
      <alignment horizontal="right" vertical="top"/>
    </xf>
    <xf numFmtId="0" fontId="21" fillId="0" borderId="18" xfId="0" applyFont="1" applyBorder="1" applyAlignment="1">
      <alignment horizontal="center" vertical="center" wrapText="1"/>
    </xf>
    <xf numFmtId="9" fontId="22" fillId="0" borderId="18" xfId="0" applyNumberFormat="1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4" fontId="15" fillId="0" borderId="16" xfId="0" applyNumberFormat="1" applyFont="1" applyBorder="1" applyAlignment="1">
      <alignment horizontal="center"/>
    </xf>
    <xf numFmtId="0" fontId="27" fillId="0" borderId="0" xfId="0" applyFont="1"/>
    <xf numFmtId="14" fontId="0" fillId="0" borderId="0" xfId="0" applyNumberFormat="1"/>
    <xf numFmtId="0" fontId="26" fillId="0" borderId="59" xfId="0" applyFont="1" applyBorder="1" applyAlignment="1">
      <alignment horizontal="center" vertical="center"/>
    </xf>
    <xf numFmtId="0" fontId="21" fillId="0" borderId="158" xfId="0" applyFont="1" applyBorder="1" applyAlignment="1">
      <alignment horizontal="center" vertical="center" wrapText="1"/>
    </xf>
    <xf numFmtId="9" fontId="22" fillId="0" borderId="158" xfId="0" applyNumberFormat="1" applyFont="1" applyBorder="1" applyAlignment="1">
      <alignment horizontal="center" vertical="center"/>
    </xf>
    <xf numFmtId="2" fontId="18" fillId="0" borderId="158" xfId="0" applyNumberFormat="1" applyFont="1" applyBorder="1" applyAlignment="1">
      <alignment horizontal="center" vertical="center"/>
    </xf>
    <xf numFmtId="2" fontId="15" fillId="0" borderId="158" xfId="0" applyNumberFormat="1" applyFont="1" applyBorder="1" applyAlignment="1">
      <alignment horizontal="center"/>
    </xf>
    <xf numFmtId="0" fontId="22" fillId="3" borderId="159" xfId="0" applyFont="1" applyFill="1" applyBorder="1" applyAlignment="1">
      <alignment horizontal="center" vertical="center"/>
    </xf>
    <xf numFmtId="164" fontId="17" fillId="3" borderId="160" xfId="0" applyNumberFormat="1" applyFont="1" applyFill="1" applyBorder="1" applyAlignment="1">
      <alignment horizontal="center" vertical="center"/>
    </xf>
    <xf numFmtId="164" fontId="17" fillId="3" borderId="159" xfId="0" applyNumberFormat="1" applyFont="1" applyFill="1" applyBorder="1" applyAlignment="1">
      <alignment horizontal="center" vertical="center"/>
    </xf>
    <xf numFmtId="4" fontId="17" fillId="0" borderId="162" xfId="0" applyNumberFormat="1" applyFont="1" applyBorder="1" applyAlignment="1">
      <alignment vertical="center"/>
    </xf>
    <xf numFmtId="0" fontId="17" fillId="0" borderId="162" xfId="0" applyFont="1" applyBorder="1" applyAlignment="1">
      <alignment vertical="center"/>
    </xf>
    <xf numFmtId="0" fontId="17" fillId="0" borderId="163" xfId="0" applyFont="1" applyBorder="1" applyAlignment="1">
      <alignment vertical="center"/>
    </xf>
    <xf numFmtId="4" fontId="17" fillId="0" borderId="163" xfId="0" applyNumberFormat="1" applyFont="1" applyBorder="1" applyAlignment="1">
      <alignment horizontal="left" vertical="center"/>
    </xf>
    <xf numFmtId="4" fontId="17" fillId="0" borderId="149" xfId="0" applyNumberFormat="1" applyFont="1" applyBorder="1" applyAlignment="1">
      <alignment vertical="center"/>
    </xf>
    <xf numFmtId="0" fontId="17" fillId="2" borderId="47" xfId="0" applyFont="1" applyFill="1" applyBorder="1"/>
    <xf numFmtId="0" fontId="17" fillId="0" borderId="161" xfId="0" applyFont="1" applyBorder="1" applyAlignment="1">
      <alignment horizontal="right" vertical="center"/>
    </xf>
    <xf numFmtId="0" fontId="0" fillId="3" borderId="0" xfId="0" applyFill="1"/>
    <xf numFmtId="0" fontId="0" fillId="0" borderId="85" xfId="0" applyBorder="1" applyAlignment="1">
      <alignment horizontal="center" vertical="top"/>
    </xf>
    <xf numFmtId="4" fontId="15" fillId="5" borderId="24" xfId="0" applyNumberFormat="1" applyFont="1" applyFill="1" applyBorder="1" applyAlignment="1">
      <alignment horizontal="center" vertical="center"/>
    </xf>
    <xf numFmtId="4" fontId="17" fillId="3" borderId="162" xfId="0" applyNumberFormat="1" applyFont="1" applyFill="1" applyBorder="1" applyAlignment="1">
      <alignment vertical="center"/>
    </xf>
    <xf numFmtId="164" fontId="17" fillId="0" borderId="162" xfId="0" applyNumberFormat="1" applyFont="1" applyBorder="1" applyAlignment="1">
      <alignment horizontal="left" vertical="center"/>
    </xf>
    <xf numFmtId="4" fontId="17" fillId="3" borderId="99" xfId="0" applyNumberFormat="1" applyFont="1" applyFill="1" applyBorder="1" applyAlignment="1">
      <alignment vertical="center"/>
    </xf>
    <xf numFmtId="0" fontId="17" fillId="3" borderId="99" xfId="0" applyFont="1" applyFill="1" applyBorder="1" applyAlignment="1">
      <alignment vertical="center"/>
    </xf>
    <xf numFmtId="0" fontId="17" fillId="3" borderId="100" xfId="0" applyFont="1" applyFill="1" applyBorder="1" applyAlignment="1">
      <alignment vertical="center"/>
    </xf>
    <xf numFmtId="0" fontId="17" fillId="3" borderId="162" xfId="0" applyFont="1" applyFill="1" applyBorder="1" applyAlignment="1">
      <alignment horizontal="center" vertical="center"/>
    </xf>
    <xf numFmtId="4" fontId="17" fillId="3" borderId="163" xfId="0" applyNumberFormat="1" applyFont="1" applyFill="1" applyBorder="1" applyAlignment="1">
      <alignment horizontal="left" vertical="center"/>
    </xf>
    <xf numFmtId="0" fontId="17" fillId="3" borderId="162" xfId="0" applyFont="1" applyFill="1" applyBorder="1" applyAlignment="1">
      <alignment vertical="center"/>
    </xf>
    <xf numFmtId="4" fontId="15" fillId="3" borderId="162" xfId="0" applyNumberFormat="1" applyFont="1" applyFill="1" applyBorder="1" applyAlignment="1">
      <alignment vertical="center"/>
    </xf>
    <xf numFmtId="4" fontId="15" fillId="3" borderId="127" xfId="0" applyNumberFormat="1" applyFont="1" applyFill="1" applyBorder="1" applyAlignment="1">
      <alignment horizontal="right" vertical="center"/>
    </xf>
    <xf numFmtId="164" fontId="15" fillId="3" borderId="162" xfId="0" applyNumberFormat="1" applyFont="1" applyFill="1" applyBorder="1" applyAlignment="1">
      <alignment horizontal="left" vertical="center"/>
    </xf>
    <xf numFmtId="0" fontId="15" fillId="3" borderId="162" xfId="0" applyFont="1" applyFill="1" applyBorder="1" applyAlignment="1">
      <alignment vertical="center"/>
    </xf>
    <xf numFmtId="4" fontId="15" fillId="3" borderId="162" xfId="0" applyNumberFormat="1" applyFont="1" applyFill="1" applyBorder="1" applyAlignment="1">
      <alignment horizontal="left" vertical="center"/>
    </xf>
    <xf numFmtId="0" fontId="15" fillId="3" borderId="163" xfId="0" applyFont="1" applyFill="1" applyBorder="1" applyAlignment="1">
      <alignment vertical="center"/>
    </xf>
    <xf numFmtId="4" fontId="17" fillId="3" borderId="127" xfId="0" applyNumberFormat="1" applyFont="1" applyFill="1" applyBorder="1" applyAlignment="1">
      <alignment vertical="center"/>
    </xf>
    <xf numFmtId="0" fontId="17" fillId="3" borderId="127" xfId="0" applyFont="1" applyFill="1" applyBorder="1" applyAlignment="1">
      <alignment horizontal="center" vertical="center"/>
    </xf>
    <xf numFmtId="0" fontId="17" fillId="3" borderId="127" xfId="0" applyFont="1" applyFill="1" applyBorder="1" applyAlignment="1">
      <alignment vertical="center"/>
    </xf>
    <xf numFmtId="4" fontId="17" fillId="3" borderId="127" xfId="0" applyNumberFormat="1" applyFont="1" applyFill="1" applyBorder="1" applyAlignment="1">
      <alignment horizontal="right" vertical="center"/>
    </xf>
    <xf numFmtId="164" fontId="17" fillId="3" borderId="127" xfId="0" applyNumberFormat="1" applyFont="1" applyFill="1" applyBorder="1" applyAlignment="1">
      <alignment horizontal="left" vertical="center"/>
    </xf>
    <xf numFmtId="4" fontId="17" fillId="3" borderId="127" xfId="0" applyNumberFormat="1" applyFont="1" applyFill="1" applyBorder="1" applyAlignment="1">
      <alignment horizontal="left" vertical="center"/>
    </xf>
    <xf numFmtId="0" fontId="17" fillId="3" borderId="102" xfId="0" applyFont="1" applyFill="1" applyBorder="1" applyAlignment="1">
      <alignment vertical="center"/>
    </xf>
    <xf numFmtId="4" fontId="17" fillId="3" borderId="138" xfId="0" applyNumberFormat="1" applyFont="1" applyFill="1" applyBorder="1" applyAlignment="1">
      <alignment vertical="center"/>
    </xf>
    <xf numFmtId="0" fontId="17" fillId="3" borderId="138" xfId="0" applyFont="1" applyFill="1" applyBorder="1" applyAlignment="1">
      <alignment vertical="center"/>
    </xf>
    <xf numFmtId="0" fontId="17" fillId="3" borderId="139" xfId="0" applyFont="1" applyFill="1" applyBorder="1" applyAlignment="1">
      <alignment vertical="center"/>
    </xf>
    <xf numFmtId="4" fontId="15" fillId="0" borderId="86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2" fontId="17" fillId="0" borderId="16" xfId="0" applyNumberFormat="1" applyFont="1" applyBorder="1" applyAlignment="1">
      <alignment horizontal="center" vertical="center"/>
    </xf>
    <xf numFmtId="9" fontId="16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2" fillId="3" borderId="164" xfId="0" applyFont="1" applyFill="1" applyBorder="1" applyAlignment="1">
      <alignment horizontal="center" vertical="center"/>
    </xf>
    <xf numFmtId="164" fontId="17" fillId="3" borderId="165" xfId="0" applyNumberFormat="1" applyFont="1" applyFill="1" applyBorder="1" applyAlignment="1">
      <alignment horizontal="center" vertical="center"/>
    </xf>
    <xf numFmtId="164" fontId="17" fillId="3" borderId="164" xfId="0" applyNumberFormat="1" applyFont="1" applyFill="1" applyBorder="1" applyAlignment="1">
      <alignment horizontal="center" vertical="center"/>
    </xf>
    <xf numFmtId="0" fontId="22" fillId="3" borderId="166" xfId="0" applyFont="1" applyFill="1" applyBorder="1" applyAlignment="1">
      <alignment horizontal="center" vertical="center"/>
    </xf>
    <xf numFmtId="164" fontId="17" fillId="3" borderId="167" xfId="0" applyNumberFormat="1" applyFont="1" applyFill="1" applyBorder="1" applyAlignment="1">
      <alignment horizontal="center" vertical="center"/>
    </xf>
    <xf numFmtId="164" fontId="17" fillId="3" borderId="168" xfId="0" applyNumberFormat="1" applyFont="1" applyFill="1" applyBorder="1" applyAlignment="1">
      <alignment horizontal="center" vertical="center"/>
    </xf>
    <xf numFmtId="0" fontId="22" fillId="4" borderId="159" xfId="0" applyFont="1" applyFill="1" applyBorder="1" applyAlignment="1">
      <alignment horizontal="center" vertical="center"/>
    </xf>
    <xf numFmtId="164" fontId="17" fillId="4" borderId="160" xfId="0" applyNumberFormat="1" applyFont="1" applyFill="1" applyBorder="1" applyAlignment="1">
      <alignment horizontal="center" vertical="center"/>
    </xf>
    <xf numFmtId="164" fontId="17" fillId="4" borderId="159" xfId="0" applyNumberFormat="1" applyFont="1" applyFill="1" applyBorder="1" applyAlignment="1">
      <alignment horizontal="center" vertical="center"/>
    </xf>
    <xf numFmtId="0" fontId="52" fillId="0" borderId="173" xfId="0" applyFont="1" applyBorder="1" applyAlignment="1">
      <alignment horizontal="center"/>
    </xf>
    <xf numFmtId="0" fontId="52" fillId="0" borderId="162" xfId="0" applyFont="1" applyBorder="1" applyAlignment="1">
      <alignment horizontal="center"/>
    </xf>
    <xf numFmtId="0" fontId="52" fillId="0" borderId="174" xfId="0" applyFont="1" applyBorder="1" applyAlignment="1">
      <alignment horizontal="center"/>
    </xf>
    <xf numFmtId="0" fontId="52" fillId="0" borderId="175" xfId="0" applyFont="1" applyBorder="1" applyAlignment="1">
      <alignment horizontal="center" vertical="center"/>
    </xf>
    <xf numFmtId="0" fontId="52" fillId="0" borderId="176" xfId="0" applyFont="1" applyBorder="1" applyAlignment="1">
      <alignment horizontal="center" vertical="center"/>
    </xf>
    <xf numFmtId="0" fontId="52" fillId="0" borderId="178" xfId="0" applyFont="1" applyBorder="1" applyAlignment="1">
      <alignment horizontal="center" vertical="center"/>
    </xf>
    <xf numFmtId="0" fontId="52" fillId="0" borderId="179" xfId="0" applyFont="1" applyBorder="1" applyAlignment="1">
      <alignment horizontal="center" vertical="center"/>
    </xf>
    <xf numFmtId="0" fontId="52" fillId="0" borderId="169" xfId="0" applyFont="1" applyBorder="1" applyAlignment="1">
      <alignment horizontal="center"/>
    </xf>
    <xf numFmtId="0" fontId="18" fillId="4" borderId="16" xfId="0" applyFont="1" applyFill="1" applyBorder="1" applyAlignment="1">
      <alignment horizontal="center" vertical="center"/>
    </xf>
    <xf numFmtId="2" fontId="17" fillId="4" borderId="16" xfId="0" applyNumberFormat="1" applyFont="1" applyFill="1" applyBorder="1" applyAlignment="1">
      <alignment horizontal="center" vertical="center"/>
    </xf>
    <xf numFmtId="2" fontId="17" fillId="3" borderId="16" xfId="0" applyNumberFormat="1" applyFont="1" applyFill="1" applyBorder="1" applyAlignment="1">
      <alignment horizontal="center" vertical="center"/>
    </xf>
    <xf numFmtId="167" fontId="15" fillId="0" borderId="183" xfId="0" applyNumberFormat="1" applyFont="1" applyBorder="1" applyAlignment="1">
      <alignment horizontal="center" vertical="center"/>
    </xf>
    <xf numFmtId="4" fontId="15" fillId="5" borderId="185" xfId="0" applyNumberFormat="1" applyFont="1" applyFill="1" applyBorder="1" applyAlignment="1">
      <alignment horizontal="center" vertical="center"/>
    </xf>
    <xf numFmtId="167" fontId="15" fillId="0" borderId="185" xfId="0" applyNumberFormat="1" applyFont="1" applyBorder="1" applyAlignment="1">
      <alignment horizontal="center" vertical="center"/>
    </xf>
    <xf numFmtId="4" fontId="15" fillId="0" borderId="185" xfId="0" applyNumberFormat="1" applyFont="1" applyBorder="1" applyAlignment="1">
      <alignment horizontal="center" vertical="center"/>
    </xf>
    <xf numFmtId="4" fontId="15" fillId="5" borderId="184" xfId="0" applyNumberFormat="1" applyFont="1" applyFill="1" applyBorder="1" applyAlignment="1">
      <alignment horizontal="center" vertical="center"/>
    </xf>
    <xf numFmtId="167" fontId="15" fillId="0" borderId="184" xfId="0" applyNumberFormat="1" applyFont="1" applyBorder="1" applyAlignment="1">
      <alignment horizontal="center" vertical="center"/>
    </xf>
    <xf numFmtId="4" fontId="15" fillId="0" borderId="184" xfId="0" applyNumberFormat="1" applyFont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4" fontId="15" fillId="0" borderId="19" xfId="0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vertical="center"/>
    </xf>
    <xf numFmtId="0" fontId="63" fillId="3" borderId="0" xfId="0" applyFont="1" applyFill="1"/>
    <xf numFmtId="14" fontId="63" fillId="3" borderId="0" xfId="0" applyNumberFormat="1" applyFont="1" applyFill="1"/>
    <xf numFmtId="14" fontId="65" fillId="3" borderId="0" xfId="0" applyNumberFormat="1" applyFont="1" applyFill="1" applyAlignment="1">
      <alignment horizontal="left"/>
    </xf>
    <xf numFmtId="0" fontId="50" fillId="0" borderId="0" xfId="0" applyFont="1" applyAlignment="1">
      <alignment horizontal="center" vertical="center"/>
    </xf>
    <xf numFmtId="14" fontId="13" fillId="3" borderId="0" xfId="0" applyNumberFormat="1" applyFont="1" applyFill="1" applyAlignment="1">
      <alignment horizontal="left"/>
    </xf>
    <xf numFmtId="14" fontId="13" fillId="3" borderId="0" xfId="0" applyNumberFormat="1" applyFont="1" applyFill="1"/>
    <xf numFmtId="0" fontId="13" fillId="3" borderId="0" xfId="0" applyFont="1" applyFill="1"/>
    <xf numFmtId="0" fontId="13" fillId="0" borderId="0" xfId="0" applyFont="1"/>
    <xf numFmtId="4" fontId="13" fillId="3" borderId="0" xfId="0" applyNumberFormat="1" applyFont="1" applyFill="1"/>
    <xf numFmtId="0" fontId="66" fillId="3" borderId="63" xfId="1" applyFont="1" applyFill="1" applyBorder="1"/>
    <xf numFmtId="0" fontId="13" fillId="3" borderId="63" xfId="0" applyFont="1" applyFill="1" applyBorder="1"/>
    <xf numFmtId="4" fontId="0" fillId="3" borderId="0" xfId="0" applyNumberFormat="1" applyFill="1"/>
    <xf numFmtId="164" fontId="0" fillId="3" borderId="0" xfId="0" applyNumberFormat="1" applyFill="1"/>
    <xf numFmtId="14" fontId="0" fillId="3" borderId="0" xfId="0" applyNumberFormat="1" applyFill="1"/>
    <xf numFmtId="0" fontId="0" fillId="3" borderId="63" xfId="0" applyFill="1" applyBorder="1"/>
    <xf numFmtId="4" fontId="0" fillId="3" borderId="63" xfId="0" applyNumberFormat="1" applyFill="1" applyBorder="1"/>
    <xf numFmtId="0" fontId="0" fillId="3" borderId="63" xfId="0" applyFill="1" applyBorder="1" applyAlignment="1">
      <alignment horizontal="left"/>
    </xf>
    <xf numFmtId="167" fontId="0" fillId="3" borderId="63" xfId="0" applyNumberFormat="1" applyFill="1" applyBorder="1"/>
    <xf numFmtId="168" fontId="0" fillId="3" borderId="63" xfId="0" applyNumberFormat="1" applyFill="1" applyBorder="1"/>
    <xf numFmtId="0" fontId="0" fillId="0" borderId="63" xfId="0" applyBorder="1"/>
    <xf numFmtId="4" fontId="0" fillId="0" borderId="63" xfId="0" applyNumberFormat="1" applyBorder="1"/>
    <xf numFmtId="4" fontId="0" fillId="0" borderId="0" xfId="0" applyNumberFormat="1"/>
    <xf numFmtId="164" fontId="63" fillId="3" borderId="0" xfId="0" applyNumberFormat="1" applyFont="1" applyFill="1"/>
    <xf numFmtId="2" fontId="63" fillId="3" borderId="0" xfId="0" applyNumberFormat="1" applyFont="1" applyFill="1"/>
    <xf numFmtId="2" fontId="15" fillId="3" borderId="16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/>
    </xf>
    <xf numFmtId="0" fontId="52" fillId="0" borderId="170" xfId="0" applyFont="1" applyBorder="1" applyAlignment="1">
      <alignment horizontal="center"/>
    </xf>
    <xf numFmtId="0" fontId="52" fillId="0" borderId="171" xfId="0" applyFont="1" applyBorder="1" applyAlignment="1">
      <alignment horizontal="center"/>
    </xf>
    <xf numFmtId="0" fontId="52" fillId="0" borderId="172" xfId="0" applyFont="1" applyBorder="1" applyAlignment="1">
      <alignment horizontal="center"/>
    </xf>
    <xf numFmtId="0" fontId="18" fillId="0" borderId="170" xfId="0" applyFont="1" applyBorder="1" applyAlignment="1">
      <alignment horizontal="center" vertical="center" wrapText="1"/>
    </xf>
    <xf numFmtId="0" fontId="0" fillId="0" borderId="171" xfId="0" applyBorder="1" applyAlignment="1">
      <alignment horizontal="center" vertical="center" wrapText="1"/>
    </xf>
    <xf numFmtId="0" fontId="0" fillId="0" borderId="172" xfId="0" applyBorder="1" applyAlignment="1">
      <alignment horizontal="center" vertical="center" wrapText="1"/>
    </xf>
    <xf numFmtId="0" fontId="0" fillId="0" borderId="173" xfId="0" applyBorder="1" applyAlignment="1">
      <alignment horizontal="center" vertical="center" wrapText="1"/>
    </xf>
    <xf numFmtId="0" fontId="0" fillId="0" borderId="162" xfId="0" applyBorder="1" applyAlignment="1">
      <alignment horizontal="center" vertical="center" wrapText="1"/>
    </xf>
    <xf numFmtId="0" fontId="0" fillId="0" borderId="17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7" xfId="0" applyBorder="1" applyAlignment="1">
      <alignment horizontal="center" vertical="center" wrapText="1"/>
    </xf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6" fillId="0" borderId="25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8" fontId="18" fillId="0" borderId="0" xfId="0" applyNumberFormat="1" applyFont="1" applyAlignment="1">
      <alignment horizontal="left" vertical="top" wrapText="1"/>
    </xf>
    <xf numFmtId="8" fontId="18" fillId="0" borderId="5" xfId="0" applyNumberFormat="1" applyFont="1" applyBorder="1" applyAlignment="1">
      <alignment horizontal="left" vertical="top" wrapText="1"/>
    </xf>
    <xf numFmtId="165" fontId="19" fillId="0" borderId="0" xfId="0" applyNumberFormat="1" applyFont="1" applyAlignment="1" applyProtection="1">
      <alignment horizontal="left"/>
      <protection locked="0"/>
    </xf>
    <xf numFmtId="165" fontId="19" fillId="0" borderId="5" xfId="0" applyNumberFormat="1" applyFont="1" applyBorder="1" applyAlignment="1" applyProtection="1">
      <alignment horizontal="left"/>
      <protection locked="0"/>
    </xf>
    <xf numFmtId="14" fontId="9" fillId="2" borderId="9" xfId="0" applyNumberFormat="1" applyFont="1" applyFill="1" applyBorder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vertical="center"/>
    </xf>
    <xf numFmtId="0" fontId="28" fillId="2" borderId="0" xfId="0" applyFont="1" applyFill="1" applyAlignment="1">
      <alignment horizontal="left" vertical="center"/>
    </xf>
    <xf numFmtId="0" fontId="12" fillId="0" borderId="0" xfId="0" applyFont="1"/>
    <xf numFmtId="0" fontId="28" fillId="2" borderId="5" xfId="0" applyFont="1" applyFill="1" applyBorder="1" applyAlignment="1">
      <alignment horizontal="left" vertical="center"/>
    </xf>
    <xf numFmtId="0" fontId="29" fillId="0" borderId="0" xfId="0" applyFont="1" applyAlignment="1">
      <alignment vertical="center"/>
    </xf>
    <xf numFmtId="166" fontId="9" fillId="2" borderId="28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5" fontId="19" fillId="0" borderId="0" xfId="0" applyNumberFormat="1" applyFont="1" applyAlignment="1">
      <alignment horizontal="left"/>
    </xf>
    <xf numFmtId="165" fontId="19" fillId="0" borderId="5" xfId="0" applyNumberFormat="1" applyFont="1" applyBorder="1" applyAlignment="1">
      <alignment horizontal="left"/>
    </xf>
    <xf numFmtId="0" fontId="18" fillId="0" borderId="0" xfId="0" applyFont="1" applyAlignment="1">
      <alignment horizontal="left" vertical="top"/>
    </xf>
    <xf numFmtId="0" fontId="47" fillId="2" borderId="0" xfId="0" applyFont="1" applyFill="1"/>
    <xf numFmtId="0" fontId="47" fillId="2" borderId="69" xfId="0" applyFont="1" applyFill="1" applyBorder="1"/>
    <xf numFmtId="0" fontId="17" fillId="0" borderId="16" xfId="0" applyFont="1" applyBorder="1" applyAlignment="1">
      <alignment horizontal="left"/>
    </xf>
    <xf numFmtId="2" fontId="17" fillId="2" borderId="49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45" fillId="2" borderId="112" xfId="0" applyFont="1" applyFill="1" applyBorder="1" applyAlignment="1">
      <alignment horizontal="center" vertical="center"/>
    </xf>
    <xf numFmtId="0" fontId="15" fillId="0" borderId="112" xfId="0" applyFont="1" applyBorder="1" applyAlignment="1">
      <alignment horizontal="center" vertical="center"/>
    </xf>
    <xf numFmtId="2" fontId="17" fillId="2" borderId="112" xfId="0" applyNumberFormat="1" applyFont="1" applyFill="1" applyBorder="1" applyAlignment="1">
      <alignment horizontal="center" vertical="center"/>
    </xf>
    <xf numFmtId="0" fontId="47" fillId="2" borderId="85" xfId="0" applyFont="1" applyFill="1" applyBorder="1" applyAlignment="1">
      <alignment horizontal="center" vertical="center"/>
    </xf>
    <xf numFmtId="0" fontId="47" fillId="0" borderId="85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15" fillId="0" borderId="99" xfId="0" applyFont="1" applyBorder="1"/>
    <xf numFmtId="0" fontId="15" fillId="0" borderId="100" xfId="0" applyFont="1" applyBorder="1"/>
    <xf numFmtId="0" fontId="1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5" borderId="16" xfId="0" applyNumberFormat="1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5" fillId="0" borderId="152" xfId="0" applyFont="1" applyBorder="1"/>
    <xf numFmtId="0" fontId="15" fillId="0" borderId="153" xfId="0" applyFont="1" applyBorder="1"/>
    <xf numFmtId="0" fontId="17" fillId="2" borderId="154" xfId="0" applyFont="1" applyFill="1" applyBorder="1" applyAlignment="1">
      <alignment horizontal="center" vertical="center"/>
    </xf>
    <xf numFmtId="0" fontId="15" fillId="0" borderId="154" xfId="0" applyFont="1" applyBorder="1" applyAlignment="1">
      <alignment vertical="center"/>
    </xf>
    <xf numFmtId="2" fontId="17" fillId="2" borderId="154" xfId="0" applyNumberFormat="1" applyFont="1" applyFill="1" applyBorder="1" applyAlignment="1">
      <alignment horizontal="center" vertical="center"/>
    </xf>
    <xf numFmtId="0" fontId="45" fillId="0" borderId="112" xfId="0" applyFont="1" applyBorder="1" applyAlignment="1">
      <alignment vertical="center"/>
    </xf>
    <xf numFmtId="0" fontId="17" fillId="2" borderId="112" xfId="0" applyFont="1" applyFill="1" applyBorder="1" applyAlignment="1">
      <alignment horizontal="center" vertical="center"/>
    </xf>
    <xf numFmtId="0" fontId="45" fillId="2" borderId="151" xfId="0" applyFont="1" applyFill="1" applyBorder="1" applyAlignment="1">
      <alignment horizontal="center" vertical="center"/>
    </xf>
    <xf numFmtId="0" fontId="15" fillId="0" borderId="151" xfId="0" applyFont="1" applyBorder="1" applyAlignment="1">
      <alignment horizontal="center" vertical="center"/>
    </xf>
    <xf numFmtId="2" fontId="17" fillId="2" borderId="151" xfId="0" applyNumberFormat="1" applyFont="1" applyFill="1" applyBorder="1" applyAlignment="1">
      <alignment horizontal="center" vertical="center"/>
    </xf>
    <xf numFmtId="0" fontId="15" fillId="0" borderId="154" xfId="0" applyFont="1" applyBorder="1" applyAlignment="1">
      <alignment horizontal="center" vertical="center"/>
    </xf>
    <xf numFmtId="0" fontId="22" fillId="2" borderId="43" xfId="0" applyFont="1" applyFill="1" applyBorder="1" applyAlignment="1">
      <alignment horizontal="center" vertical="center"/>
    </xf>
    <xf numFmtId="0" fontId="15" fillId="0" borderId="44" xfId="0" applyFont="1" applyBorder="1" applyAlignment="1">
      <alignment vertical="center"/>
    </xf>
    <xf numFmtId="2" fontId="22" fillId="2" borderId="45" xfId="0" applyNumberFormat="1" applyFont="1" applyFill="1" applyBorder="1" applyAlignment="1">
      <alignment horizontal="right" vertical="center"/>
    </xf>
    <xf numFmtId="0" fontId="17" fillId="2" borderId="41" xfId="0" applyFont="1" applyFill="1" applyBorder="1" applyAlignment="1">
      <alignment horizontal="right" vertical="center"/>
    </xf>
    <xf numFmtId="2" fontId="22" fillId="2" borderId="41" xfId="0" applyNumberFormat="1" applyFont="1" applyFill="1" applyBorder="1" applyAlignment="1">
      <alignment horizontal="right" vertical="center"/>
    </xf>
    <xf numFmtId="0" fontId="15" fillId="0" borderId="112" xfId="0" applyFont="1" applyBorder="1" applyAlignment="1">
      <alignment vertical="center"/>
    </xf>
    <xf numFmtId="0" fontId="0" fillId="0" borderId="99" xfId="0" applyBorder="1"/>
    <xf numFmtId="0" fontId="0" fillId="0" borderId="100" xfId="0" applyBorder="1"/>
    <xf numFmtId="0" fontId="17" fillId="2" borderId="151" xfId="0" applyFont="1" applyFill="1" applyBorder="1" applyAlignment="1">
      <alignment horizontal="center" vertical="center"/>
    </xf>
    <xf numFmtId="0" fontId="0" fillId="0" borderId="151" xfId="0" applyBorder="1" applyAlignment="1">
      <alignment vertical="center"/>
    </xf>
    <xf numFmtId="0" fontId="47" fillId="2" borderId="0" xfId="0" applyFont="1" applyFill="1" applyAlignment="1">
      <alignment horizontal="left"/>
    </xf>
    <xf numFmtId="0" fontId="15" fillId="0" borderId="0" xfId="0" applyFont="1"/>
    <xf numFmtId="14" fontId="47" fillId="2" borderId="148" xfId="0" applyNumberFormat="1" applyFont="1" applyFill="1" applyBorder="1" applyAlignment="1">
      <alignment horizontal="left"/>
    </xf>
    <xf numFmtId="0" fontId="15" fillId="0" borderId="148" xfId="0" applyFont="1" applyBorder="1" applyAlignment="1">
      <alignment horizontal="left"/>
    </xf>
    <xf numFmtId="0" fontId="47" fillId="2" borderId="0" xfId="0" applyFont="1" applyFill="1" applyAlignment="1">
      <alignment horizontal="right"/>
    </xf>
    <xf numFmtId="0" fontId="15" fillId="0" borderId="0" xfId="0" applyFont="1" applyAlignment="1">
      <alignment horizontal="right"/>
    </xf>
    <xf numFmtId="0" fontId="22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8" fillId="2" borderId="4" xfId="0" applyFont="1" applyFill="1" applyBorder="1" applyAlignment="1">
      <alignment horizontal="left" vertical="top"/>
    </xf>
    <xf numFmtId="0" fontId="28" fillId="2" borderId="0" xfId="0" applyFont="1" applyFill="1" applyAlignment="1">
      <alignment horizontal="left" vertical="top"/>
    </xf>
    <xf numFmtId="0" fontId="28" fillId="2" borderId="4" xfId="0" applyFont="1" applyFill="1" applyBorder="1" applyAlignment="1">
      <alignment horizontal="left" vertical="center"/>
    </xf>
    <xf numFmtId="0" fontId="17" fillId="0" borderId="151" xfId="0" applyFont="1" applyBorder="1" applyAlignment="1">
      <alignment vertical="center"/>
    </xf>
    <xf numFmtId="0" fontId="47" fillId="2" borderId="11" xfId="0" applyFont="1" applyFill="1" applyBorder="1" applyAlignment="1">
      <alignment horizontal="left"/>
    </xf>
    <xf numFmtId="0" fontId="15" fillId="0" borderId="11" xfId="0" applyFont="1" applyBorder="1" applyAlignment="1">
      <alignment horizontal="left"/>
    </xf>
    <xf numFmtId="14" fontId="47" fillId="2" borderId="0" xfId="0" applyNumberFormat="1" applyFont="1" applyFill="1" applyAlignment="1" applyProtection="1">
      <alignment horizontal="left" vertical="center"/>
      <protection locked="0"/>
    </xf>
    <xf numFmtId="14" fontId="15" fillId="0" borderId="0" xfId="0" applyNumberFormat="1" applyFont="1" applyAlignment="1">
      <alignment vertical="center"/>
    </xf>
    <xf numFmtId="2" fontId="47" fillId="2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right" vertical="center"/>
    </xf>
    <xf numFmtId="16" fontId="47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46" fillId="2" borderId="27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0" fontId="15" fillId="0" borderId="149" xfId="0" applyFont="1" applyBorder="1"/>
    <xf numFmtId="0" fontId="0" fillId="0" borderId="149" xfId="0" applyBorder="1"/>
    <xf numFmtId="0" fontId="0" fillId="0" borderId="150" xfId="0" applyBorder="1"/>
    <xf numFmtId="0" fontId="58" fillId="2" borderId="149" xfId="0" applyFont="1" applyFill="1" applyBorder="1"/>
    <xf numFmtId="0" fontId="58" fillId="2" borderId="152" xfId="0" applyFont="1" applyFill="1" applyBorder="1"/>
    <xf numFmtId="0" fontId="0" fillId="0" borderId="152" xfId="0" applyBorder="1"/>
    <xf numFmtId="0" fontId="0" fillId="0" borderId="153" xfId="0" applyBorder="1"/>
    <xf numFmtId="0" fontId="0" fillId="0" borderId="0" xfId="0"/>
    <xf numFmtId="0" fontId="0" fillId="0" borderId="52" xfId="0" applyBorder="1"/>
    <xf numFmtId="0" fontId="47" fillId="2" borderId="27" xfId="0" applyFont="1" applyFill="1" applyBorder="1" applyAlignment="1" applyProtection="1">
      <alignment horizontal="center" vertical="center" wrapText="1"/>
      <protection locked="0"/>
    </xf>
    <xf numFmtId="0" fontId="49" fillId="0" borderId="85" xfId="0" applyFont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0" borderId="30" xfId="0" applyFont="1" applyBorder="1" applyAlignment="1">
      <alignment vertical="center"/>
    </xf>
    <xf numFmtId="0" fontId="17" fillId="2" borderId="50" xfId="0" applyFont="1" applyFill="1" applyBorder="1" applyAlignment="1">
      <alignment horizontal="center" vertical="center"/>
    </xf>
    <xf numFmtId="0" fontId="15" fillId="0" borderId="155" xfId="0" applyFont="1" applyBorder="1"/>
    <xf numFmtId="0" fontId="0" fillId="0" borderId="156" xfId="0" applyBorder="1"/>
    <xf numFmtId="0" fontId="0" fillId="0" borderId="157" xfId="0" applyBorder="1"/>
    <xf numFmtId="0" fontId="15" fillId="0" borderId="41" xfId="0" applyFont="1" applyBorder="1"/>
    <xf numFmtId="0" fontId="0" fillId="0" borderId="41" xfId="0" applyBorder="1"/>
    <xf numFmtId="0" fontId="0" fillId="0" borderId="42" xfId="0" applyBorder="1"/>
    <xf numFmtId="0" fontId="15" fillId="0" borderId="29" xfId="0" applyFont="1" applyBorder="1"/>
    <xf numFmtId="0" fontId="15" fillId="0" borderId="30" xfId="0" applyFont="1" applyBorder="1"/>
    <xf numFmtId="0" fontId="15" fillId="0" borderId="52" xfId="0" applyFont="1" applyBorder="1"/>
    <xf numFmtId="0" fontId="18" fillId="2" borderId="85" xfId="0" applyFont="1" applyFill="1" applyBorder="1" applyAlignment="1">
      <alignment horizontal="center" vertical="center"/>
    </xf>
    <xf numFmtId="0" fontId="15" fillId="0" borderId="80" xfId="0" applyFont="1" applyBorder="1" applyAlignment="1">
      <alignment horizontal="center"/>
    </xf>
    <xf numFmtId="0" fontId="15" fillId="0" borderId="120" xfId="0" applyFont="1" applyBorder="1" applyAlignment="1">
      <alignment horizontal="center"/>
    </xf>
    <xf numFmtId="0" fontId="15" fillId="0" borderId="117" xfId="0" applyFont="1" applyBorder="1" applyAlignment="1">
      <alignment horizontal="center"/>
    </xf>
    <xf numFmtId="0" fontId="15" fillId="0" borderId="121" xfId="0" applyFont="1" applyBorder="1" applyAlignment="1">
      <alignment horizontal="center"/>
    </xf>
    <xf numFmtId="0" fontId="17" fillId="2" borderId="126" xfId="0" applyFont="1" applyFill="1" applyBorder="1" applyAlignment="1">
      <alignment horizontal="center" vertical="center"/>
    </xf>
    <xf numFmtId="0" fontId="15" fillId="0" borderId="126" xfId="0" applyFont="1" applyBorder="1" applyAlignment="1">
      <alignment vertical="center"/>
    </xf>
    <xf numFmtId="0" fontId="15" fillId="0" borderId="126" xfId="0" applyFont="1" applyBorder="1" applyAlignment="1">
      <alignment horizontal="center"/>
    </xf>
    <xf numFmtId="0" fontId="15" fillId="0" borderId="115" xfId="0" applyFont="1" applyBorder="1" applyAlignment="1">
      <alignment horizontal="left"/>
    </xf>
    <xf numFmtId="0" fontId="15" fillId="0" borderId="116" xfId="0" applyFont="1" applyBorder="1" applyAlignment="1">
      <alignment horizontal="left"/>
    </xf>
    <xf numFmtId="0" fontId="15" fillId="0" borderId="119" xfId="0" applyFont="1" applyBorder="1" applyAlignment="1">
      <alignment horizontal="left"/>
    </xf>
    <xf numFmtId="0" fontId="15" fillId="0" borderId="80" xfId="0" applyFont="1" applyBorder="1" applyAlignment="1">
      <alignment horizontal="center" vertical="center"/>
    </xf>
    <xf numFmtId="0" fontId="0" fillId="0" borderId="120" xfId="0" applyBorder="1" applyAlignment="1">
      <alignment horizontal="center"/>
    </xf>
    <xf numFmtId="0" fontId="17" fillId="2" borderId="128" xfId="0" applyFont="1" applyFill="1" applyBorder="1" applyAlignment="1">
      <alignment horizontal="left" vertical="center"/>
    </xf>
    <xf numFmtId="0" fontId="17" fillId="2" borderId="84" xfId="0" applyFont="1" applyFill="1" applyBorder="1" applyAlignment="1">
      <alignment horizontal="left" vertical="center"/>
    </xf>
    <xf numFmtId="0" fontId="17" fillId="2" borderId="129" xfId="0" applyFont="1" applyFill="1" applyBorder="1" applyAlignment="1">
      <alignment horizontal="left" vertical="center"/>
    </xf>
    <xf numFmtId="0" fontId="0" fillId="0" borderId="8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9" xfId="0" applyBorder="1" applyAlignment="1">
      <alignment horizontal="left"/>
    </xf>
    <xf numFmtId="0" fontId="15" fillId="0" borderId="128" xfId="0" applyFont="1" applyBorder="1"/>
    <xf numFmtId="0" fontId="15" fillId="0" borderId="84" xfId="0" applyFont="1" applyBorder="1"/>
    <xf numFmtId="0" fontId="15" fillId="0" borderId="129" xfId="0" applyFont="1" applyBorder="1"/>
    <xf numFmtId="0" fontId="15" fillId="0" borderId="104" xfId="0" applyFont="1" applyBorder="1"/>
    <xf numFmtId="0" fontId="15" fillId="0" borderId="83" xfId="0" applyFont="1" applyBorder="1"/>
    <xf numFmtId="0" fontId="15" fillId="0" borderId="133" xfId="0" applyFont="1" applyBorder="1"/>
    <xf numFmtId="0" fontId="24" fillId="0" borderId="85" xfId="0" applyFont="1" applyBorder="1" applyAlignment="1">
      <alignment horizontal="center" vertical="center"/>
    </xf>
    <xf numFmtId="0" fontId="0" fillId="0" borderId="85" xfId="0" applyBorder="1" applyAlignment="1">
      <alignment vertical="center"/>
    </xf>
    <xf numFmtId="0" fontId="15" fillId="0" borderId="115" xfId="0" applyFont="1" applyBorder="1" applyAlignment="1">
      <alignment horizontal="center"/>
    </xf>
    <xf numFmtId="0" fontId="15" fillId="0" borderId="119" xfId="0" applyFont="1" applyBorder="1" applyAlignment="1">
      <alignment horizontal="center"/>
    </xf>
    <xf numFmtId="2" fontId="15" fillId="0" borderId="80" xfId="0" applyNumberFormat="1" applyFont="1" applyBorder="1" applyAlignment="1">
      <alignment horizontal="center"/>
    </xf>
    <xf numFmtId="2" fontId="15" fillId="0" borderId="117" xfId="0" applyNumberFormat="1" applyFont="1" applyBorder="1" applyAlignment="1">
      <alignment horizontal="center"/>
    </xf>
    <xf numFmtId="2" fontId="15" fillId="5" borderId="80" xfId="0" applyNumberFormat="1" applyFont="1" applyFill="1" applyBorder="1" applyAlignment="1">
      <alignment horizontal="center"/>
    </xf>
    <xf numFmtId="2" fontId="15" fillId="5" borderId="120" xfId="0" applyNumberFormat="1" applyFont="1" applyFill="1" applyBorder="1" applyAlignment="1">
      <alignment horizontal="center"/>
    </xf>
    <xf numFmtId="2" fontId="15" fillId="5" borderId="117" xfId="0" applyNumberFormat="1" applyFont="1" applyFill="1" applyBorder="1" applyAlignment="1">
      <alignment horizontal="center"/>
    </xf>
    <xf numFmtId="2" fontId="15" fillId="5" borderId="121" xfId="0" applyNumberFormat="1" applyFont="1" applyFill="1" applyBorder="1" applyAlignment="1">
      <alignment horizontal="center"/>
    </xf>
    <xf numFmtId="2" fontId="17" fillId="5" borderId="80" xfId="0" applyNumberFormat="1" applyFont="1" applyFill="1" applyBorder="1" applyAlignment="1">
      <alignment horizontal="center" vertical="center"/>
    </xf>
    <xf numFmtId="2" fontId="17" fillId="5" borderId="120" xfId="0" applyNumberFormat="1" applyFont="1" applyFill="1" applyBorder="1" applyAlignment="1">
      <alignment horizontal="center" vertical="center"/>
    </xf>
    <xf numFmtId="0" fontId="15" fillId="0" borderId="131" xfId="0" applyFont="1" applyBorder="1"/>
    <xf numFmtId="0" fontId="15" fillId="0" borderId="132" xfId="0" applyFont="1" applyBorder="1"/>
    <xf numFmtId="0" fontId="15" fillId="0" borderId="80" xfId="0" applyFont="1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0" fillId="0" borderId="120" xfId="0" applyBorder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180" xfId="0" applyFont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0" fontId="57" fillId="0" borderId="19" xfId="0" applyFont="1" applyBorder="1" applyAlignment="1">
      <alignment vertical="center"/>
    </xf>
    <xf numFmtId="0" fontId="57" fillId="0" borderId="20" xfId="0" applyFont="1" applyBorder="1" applyAlignment="1">
      <alignment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57" fillId="0" borderId="22" xfId="0" applyFont="1" applyBorder="1" applyAlignment="1">
      <alignment vertical="center"/>
    </xf>
    <xf numFmtId="0" fontId="57" fillId="0" borderId="23" xfId="0" applyFont="1" applyBorder="1" applyAlignment="1">
      <alignment vertical="center"/>
    </xf>
    <xf numFmtId="0" fontId="20" fillId="0" borderId="25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57" fillId="0" borderId="17" xfId="0" applyFont="1" applyBorder="1" applyAlignment="1">
      <alignment vertical="center"/>
    </xf>
    <xf numFmtId="0" fontId="57" fillId="0" borderId="26" xfId="0" applyFont="1" applyBorder="1" applyAlignment="1">
      <alignment vertical="center"/>
    </xf>
    <xf numFmtId="0" fontId="20" fillId="0" borderId="16" xfId="0" applyFont="1" applyBorder="1" applyAlignment="1">
      <alignment horizontal="left" vertical="center"/>
    </xf>
    <xf numFmtId="4" fontId="15" fillId="5" borderId="59" xfId="0" applyNumberFormat="1" applyFont="1" applyFill="1" applyBorder="1" applyAlignment="1">
      <alignment horizontal="center" vertical="center"/>
    </xf>
    <xf numFmtId="4" fontId="15" fillId="5" borderId="24" xfId="0" applyNumberFormat="1" applyFont="1" applyFill="1" applyBorder="1" applyAlignment="1">
      <alignment horizontal="center" vertical="center"/>
    </xf>
    <xf numFmtId="0" fontId="15" fillId="0" borderId="86" xfId="0" applyFont="1" applyBorder="1" applyAlignment="1">
      <alignment horizontal="left" vertical="center"/>
    </xf>
    <xf numFmtId="0" fontId="15" fillId="0" borderId="87" xfId="0" applyFont="1" applyBorder="1" applyAlignment="1">
      <alignment horizontal="left" vertical="center"/>
    </xf>
    <xf numFmtId="0" fontId="15" fillId="0" borderId="88" xfId="0" applyFont="1" applyBorder="1" applyAlignment="1">
      <alignment horizontal="left" vertical="center"/>
    </xf>
    <xf numFmtId="0" fontId="15" fillId="0" borderId="94" xfId="0" applyFont="1" applyBorder="1" applyAlignment="1">
      <alignment horizontal="left" vertical="center"/>
    </xf>
    <xf numFmtId="0" fontId="15" fillId="0" borderId="95" xfId="0" applyFont="1" applyBorder="1" applyAlignment="1">
      <alignment horizontal="left" vertical="center"/>
    </xf>
    <xf numFmtId="0" fontId="15" fillId="0" borderId="96" xfId="0" applyFont="1" applyBorder="1" applyAlignment="1">
      <alignment horizontal="left" vertical="center"/>
    </xf>
    <xf numFmtId="4" fontId="15" fillId="0" borderId="59" xfId="0" applyNumberFormat="1" applyFont="1" applyBorder="1" applyAlignment="1">
      <alignment horizontal="center" vertical="center"/>
    </xf>
    <xf numFmtId="4" fontId="15" fillId="0" borderId="24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21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/>
    </xf>
    <xf numFmtId="0" fontId="18" fillId="0" borderId="23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20" fillId="0" borderId="187" xfId="0" applyFont="1" applyBorder="1" applyAlignment="1">
      <alignment horizontal="left" vertical="center"/>
    </xf>
    <xf numFmtId="0" fontId="20" fillId="0" borderId="188" xfId="0" applyFont="1" applyBorder="1" applyAlignment="1">
      <alignment horizontal="left" vertical="center"/>
    </xf>
    <xf numFmtId="0" fontId="20" fillId="0" borderId="189" xfId="0" applyFont="1" applyBorder="1" applyAlignment="1">
      <alignment horizontal="left" vertical="center"/>
    </xf>
    <xf numFmtId="0" fontId="20" fillId="0" borderId="94" xfId="0" applyFont="1" applyBorder="1" applyAlignment="1">
      <alignment horizontal="left" vertical="center"/>
    </xf>
    <xf numFmtId="0" fontId="20" fillId="0" borderId="95" xfId="0" applyFont="1" applyBorder="1" applyAlignment="1">
      <alignment horizontal="left" vertical="center"/>
    </xf>
    <xf numFmtId="0" fontId="20" fillId="0" borderId="96" xfId="0" applyFont="1" applyBorder="1" applyAlignment="1">
      <alignment horizontal="left" vertical="center"/>
    </xf>
    <xf numFmtId="0" fontId="20" fillId="0" borderId="161" xfId="0" applyFont="1" applyBorder="1" applyAlignment="1">
      <alignment horizontal="left" vertical="center"/>
    </xf>
    <xf numFmtId="0" fontId="20" fillId="0" borderId="162" xfId="0" applyFont="1" applyBorder="1" applyAlignment="1">
      <alignment horizontal="left" vertical="center"/>
    </xf>
    <xf numFmtId="0" fontId="20" fillId="0" borderId="186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0" fillId="0" borderId="86" xfId="0" applyFont="1" applyBorder="1" applyAlignment="1">
      <alignment horizontal="left" vertical="center"/>
    </xf>
    <xf numFmtId="0" fontId="20" fillId="0" borderId="87" xfId="0" applyFont="1" applyBorder="1" applyAlignment="1">
      <alignment horizontal="left" vertical="center"/>
    </xf>
    <xf numFmtId="0" fontId="20" fillId="0" borderId="88" xfId="0" applyFont="1" applyBorder="1" applyAlignment="1">
      <alignment horizontal="left" vertical="center"/>
    </xf>
    <xf numFmtId="0" fontId="20" fillId="0" borderId="18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18" fillId="0" borderId="16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15" fillId="0" borderId="90" xfId="0" applyFont="1" applyBorder="1" applyAlignment="1">
      <alignment horizontal="left" vertical="center"/>
    </xf>
    <xf numFmtId="0" fontId="15" fillId="0" borderId="91" xfId="0" applyFont="1" applyBorder="1" applyAlignment="1">
      <alignment horizontal="left" vertical="center"/>
    </xf>
    <xf numFmtId="0" fontId="15" fillId="0" borderId="9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18" fillId="0" borderId="21" xfId="0" applyFont="1" applyBorder="1" applyAlignment="1">
      <alignment horizontal="left"/>
    </xf>
    <xf numFmtId="0" fontId="18" fillId="0" borderId="2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26" xfId="0" applyFont="1" applyBorder="1" applyAlignment="1">
      <alignment horizontal="left"/>
    </xf>
    <xf numFmtId="0" fontId="18" fillId="0" borderId="85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69" xfId="0" applyFont="1" applyBorder="1" applyAlignment="1">
      <alignment horizontal="left"/>
    </xf>
    <xf numFmtId="0" fontId="18" fillId="0" borderId="18" xfId="0" applyFont="1" applyBorder="1" applyAlignment="1">
      <alignment horizontal="left" vertical="top"/>
    </xf>
    <xf numFmtId="0" fontId="18" fillId="0" borderId="19" xfId="0" applyFont="1" applyBorder="1" applyAlignment="1">
      <alignment horizontal="left" vertical="top"/>
    </xf>
    <xf numFmtId="0" fontId="18" fillId="0" borderId="20" xfId="0" applyFont="1" applyBorder="1" applyAlignment="1">
      <alignment horizontal="left" vertical="top"/>
    </xf>
    <xf numFmtId="0" fontId="18" fillId="0" borderId="0" xfId="0" applyFont="1" applyAlignment="1">
      <alignment horizontal="left" vertical="center"/>
    </xf>
    <xf numFmtId="165" fontId="19" fillId="0" borderId="0" xfId="0" applyNumberFormat="1" applyFont="1" applyAlignment="1" applyProtection="1">
      <alignment horizontal="left" vertical="center"/>
      <protection locked="0"/>
    </xf>
    <xf numFmtId="0" fontId="54" fillId="0" borderId="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5" fillId="0" borderId="86" xfId="0" applyFont="1" applyBorder="1" applyAlignment="1">
      <alignment horizontal="left"/>
    </xf>
    <xf numFmtId="0" fontId="15" fillId="0" borderId="87" xfId="0" applyFont="1" applyBorder="1" applyAlignment="1">
      <alignment horizontal="left"/>
    </xf>
    <xf numFmtId="0" fontId="15" fillId="0" borderId="88" xfId="0" applyFont="1" applyBorder="1" applyAlignment="1">
      <alignment horizontal="left"/>
    </xf>
    <xf numFmtId="0" fontId="15" fillId="0" borderId="90" xfId="0" applyFont="1" applyBorder="1" applyAlignment="1">
      <alignment horizontal="left"/>
    </xf>
    <xf numFmtId="0" fontId="15" fillId="0" borderId="91" xfId="0" applyFont="1" applyBorder="1" applyAlignment="1">
      <alignment horizontal="left"/>
    </xf>
    <xf numFmtId="0" fontId="15" fillId="0" borderId="92" xfId="0" applyFont="1" applyBorder="1" applyAlignment="1">
      <alignment horizontal="left"/>
    </xf>
    <xf numFmtId="0" fontId="18" fillId="0" borderId="59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top"/>
    </xf>
    <xf numFmtId="0" fontId="18" fillId="0" borderId="25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26" xfId="0" applyFont="1" applyBorder="1" applyAlignment="1">
      <alignment horizontal="left" vertical="top"/>
    </xf>
    <xf numFmtId="0" fontId="20" fillId="0" borderId="18" xfId="0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0" fillId="0" borderId="59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14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5" fillId="0" borderId="94" xfId="0" applyFont="1" applyBorder="1" applyAlignment="1">
      <alignment horizontal="left"/>
    </xf>
    <xf numFmtId="0" fontId="15" fillId="0" borderId="95" xfId="0" applyFont="1" applyBorder="1" applyAlignment="1">
      <alignment horizontal="left"/>
    </xf>
    <xf numFmtId="0" fontId="15" fillId="0" borderId="96" xfId="0" applyFont="1" applyBorder="1" applyAlignment="1">
      <alignment horizontal="left"/>
    </xf>
    <xf numFmtId="0" fontId="17" fillId="0" borderId="43" xfId="0" applyFont="1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7" fillId="0" borderId="55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0" borderId="124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143" xfId="0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/>
    </xf>
    <xf numFmtId="0" fontId="17" fillId="0" borderId="144" xfId="0" applyFont="1" applyBorder="1" applyAlignment="1">
      <alignment horizontal="center" vertical="center"/>
    </xf>
    <xf numFmtId="0" fontId="17" fillId="2" borderId="143" xfId="0" applyFont="1" applyFill="1" applyBorder="1"/>
    <xf numFmtId="0" fontId="17" fillId="2" borderId="125" xfId="0" applyFont="1" applyFill="1" applyBorder="1"/>
    <xf numFmtId="0" fontId="17" fillId="2" borderId="144" xfId="0" applyFont="1" applyFill="1" applyBorder="1"/>
    <xf numFmtId="0" fontId="47" fillId="0" borderId="71" xfId="0" applyFont="1" applyBorder="1"/>
    <xf numFmtId="0" fontId="47" fillId="0" borderId="72" xfId="0" applyFont="1" applyBorder="1"/>
    <xf numFmtId="0" fontId="47" fillId="0" borderId="73" xfId="0" applyFont="1" applyBorder="1"/>
    <xf numFmtId="0" fontId="46" fillId="0" borderId="77" xfId="0" applyFont="1" applyBorder="1"/>
    <xf numFmtId="0" fontId="46" fillId="0" borderId="78" xfId="0" applyFont="1" applyBorder="1"/>
    <xf numFmtId="0" fontId="46" fillId="0" borderId="79" xfId="0" applyFont="1" applyBorder="1"/>
    <xf numFmtId="0" fontId="17" fillId="0" borderId="43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46" fillId="0" borderId="74" xfId="0" applyFont="1" applyBorder="1"/>
    <xf numFmtId="0" fontId="46" fillId="0" borderId="75" xfId="0" applyFont="1" applyBorder="1"/>
    <xf numFmtId="0" fontId="46" fillId="0" borderId="76" xfId="0" applyFont="1" applyBorder="1"/>
    <xf numFmtId="0" fontId="17" fillId="0" borderId="28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58" xfId="0" applyFont="1" applyBorder="1" applyAlignment="1">
      <alignment horizontal="left" vertical="center"/>
    </xf>
    <xf numFmtId="0" fontId="17" fillId="0" borderId="44" xfId="0" applyFont="1" applyBorder="1" applyAlignment="1">
      <alignment horizontal="left" vertical="center"/>
    </xf>
    <xf numFmtId="0" fontId="17" fillId="0" borderId="146" xfId="0" applyFont="1" applyBorder="1" applyAlignment="1">
      <alignment horizontal="center" vertical="center"/>
    </xf>
    <xf numFmtId="0" fontId="17" fillId="0" borderId="143" xfId="0" applyFont="1" applyBorder="1" applyAlignment="1">
      <alignment horizontal="left" vertical="center"/>
    </xf>
    <xf numFmtId="0" fontId="0" fillId="0" borderId="125" xfId="0" applyBorder="1" applyAlignment="1">
      <alignment horizontal="left" vertical="center"/>
    </xf>
    <xf numFmtId="0" fontId="0" fillId="0" borderId="144" xfId="0" applyBorder="1" applyAlignment="1">
      <alignment horizontal="left" vertical="center"/>
    </xf>
    <xf numFmtId="0" fontId="46" fillId="0" borderId="74" xfId="0" applyFont="1" applyBorder="1" applyAlignment="1">
      <alignment horizontal="left" vertical="top"/>
    </xf>
    <xf numFmtId="0" fontId="0" fillId="0" borderId="75" xfId="0" applyBorder="1" applyAlignment="1">
      <alignment horizontal="left" vertical="top"/>
    </xf>
    <xf numFmtId="0" fontId="0" fillId="0" borderId="76" xfId="0" applyBorder="1" applyAlignment="1">
      <alignment horizontal="left" vertical="top"/>
    </xf>
    <xf numFmtId="0" fontId="17" fillId="0" borderId="28" xfId="0" applyFont="1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47" fillId="0" borderId="71" xfId="0" applyFont="1" applyBorder="1" applyAlignment="1">
      <alignment horizontal="left" vertical="top"/>
    </xf>
    <xf numFmtId="0" fontId="0" fillId="0" borderId="72" xfId="0" applyBorder="1" applyAlignment="1">
      <alignment horizontal="left" vertical="top"/>
    </xf>
    <xf numFmtId="0" fontId="0" fillId="0" borderId="73" xfId="0" applyBorder="1" applyAlignment="1">
      <alignment horizontal="left" vertical="top"/>
    </xf>
    <xf numFmtId="0" fontId="15" fillId="0" borderId="78" xfId="0" applyFont="1" applyBorder="1" applyAlignment="1">
      <alignment horizontal="left" vertical="center"/>
    </xf>
    <xf numFmtId="0" fontId="15" fillId="0" borderId="120" xfId="0" applyFont="1" applyBorder="1" applyAlignment="1">
      <alignment horizontal="left" vertical="center"/>
    </xf>
    <xf numFmtId="0" fontId="15" fillId="0" borderId="115" xfId="0" applyFont="1" applyBorder="1" applyAlignment="1">
      <alignment horizontal="left" vertical="center"/>
    </xf>
    <xf numFmtId="0" fontId="15" fillId="0" borderId="116" xfId="0" applyFont="1" applyBorder="1" applyAlignment="1">
      <alignment horizontal="left" vertical="center"/>
    </xf>
    <xf numFmtId="0" fontId="15" fillId="0" borderId="119" xfId="0" applyFont="1" applyBorder="1" applyAlignment="1">
      <alignment horizontal="left" vertical="center"/>
    </xf>
    <xf numFmtId="0" fontId="15" fillId="0" borderId="117" xfId="0" applyFont="1" applyBorder="1" applyAlignment="1">
      <alignment horizontal="left" vertical="center"/>
    </xf>
    <xf numFmtId="0" fontId="15" fillId="0" borderId="118" xfId="0" applyFont="1" applyBorder="1" applyAlignment="1">
      <alignment horizontal="left" vertical="center"/>
    </xf>
    <xf numFmtId="0" fontId="15" fillId="0" borderId="121" xfId="0" applyFont="1" applyBorder="1" applyAlignment="1">
      <alignment horizontal="left" vertical="center"/>
    </xf>
    <xf numFmtId="0" fontId="15" fillId="0" borderId="106" xfId="0" applyFont="1" applyBorder="1" applyAlignment="1">
      <alignment horizontal="center" vertical="top"/>
    </xf>
    <xf numFmtId="0" fontId="15" fillId="0" borderId="109" xfId="0" applyFont="1" applyBorder="1" applyAlignment="1">
      <alignment horizontal="left" vertical="center"/>
    </xf>
    <xf numFmtId="0" fontId="15" fillId="0" borderId="106" xfId="0" applyFont="1" applyBorder="1" applyAlignment="1">
      <alignment horizontal="left" vertical="center"/>
    </xf>
    <xf numFmtId="0" fontId="15" fillId="0" borderId="64" xfId="0" applyFont="1" applyBorder="1" applyAlignment="1">
      <alignment horizontal="left" vertical="center"/>
    </xf>
    <xf numFmtId="0" fontId="15" fillId="0" borderId="65" xfId="0" applyFont="1" applyBorder="1" applyAlignment="1">
      <alignment horizontal="left" vertical="center"/>
    </xf>
    <xf numFmtId="2" fontId="15" fillId="0" borderId="106" xfId="0" applyNumberFormat="1" applyFont="1" applyBorder="1" applyAlignment="1">
      <alignment horizontal="center" vertical="center"/>
    </xf>
    <xf numFmtId="2" fontId="15" fillId="0" borderId="110" xfId="0" applyNumberFormat="1" applyFont="1" applyBorder="1" applyAlignment="1">
      <alignment horizontal="center" vertical="center"/>
    </xf>
    <xf numFmtId="2" fontId="15" fillId="0" borderId="65" xfId="0" applyNumberFormat="1" applyFont="1" applyBorder="1" applyAlignment="1">
      <alignment horizontal="center" vertical="center"/>
    </xf>
    <xf numFmtId="2" fontId="15" fillId="0" borderId="66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07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center" vertical="center" wrapText="1"/>
    </xf>
    <xf numFmtId="0" fontId="16" fillId="0" borderId="107" xfId="0" applyFont="1" applyBorder="1" applyAlignment="1">
      <alignment horizontal="center" vertical="center"/>
    </xf>
    <xf numFmtId="0" fontId="16" fillId="0" borderId="10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top"/>
    </xf>
    <xf numFmtId="164" fontId="15" fillId="0" borderId="68" xfId="0" applyNumberFormat="1" applyFont="1" applyBorder="1" applyAlignment="1">
      <alignment horizontal="center" vertical="center"/>
    </xf>
    <xf numFmtId="164" fontId="15" fillId="0" borderId="69" xfId="0" applyNumberFormat="1" applyFont="1" applyBorder="1" applyAlignment="1">
      <alignment horizontal="center" vertical="center"/>
    </xf>
    <xf numFmtId="164" fontId="15" fillId="0" borderId="70" xfId="0" applyNumberFormat="1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top"/>
    </xf>
    <xf numFmtId="0" fontId="15" fillId="0" borderId="65" xfId="0" applyFont="1" applyBorder="1" applyAlignment="1">
      <alignment horizontal="center" vertical="top"/>
    </xf>
    <xf numFmtId="0" fontId="16" fillId="0" borderId="18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center" vertical="top" wrapText="1"/>
    </xf>
    <xf numFmtId="0" fontId="28" fillId="2" borderId="0" xfId="0" applyFont="1" applyFill="1" applyAlignment="1">
      <alignment horizontal="left"/>
    </xf>
    <xf numFmtId="0" fontId="22" fillId="0" borderId="0" xfId="0" applyFont="1" applyAlignment="1">
      <alignment horizontal="center"/>
    </xf>
    <xf numFmtId="0" fontId="22" fillId="0" borderId="47" xfId="0" applyFont="1" applyBorder="1"/>
    <xf numFmtId="0" fontId="0" fillId="0" borderId="47" xfId="0" applyBorder="1"/>
    <xf numFmtId="0" fontId="0" fillId="0" borderId="48" xfId="0" applyBorder="1"/>
    <xf numFmtId="0" fontId="22" fillId="0" borderId="47" xfId="0" applyFont="1" applyBorder="1" applyAlignment="1">
      <alignment horizontal="left"/>
    </xf>
    <xf numFmtId="0" fontId="22" fillId="0" borderId="48" xfId="0" applyFont="1" applyBorder="1" applyAlignment="1">
      <alignment horizontal="left"/>
    </xf>
    <xf numFmtId="0" fontId="22" fillId="0" borderId="41" xfId="0" applyFont="1" applyBorder="1"/>
    <xf numFmtId="0" fontId="17" fillId="0" borderId="41" xfId="0" applyFont="1" applyBorder="1"/>
    <xf numFmtId="0" fontId="17" fillId="0" borderId="42" xfId="0" applyFont="1" applyBorder="1"/>
    <xf numFmtId="0" fontId="22" fillId="0" borderId="41" xfId="0" applyFont="1" applyBorder="1" applyAlignment="1">
      <alignment horizontal="left"/>
    </xf>
    <xf numFmtId="0" fontId="17" fillId="0" borderId="41" xfId="0" applyFont="1" applyBorder="1" applyAlignment="1">
      <alignment horizontal="left"/>
    </xf>
    <xf numFmtId="0" fontId="17" fillId="0" borderId="42" xfId="0" applyFont="1" applyBorder="1" applyAlignment="1">
      <alignment horizontal="left"/>
    </xf>
    <xf numFmtId="0" fontId="46" fillId="0" borderId="0" xfId="0" applyFont="1"/>
    <xf numFmtId="0" fontId="27" fillId="0" borderId="0" xfId="0" applyFont="1"/>
    <xf numFmtId="0" fontId="46" fillId="0" borderId="0" xfId="0" applyFont="1" applyAlignment="1">
      <alignment horizontal="left" wrapText="1"/>
    </xf>
    <xf numFmtId="0" fontId="46" fillId="0" borderId="0" xfId="0" applyFont="1" applyAlignment="1">
      <alignment wrapText="1"/>
    </xf>
    <xf numFmtId="0" fontId="17" fillId="0" borderId="47" xfId="0" applyFont="1" applyBorder="1"/>
    <xf numFmtId="0" fontId="17" fillId="0" borderId="48" xfId="0" applyFont="1" applyBorder="1"/>
    <xf numFmtId="0" fontId="27" fillId="0" borderId="0" xfId="0" applyFont="1" applyAlignment="1">
      <alignment wrapText="1"/>
    </xf>
  </cellXfs>
  <cellStyles count="2">
    <cellStyle name="Hyperlink" xfId="1" builtinId="8"/>
    <cellStyle name="Standaard" xfId="0" builtinId="0"/>
  </cellStyles>
  <dxfs count="14"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nt-nar.be/CAO-COORD/cao-043.pdf" TargetMode="External"/><Relationship Id="rId13" Type="http://schemas.openxmlformats.org/officeDocument/2006/relationships/hyperlink" Target="http://www.ejustice.just.fgov.be/cgi_loi/loi_a1.pl?imgcn.x=43&amp;imgcn.y=8&amp;DETAIL=2000011730%2FN&amp;caller=list&amp;row_id=1&amp;numero=7&amp;rech=8&amp;cn=2000011730&amp;table_name=WET&amp;nm=2000022082&amp;la=N&amp;chercher=t&amp;language=nl&amp;choix1=EN&amp;choix2=EN&amp;fromtab=wet_all&amp;nl=n&amp;sql=dd+%3D+date%272000-01-17%27and+actif+%3D+%27Y%27&amp;ddda=2000&amp;tri=dd+AS+RANK+&amp;trier=afkondiging&amp;dddj=17&amp;dddm=01" TargetMode="External"/><Relationship Id="rId3" Type="http://schemas.openxmlformats.org/officeDocument/2006/relationships/hyperlink" Target="http://www.ejustice.just.fgov.be/cgi_loi/loi_a1.pl?imgcn.x=47&amp;imgcn.y=14&amp;DETAIL=2003032643%2FN&amp;caller=list&amp;row_id=31&amp;numero=51&amp;rech=53&amp;cn=2003032643&amp;table_name=WET&amp;nm=2003200527&amp;la=N&amp;language=nl&amp;chercher=t&amp;choix1=EN&amp;choix2=EN&amp;fromtab=wet_all&amp;btnnext.x=45&amp;nl=n&amp;btnnext.y=9&amp;sql=dd+%3D+date%272003-03-26%27and+actif+%3D+%27Y%27&amp;ddda=2003&amp;tri=dd+AS+RANK+&amp;trier=afkondiging&amp;dddj=26&amp;dddm=03" TargetMode="External"/><Relationship Id="rId7" Type="http://schemas.openxmlformats.org/officeDocument/2006/relationships/hyperlink" Target="http://www.ejustice.just.fgov.be/cgi_loi/loi_a1.pl?imgcn.x=37&amp;imgcn.y=7&amp;DETAIL=1978022401%2FN&amp;caller=list&amp;row_id=1&amp;numero=2&amp;rech=24&amp;cn=1978022401&amp;table_name=WET&amp;nm=1978022402&amp;la=N&amp;chercher=t&amp;language=nl&amp;choix1=EN&amp;choix2=EN&amp;fromtab=wet_all&amp;nl=n&amp;sql=dd+%3D+date%271978-02-24%27and+actif+%3D+%27Y%27&amp;ddda=1978&amp;tri=dd+AS+RANK+&amp;trier=afkondiging&amp;dddj=24&amp;dddm=02" TargetMode="External"/><Relationship Id="rId12" Type="http://schemas.openxmlformats.org/officeDocument/2006/relationships/hyperlink" Target="http://www.ejustice.just.fgov.be/cgi_loi/loi_a1.pl?imgcn.x=43&amp;imgcn.y=8&amp;DETAIL=2000011730%2FN&amp;caller=list&amp;row_id=1&amp;numero=7&amp;rech=8&amp;cn=2000011730&amp;table_name=WET&amp;nm=2000022082&amp;la=N&amp;chercher=t&amp;language=nl&amp;choix1=EN&amp;choix2=EN&amp;fromtab=wet_all&amp;nl=n&amp;sql=dd+%3D+date%272000-01-17%27and+actif+%3D+%27Y%27&amp;ddda=2000&amp;tri=dd+AS+RANK+&amp;trier=afkondiging&amp;dddj=17&amp;dddm=01" TargetMode="External"/><Relationship Id="rId2" Type="http://schemas.openxmlformats.org/officeDocument/2006/relationships/hyperlink" Target="http://www.ejustice.just.fgov.be/cgi_loi/loi_a1.pl?imgcn.x=57&amp;imgcn.y=10&amp;DETAIL=1999060150%2FN&amp;caller=list&amp;row_id=1&amp;numero=29&amp;rech=39&amp;cn=1999060150&amp;table_name=WET&amp;nm=1999012526&amp;la=N&amp;chercher=t&amp;language=nl&amp;choix1=EN&amp;choix2=EN&amp;fromtab=wet_all&amp;nl=n&amp;sql=dd+%3D+date%271999-06-01%27and+actif+%3D+%27Y%27&amp;ddda=1999&amp;tri=dd+AS+RANK+&amp;trier=afkondiging&amp;dddj=01&amp;dddm=06" TargetMode="External"/><Relationship Id="rId16" Type="http://schemas.openxmlformats.org/officeDocument/2006/relationships/printerSettings" Target="../printerSettings/printerSettings12.bin"/><Relationship Id="rId1" Type="http://schemas.openxmlformats.org/officeDocument/2006/relationships/hyperlink" Target="http://www.ejustice.just.fgov.be/cgi_loi/loi_a1.pl?imgcn.x=57&amp;imgcn.y=10&amp;DETAIL=1999060150%2FN&amp;caller=list&amp;row_id=1&amp;numero=29&amp;rech=39&amp;cn=1999060150&amp;table_name=WET&amp;nm=1999012526&amp;la=N&amp;chercher=t&amp;language=nl&amp;choix1=EN&amp;choix2=EN&amp;fromtab=wet_all&amp;nl=n&amp;sql=dd+%3D+date%271999-06-01%27and+actif+%3D+%27Y%27&amp;ddda=1999&amp;tri=dd+AS+RANK+&amp;trier=afkondiging&amp;dddj=01&amp;dddm=06" TargetMode="External"/><Relationship Id="rId6" Type="http://schemas.openxmlformats.org/officeDocument/2006/relationships/hyperlink" Target="http://www.ejustice.just.fgov.be/cgi_loi/loi_a1.pl?imgcn.x=54&amp;imgcn.y=14&amp;DETAIL=2005070359%2FN&amp;caller=list&amp;row_id=31&amp;numero=41&amp;rech=59&amp;cn=2005070359&amp;table_name=WET&amp;nm=2005022674&amp;la=N&amp;language=nl&amp;chercher=t&amp;choix1=EN&amp;choix2=EN&amp;fromtab=wet_all&amp;btnnext.x=19&amp;nl=n&amp;btnnext.y=7&amp;sql=dd+%3D+date%272005-07-03%27and+actif+%3D+%27Y%27&amp;ddda=2005&amp;tri=dd+AS+RANK+&amp;trier=afkondiging&amp;dddj=03&amp;dddm=07" TargetMode="External"/><Relationship Id="rId11" Type="http://schemas.openxmlformats.org/officeDocument/2006/relationships/hyperlink" Target="http://www.ejustice.just.fgov.be/cgi_loi/loi_a1.pl?imgcn.x=43&amp;imgcn.y=8&amp;DETAIL=2000011730%2FN&amp;caller=list&amp;row_id=1&amp;numero=7&amp;rech=8&amp;cn=2000011730&amp;table_name=WET&amp;nm=2000022082&amp;la=N&amp;chercher=t&amp;language=nl&amp;choix1=EN&amp;choix2=EN&amp;fromtab=wet_all&amp;nl=n&amp;sql=dd+%3D+date%272000-01-17%27and+actif+%3D+%27Y%27&amp;ddda=2000&amp;tri=dd+AS+RANK+&amp;trier=afkondiging&amp;dddj=17&amp;dddm=01" TargetMode="External"/><Relationship Id="rId5" Type="http://schemas.openxmlformats.org/officeDocument/2006/relationships/hyperlink" Target="http://www.ejustice.just.fgov.be/cgi_loi/loi_a1.pl?imgcn.x=54&amp;imgcn.y=14&amp;DETAIL=2005070359%2FN&amp;caller=list&amp;row_id=31&amp;numero=41&amp;rech=59&amp;cn=2005070359&amp;table_name=WET&amp;nm=2005022674&amp;la=N&amp;language=nl&amp;chercher=t&amp;choix1=EN&amp;choix2=EN&amp;fromtab=wet_all&amp;btnnext.x=19&amp;nl=n&amp;btnnext.y=7&amp;sql=dd+%3D+date%272005-07-03%27and+actif+%3D+%27Y%27&amp;ddda=2005&amp;tri=dd+AS+RANK+&amp;trier=afkondiging&amp;dddj=03&amp;dddm=07" TargetMode="External"/><Relationship Id="rId15" Type="http://schemas.openxmlformats.org/officeDocument/2006/relationships/hyperlink" Target="https://www.ejustice.just.fgov.be/cgi_wet/article.pl?language=nl&amp;sum_date=&amp;pd_search=2002-07-31&amp;numac_search=2002022559&amp;page=1&amp;lg_txt=N&amp;caller=list&amp;2002022559=4&amp;trier=afkondiging&amp;dt=WET&amp;ddd=2002-05-26&amp;nl=n&amp;choix1=en&amp;choix2=en" TargetMode="External"/><Relationship Id="rId10" Type="http://schemas.openxmlformats.org/officeDocument/2006/relationships/hyperlink" Target="http://www.ejustice.just.fgov.be/cgi_loi/loi_a1.pl?imgcn.x=43&amp;imgcn.y=8&amp;DETAIL=2000011730%2FN&amp;caller=list&amp;row_id=1&amp;numero=7&amp;rech=8&amp;cn=2000011730&amp;table_name=WET&amp;nm=2000022082&amp;la=N&amp;chercher=t&amp;language=nl&amp;choix1=EN&amp;choix2=EN&amp;fromtab=wet_all&amp;nl=n&amp;sql=dd+%3D+date%272000-01-17%27and+actif+%3D+%27Y%27&amp;ddda=2000&amp;tri=dd+AS+RANK+&amp;trier=afkondiging&amp;dddj=17&amp;dddm=01" TargetMode="External"/><Relationship Id="rId4" Type="http://schemas.openxmlformats.org/officeDocument/2006/relationships/hyperlink" Target="https://www.ejustice.just.fgov.be/cgi_wet/article.pl?language=nl&amp;sum_date=&amp;pd_search=2002-07-31&amp;numac_search=2002022559&amp;page=1&amp;lg_txt=N&amp;caller=list&amp;2002022559=4&amp;trier=afkondiging&amp;dt=WET&amp;ddd=2002-05-26&amp;nl=n&amp;choix1=en&amp;choix2=en" TargetMode="External"/><Relationship Id="rId9" Type="http://schemas.openxmlformats.org/officeDocument/2006/relationships/hyperlink" Target="http://www.ejustice.just.fgov.be/cgi_loi/loi_a1.pl?imgcn.x=29&amp;imgcn.y=11&amp;DETAIL=2007050353%2FN&amp;caller=list&amp;row_id=1&amp;numero=1&amp;rech=1&amp;cn=2007050353&amp;table_name=WET&amp;nm=2007201609&amp;la=N&amp;chercher=t&amp;language=nl&amp;choix1=EN&amp;choix2=EN&amp;text1=werkloosheid&amp;fromtab=wet_all&amp;nl=n&amp;sql=dd+%3D+date%272007-05-03%27+and+%28%28+tit+contains++%28+%27werkloosheid%27%29+++%29+or+%28+text+contains++%28+%27werkloosheid%27%29+++%29%29and+actif+%3D+%27Y%27&amp;ddda=2007&amp;tri=dd+AS+RANK+&amp;trier=afkondiging&amp;dddj=03&amp;dddm=05" TargetMode="External"/><Relationship Id="rId14" Type="http://schemas.openxmlformats.org/officeDocument/2006/relationships/hyperlink" Target="http://www.ejustice.just.fgov.be/cgi_loi/loi_a1.pl?imgcn.x=43&amp;imgcn.y=8&amp;DETAIL=2000011730%2FN&amp;caller=list&amp;row_id=1&amp;numero=7&amp;rech=8&amp;cn=2000011730&amp;table_name=WET&amp;nm=2000022082&amp;la=N&amp;chercher=t&amp;language=nl&amp;choix1=EN&amp;choix2=EN&amp;fromtab=wet_all&amp;nl=n&amp;sql=dd+%3D+date%272000-01-17%27and+actif+%3D+%27Y%27&amp;ddda=2000&amp;tri=dd+AS+RANK+&amp;trier=afkondiging&amp;dddj=17&amp;dddm=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"/>
  <sheetViews>
    <sheetView showGridLines="0" tabSelected="1" zoomScaleNormal="100" workbookViewId="0">
      <pane xSplit="2" ySplit="12" topLeftCell="C54" activePane="bottomRight" state="frozen"/>
      <selection activeCell="B2" sqref="B2:C2"/>
      <selection pane="topRight" activeCell="B2" sqref="B2:C2"/>
      <selection pane="bottomLeft" activeCell="B2" sqref="B2:C2"/>
      <selection pane="bottomRight" activeCell="A2" sqref="A2"/>
    </sheetView>
  </sheetViews>
  <sheetFormatPr defaultColWidth="9.109375" defaultRowHeight="14.4" outlineLevelRow="1"/>
  <cols>
    <col min="1" max="1" width="16.5546875" customWidth="1"/>
    <col min="2" max="2" width="0.6640625" customWidth="1"/>
    <col min="6" max="6" width="0.6640625" customWidth="1"/>
    <col min="7" max="7" width="8.88671875" customWidth="1"/>
    <col min="8" max="8" width="0.6640625" customWidth="1"/>
    <col min="9" max="9" width="9.5546875" customWidth="1"/>
    <col min="12" max="12" width="0.6640625" customWidth="1"/>
    <col min="13" max="13" width="9.109375" collapsed="1"/>
    <col min="14" max="14" width="0.6640625" customWidth="1"/>
    <col min="18" max="18" width="0.6640625" customWidth="1"/>
    <col min="19" max="19" width="9.109375" customWidth="1"/>
    <col min="20" max="20" width="9.109375" collapsed="1"/>
  </cols>
  <sheetData>
    <row r="1" spans="1:23" ht="15" customHeight="1">
      <c r="A1" s="39" t="s">
        <v>5</v>
      </c>
      <c r="C1" s="449" t="s">
        <v>360</v>
      </c>
      <c r="D1" s="449"/>
      <c r="E1" s="449"/>
      <c r="F1" s="449"/>
      <c r="G1" s="449"/>
      <c r="H1" s="449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1" t="s">
        <v>6</v>
      </c>
      <c r="V1" s="451"/>
      <c r="W1" s="334">
        <f>Basisbedragen!$I$2</f>
        <v>1.8113999999999999</v>
      </c>
    </row>
    <row r="2" spans="1:23" ht="15.6">
      <c r="A2" s="332">
        <v>46266</v>
      </c>
      <c r="C2" s="449" t="s">
        <v>361</v>
      </c>
      <c r="D2" s="449"/>
      <c r="E2" s="449"/>
      <c r="F2" s="449"/>
      <c r="G2" s="449"/>
      <c r="H2" s="449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</row>
    <row r="3" spans="1:23" ht="15.6">
      <c r="A3" s="332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3" ht="15.6">
      <c r="A4" s="332"/>
      <c r="C4" s="455" t="s">
        <v>391</v>
      </c>
      <c r="D4" s="456"/>
      <c r="E4" s="456"/>
      <c r="F4" s="456"/>
      <c r="G4" s="457"/>
      <c r="H4" s="107"/>
      <c r="I4" s="455" t="s">
        <v>392</v>
      </c>
      <c r="J4" s="456"/>
      <c r="K4" s="456"/>
      <c r="L4" s="456"/>
      <c r="M4" s="457"/>
      <c r="N4" s="107"/>
      <c r="O4" s="455" t="s">
        <v>393</v>
      </c>
      <c r="P4" s="456"/>
      <c r="Q4" s="456"/>
      <c r="R4" s="456"/>
      <c r="S4" s="456"/>
      <c r="T4" s="457"/>
    </row>
    <row r="5" spans="1:23" ht="15.6">
      <c r="A5" s="332"/>
      <c r="C5" s="458"/>
      <c r="D5" s="459"/>
      <c r="E5" s="459"/>
      <c r="F5" s="459"/>
      <c r="G5" s="460"/>
      <c r="H5" s="107"/>
      <c r="I5" s="458"/>
      <c r="J5" s="459"/>
      <c r="K5" s="459"/>
      <c r="L5" s="459"/>
      <c r="M5" s="460"/>
      <c r="N5" s="107"/>
      <c r="O5" s="458"/>
      <c r="P5" s="459"/>
      <c r="Q5" s="459"/>
      <c r="R5" s="459"/>
      <c r="S5" s="461"/>
      <c r="T5" s="462"/>
    </row>
    <row r="6" spans="1:23">
      <c r="A6" s="41"/>
      <c r="C6" s="452" t="s">
        <v>8</v>
      </c>
      <c r="D6" s="453"/>
      <c r="E6" s="454"/>
      <c r="F6" s="291"/>
      <c r="G6" s="403" t="s">
        <v>362</v>
      </c>
      <c r="H6" s="291"/>
      <c r="I6" s="452" t="s">
        <v>8</v>
      </c>
      <c r="J6" s="453"/>
      <c r="K6" s="454"/>
      <c r="L6" s="291"/>
      <c r="M6" s="403" t="s">
        <v>362</v>
      </c>
      <c r="N6" s="291"/>
      <c r="O6" s="452" t="s">
        <v>8</v>
      </c>
      <c r="P6" s="453"/>
      <c r="Q6" s="454"/>
      <c r="R6" s="387"/>
      <c r="S6" s="405" t="s">
        <v>362</v>
      </c>
      <c r="T6" s="406" t="s">
        <v>363</v>
      </c>
    </row>
    <row r="7" spans="1:23">
      <c r="A7" s="41"/>
      <c r="C7" s="400"/>
      <c r="D7" s="401" t="s">
        <v>394</v>
      </c>
      <c r="E7" s="402"/>
      <c r="F7" s="291"/>
      <c r="G7" s="404" t="s">
        <v>363</v>
      </c>
      <c r="H7" s="291"/>
      <c r="I7" s="400"/>
      <c r="J7" s="401" t="s">
        <v>394</v>
      </c>
      <c r="K7" s="402"/>
      <c r="L7" s="291"/>
      <c r="M7" s="404" t="s">
        <v>363</v>
      </c>
      <c r="N7" s="291"/>
      <c r="O7" s="400"/>
      <c r="P7" s="401" t="s">
        <v>394</v>
      </c>
      <c r="Q7" s="402"/>
      <c r="R7" s="387"/>
      <c r="S7" s="407" t="s">
        <v>395</v>
      </c>
      <c r="T7" s="407" t="s">
        <v>396</v>
      </c>
    </row>
    <row r="8" spans="1:23" ht="15" thickBot="1">
      <c r="A8" s="41"/>
      <c r="C8" s="387"/>
      <c r="D8" s="387"/>
      <c r="E8" s="387"/>
      <c r="F8" s="291"/>
      <c r="G8" s="152"/>
      <c r="H8" s="291"/>
      <c r="I8" s="387"/>
      <c r="J8" s="387"/>
      <c r="K8" s="387"/>
      <c r="L8" s="291"/>
      <c r="M8" s="152"/>
      <c r="N8" s="291"/>
    </row>
    <row r="9" spans="1:23" ht="35.4" thickBot="1">
      <c r="A9" s="45" t="s">
        <v>7</v>
      </c>
      <c r="C9" s="48" t="s">
        <v>405</v>
      </c>
      <c r="D9" s="49" t="s">
        <v>406</v>
      </c>
      <c r="E9" s="48" t="s">
        <v>407</v>
      </c>
      <c r="F9" s="42"/>
      <c r="G9" s="418" t="s">
        <v>419</v>
      </c>
      <c r="H9" s="43"/>
      <c r="I9" s="48" t="s">
        <v>408</v>
      </c>
      <c r="J9" s="49" t="s">
        <v>409</v>
      </c>
      <c r="K9" s="48" t="s">
        <v>410</v>
      </c>
      <c r="L9" s="43"/>
      <c r="M9" s="418" t="s">
        <v>420</v>
      </c>
      <c r="N9" s="43"/>
      <c r="O9" s="48" t="s">
        <v>411</v>
      </c>
      <c r="P9" s="49" t="s">
        <v>412</v>
      </c>
      <c r="Q9" s="48" t="s">
        <v>413</v>
      </c>
      <c r="R9" s="42"/>
      <c r="S9" s="418" t="s">
        <v>418</v>
      </c>
      <c r="T9" s="49" t="s">
        <v>421</v>
      </c>
    </row>
    <row r="10" spans="1:23" ht="12" hidden="1" customHeight="1">
      <c r="A10" s="46"/>
      <c r="C10" s="50"/>
      <c r="D10" s="51"/>
      <c r="E10" s="51"/>
      <c r="F10" s="44"/>
      <c r="G10" s="51"/>
      <c r="H10" s="44"/>
      <c r="I10" s="64"/>
      <c r="J10" s="65"/>
      <c r="K10" s="65"/>
      <c r="L10" s="44"/>
      <c r="M10" s="65"/>
      <c r="N10" s="44"/>
      <c r="O10" s="69">
        <v>0.65</v>
      </c>
      <c r="P10" s="69">
        <v>0.6</v>
      </c>
      <c r="Q10" s="69">
        <v>0.6</v>
      </c>
      <c r="R10" s="389"/>
      <c r="S10" s="389"/>
      <c r="T10" s="68"/>
    </row>
    <row r="11" spans="1:23" s="58" customFormat="1" ht="15" thickBot="1">
      <c r="A11" s="55"/>
      <c r="B11"/>
      <c r="C11" s="57">
        <v>0.65</v>
      </c>
      <c r="D11" s="57">
        <v>0.6</v>
      </c>
      <c r="E11" s="57">
        <v>0.6</v>
      </c>
      <c r="F11" s="56"/>
      <c r="G11" s="55"/>
      <c r="H11" s="56"/>
      <c r="I11" s="66">
        <v>0.65</v>
      </c>
      <c r="J11" s="66">
        <v>0.6</v>
      </c>
      <c r="K11" s="66">
        <v>0.6</v>
      </c>
      <c r="L11" s="56"/>
      <c r="M11" s="54"/>
      <c r="N11" s="56"/>
      <c r="O11" s="66">
        <v>0.65</v>
      </c>
      <c r="P11" s="66">
        <v>0.6</v>
      </c>
      <c r="Q11" s="66">
        <v>0.6</v>
      </c>
      <c r="R11" s="390"/>
      <c r="S11" s="421"/>
      <c r="T11" s="70"/>
    </row>
    <row r="12" spans="1:23" s="61" customFormat="1" ht="18.75" customHeight="1" thickBot="1">
      <c r="A12" s="62" t="s">
        <v>4</v>
      </c>
      <c r="B12"/>
      <c r="C12" s="71">
        <f>ROUND(Basisbedragen!$D$34*$W$1,2)</f>
        <v>78.09</v>
      </c>
      <c r="D12" s="71">
        <f>$C$12</f>
        <v>78.09</v>
      </c>
      <c r="E12" s="71">
        <f>ROUND(Basisbedragen!$D$35*$W$1,2)</f>
        <v>70.989999999999995</v>
      </c>
      <c r="F12" s="284"/>
      <c r="G12" s="71">
        <f>$E$12</f>
        <v>70.989999999999995</v>
      </c>
      <c r="H12" s="60"/>
      <c r="I12" s="59">
        <f>ROUND(Basisbedragen!$D$36*$W$1,2)</f>
        <v>63.29</v>
      </c>
      <c r="J12" s="59">
        <f>$I$12</f>
        <v>63.29</v>
      </c>
      <c r="K12" s="71">
        <f>ROUND(Basisbedragen!$D$37*$W$1,2)</f>
        <v>57.53</v>
      </c>
      <c r="L12" s="60"/>
      <c r="M12" s="71">
        <f>$K$12</f>
        <v>57.53</v>
      </c>
      <c r="N12" s="60"/>
      <c r="O12" s="59">
        <f>ROUND(Basisbedragen!$D$38*$W$1,2)</f>
        <v>60.92</v>
      </c>
      <c r="P12" s="59">
        <f>ROUND(Basisbedragen!$D$39*$W$1,2)</f>
        <v>56.23</v>
      </c>
      <c r="Q12" s="59">
        <f>ROUND(Basisbedragen!$D$40*$W$1,2)</f>
        <v>51.12</v>
      </c>
      <c r="R12" s="38"/>
      <c r="S12" s="59">
        <f>ROUND(Basisbedragen!D41*$W$1,2)</f>
        <v>42.37</v>
      </c>
      <c r="T12" s="59">
        <f>ROUND(Basisbedragen!D42*$W$1,2)</f>
        <v>29.85</v>
      </c>
    </row>
    <row r="13" spans="1:23" ht="15.75" hidden="1" customHeight="1" outlineLevel="1" thickBot="1">
      <c r="A13" s="47">
        <v>1</v>
      </c>
      <c r="C13" s="52">
        <f>IF(MIN(MAX(ROUND(ROUND('Loonschijven_Tranches salariale'!$Q8*0.65,4)*Basisbedragen!$I$7,2),ROUND(Basisbedragen!$D$34*Basisbedragen!$I$7,2)),ROUND(ROUND(Basisbedragen!$D$27*0.65,4)*Basisbedragen!$I$7,2))&lt;= Basisbedragen!$I$8,MIN(MAX(ROUND(ROUND('Loonschijven_Tranches salariale'!$Q8*0.65,4)*Basisbedragen!$I$2,2),ROUND(Basisbedragen!$D$34*Basisbedragen!$I$2,2)),ROUND(ROUND(Basisbedragen!$D$27*0.65,4)*Basisbedragen!$I$2,2)),MIN(MAX(ROUND(ROUND('Loonschijven_Tranches salariale'!$Q8*0.65,4)*Basisbedragen!$I$7,2),ROUND(Basisbedragen!$D$34*Basisbedragen!$I$7,2)),ROUND(ROUND(Basisbedragen!$D$27*0.65,4)*Basisbedragen!$I$7,2))+Basisbedragen!$I$10)</f>
        <v>78.09</v>
      </c>
      <c r="D13" s="52">
        <f>IF(MIN(MAX(ROUND(ROUND('Loonschijven_Tranches salariale'!$Q8*0.6,4)*Basisbedragen!$I$7,2),ROUND(Basisbedragen!$D$34*Basisbedragen!$I$7,2)),ROUND(ROUND(Basisbedragen!$D$28*0.6,4)*Basisbedragen!$I$7,2))&lt;= Basisbedragen!$I$8,MIN(MAX(ROUND(ROUND('Loonschijven_Tranches salariale'!$Q8*0.6,4)*Basisbedragen!$I$2,2),ROUND(Basisbedragen!$D$34*Basisbedragen!$I$2,2)),ROUND(ROUND(Basisbedragen!$D$28*0.6,4)*Basisbedragen!$I$2,2)),MIN(MAX(ROUND(ROUND('Loonschijven_Tranches salariale'!$Q8*0.6,4)*Basisbedragen!$I$7,2),ROUND(Basisbedragen!$D$34*Basisbedragen!$I$7,2)),ROUND(ROUND(Basisbedragen!$D$28*0.6,4)*Basisbedragen!$I$7,2))+Basisbedragen!$I$10)</f>
        <v>78.09</v>
      </c>
      <c r="E13" s="52">
        <f>MIN(MAX(ROUND(ROUND('Loonschijven_Tranches salariale'!$Q8*0.6,4)*Basisbedragen!$I$2,2),ROUND(Basisbedragen!$D$35*Basisbedragen!$I$2,2)),ROUND(ROUND(Basisbedragen!$D$29*0.6,4)*Basisbedragen!$I$2,2))</f>
        <v>70.989999999999995</v>
      </c>
      <c r="F13" s="38"/>
      <c r="G13" s="52">
        <f>$E$12</f>
        <v>70.989999999999995</v>
      </c>
      <c r="H13" s="38"/>
      <c r="I13" s="52">
        <f>IF(MIN(MAX(ROUND(ROUND('Loonschijven_Tranches salariale'!$Q8*0.65,4)*Basisbedragen!$I$7,2),ROUND(Basisbedragen!$D$36*Basisbedragen!$I$7,2)),ROUND(ROUND(Basisbedragen!$D$27*0.65,4)*Basisbedragen!$I$7,2))&lt;= Basisbedragen!$I$8,MIN(MAX(ROUND(ROUND('Loonschijven_Tranches salariale'!$Q8*0.65,4)*Basisbedragen!$I$2,2),ROUND(Basisbedragen!$D$36*Basisbedragen!$I$2,2)),ROUND(ROUND(Basisbedragen!$D$27*0.65,4)*Basisbedragen!$I$2,2)),MIN(MAX(ROUND(ROUND('Loonschijven_Tranches salariale'!$Q8*0.65,4)*Basisbedragen!$I$7,2),ROUND(Basisbedragen!$D$36*Basisbedragen!$I$7,2)),ROUND(ROUND(Basisbedragen!$D$27*0.65,4)*Basisbedragen!$I$7,2))+Basisbedragen!$I$10)</f>
        <v>63.29</v>
      </c>
      <c r="J13" s="52">
        <f>IF(MIN(MAX(ROUND(ROUND('Loonschijven_Tranches salariale'!$Q8*0.6,4)*Basisbedragen!$I$7,2),ROUND(Basisbedragen!$D$36*Basisbedragen!$I$7,2)),ROUND(ROUND(Basisbedragen!$D$28*0.6,4)*Basisbedragen!$I$7,2))&lt;= Basisbedragen!$I$8,MIN(MAX(ROUND(ROUND('Loonschijven_Tranches salariale'!$Q8*0.6,4)*Basisbedragen!$I$2,2),ROUND(Basisbedragen!$D$36*Basisbedragen!$I$2,2)),ROUND(ROUND(Basisbedragen!$D$28*0.6,4)*Basisbedragen!$I$2,2)),MIN(MAX(ROUND(ROUND('Loonschijven_Tranches salariale'!$Q8*0.6,4)*Basisbedragen!$I$7,2),ROUND(Basisbedragen!$D$36*Basisbedragen!$I$7,2)),ROUND(ROUND(Basisbedragen!$D$28*0.6,4)*Basisbedragen!$I$7,2))+Basisbedragen!$I$10)</f>
        <v>63.29</v>
      </c>
      <c r="K13" s="52">
        <f>MIN(MAX(ROUND(ROUND('Loonschijven_Tranches salariale'!$Q8*0.6,4)*Basisbedragen!$I$2,2),ROUND(Basisbedragen!$D$37*Basisbedragen!$I$2,2)),ROUND(ROUND(Basisbedragen!$D$29*0.6,4)*Basisbedragen!$I$2,2))</f>
        <v>57.53</v>
      </c>
      <c r="L13" s="38"/>
      <c r="M13" s="52">
        <f>$K$12</f>
        <v>57.53</v>
      </c>
      <c r="N13" s="38"/>
      <c r="O13" s="52">
        <f>IF(MIN(MAX(ROUND(ROUND('Loonschijven_Tranches salariale'!$Q8*0.65,4)*Basisbedragen!$I$7,2),ROUND(Basisbedragen!$D$38*Basisbedragen!$I$7,2)),ROUND(ROUND(Basisbedragen!$D$27*0.65,4)*Basisbedragen!$I$7,2))&lt;= Basisbedragen!$I$8,MIN(MAX(ROUND(ROUND('Loonschijven_Tranches salariale'!$Q8*0.65,4)*Basisbedragen!$I$2,2),ROUND(Basisbedragen!$D$38*Basisbedragen!$I$2,2)),ROUND(ROUND(Basisbedragen!$D$27*0.65,4)*Basisbedragen!$I$2,2)),MIN(MAX(ROUND(ROUND('Loonschijven_Tranches salariale'!$Q8*0.65,4)*Basisbedragen!$I$7,2),ROUND(Basisbedragen!$D$38*Basisbedragen!$I$7,2)),ROUND(ROUND(Basisbedragen!$D$27*0.65,4)*Basisbedragen!$I$7,2))+Basisbedragen!$I$10)</f>
        <v>60.92</v>
      </c>
      <c r="P13" s="52">
        <f>IF(MIN(MAX(ROUND(ROUND('Loonschijven_Tranches salariale'!$Q8*0.6,4)*Basisbedragen!$I$7,2),ROUND(Basisbedragen!$D$39*Basisbedragen!$I$7,2)),ROUND(ROUND(Basisbedragen!$D$28*0.6,4)*Basisbedragen!$I$7,2))&lt;= Basisbedragen!$I$8,MIN(MAX(ROUND(ROUND('Loonschijven_Tranches salariale'!$Q8*0.6,4)*Basisbedragen!$I$2,2),ROUND(Basisbedragen!$D$39*Basisbedragen!$I$2,2)),ROUND(ROUND(Basisbedragen!$D$28*0.6,4)*Basisbedragen!$I$2,2)),MIN(MAX(ROUND(ROUND('Loonschijven_Tranches salariale'!$Q8*0.6,4)*Basisbedragen!$I$7,2),ROUND(Basisbedragen!$D$39*Basisbedragen!$I$7,2)),ROUND(ROUND(Basisbedragen!$D$28*0.6,4)*Basisbedragen!$I$7,2))+Basisbedragen!$I$10)</f>
        <v>56.23</v>
      </c>
      <c r="Q13" s="52">
        <f>MIN(MAX(ROUND(ROUND('Loonschijven_Tranches salariale'!$Q8*0.6,4)*Basisbedragen!$I$2,2),ROUND(Basisbedragen!$D$40*Basisbedragen!$I$2,2)),ROUND(ROUND(Basisbedragen!$D$29*0.6,4)*Basisbedragen!$I$2,2))</f>
        <v>51.12</v>
      </c>
      <c r="R13" s="38"/>
      <c r="S13" s="52">
        <f>$S$12</f>
        <v>42.37</v>
      </c>
      <c r="T13" s="52">
        <f>$T$12</f>
        <v>29.85</v>
      </c>
    </row>
    <row r="14" spans="1:23" ht="15.75" hidden="1" customHeight="1" outlineLevel="1" thickBot="1">
      <c r="A14" s="47">
        <f>A13+1</f>
        <v>2</v>
      </c>
      <c r="C14" s="52">
        <f>IF(MIN(MAX(ROUND(ROUND('Loonschijven_Tranches salariale'!$Q9*0.65,4)*Basisbedragen!$I$7,2),ROUND(Basisbedragen!$D$34*Basisbedragen!$I$7,2)),ROUND(ROUND(Basisbedragen!$D$27*0.65,4)*Basisbedragen!$I$7,2))&lt;= Basisbedragen!$I$8,MIN(MAX(ROUND(ROUND('Loonschijven_Tranches salariale'!$Q9*0.65,4)*Basisbedragen!$I$2,2),ROUND(Basisbedragen!$D$34*Basisbedragen!$I$2,2)),ROUND(ROUND(Basisbedragen!$D$27*0.65,4)*Basisbedragen!$I$2,2)),MIN(MAX(ROUND(ROUND('Loonschijven_Tranches salariale'!$Q9*0.65,4)*Basisbedragen!$I$7,2),ROUND(Basisbedragen!$D$34*Basisbedragen!$I$7,2)),ROUND(ROUND(Basisbedragen!$D$27*0.65,4)*Basisbedragen!$I$7,2))+Basisbedragen!$I$10)</f>
        <v>78.09</v>
      </c>
      <c r="D14" s="52">
        <f>IF(MIN(MAX(ROUND(ROUND('Loonschijven_Tranches salariale'!$Q9*0.6,4)*Basisbedragen!$I$7,2),ROUND(Basisbedragen!$D$34*Basisbedragen!$I$7,2)),ROUND(ROUND(Basisbedragen!$D$28*0.6,4)*Basisbedragen!$I$7,2))&lt;= Basisbedragen!$I$8,MIN(MAX(ROUND(ROUND('Loonschijven_Tranches salariale'!$Q9*0.6,4)*Basisbedragen!$I$2,2),ROUND(Basisbedragen!$D$34*Basisbedragen!$I$2,2)),ROUND(ROUND(Basisbedragen!$D$28*0.6,4)*Basisbedragen!$I$2,2)),MIN(MAX(ROUND(ROUND('Loonschijven_Tranches salariale'!$Q9*0.6,4)*Basisbedragen!$I$7,2),ROUND(Basisbedragen!$D$34*Basisbedragen!$I$7,2)),ROUND(ROUND(Basisbedragen!$D$28*0.6,4)*Basisbedragen!$I$7,2))+Basisbedragen!$I$10)</f>
        <v>78.09</v>
      </c>
      <c r="E14" s="52">
        <f>MIN(MAX(ROUND(ROUND('Loonschijven_Tranches salariale'!$Q9*0.6,4)*Basisbedragen!$I$2,2),ROUND(Basisbedragen!$D$35*Basisbedragen!$I$2,2)),ROUND(ROUND(Basisbedragen!$D$29*0.6,4)*Basisbedragen!$I$2,2))</f>
        <v>70.989999999999995</v>
      </c>
      <c r="F14" s="38"/>
      <c r="G14" s="52">
        <f t="shared" ref="G14:G77" si="0">$E$12</f>
        <v>70.989999999999995</v>
      </c>
      <c r="H14" s="38"/>
      <c r="I14" s="52">
        <f>IF(MIN(MAX(ROUND(ROUND('Loonschijven_Tranches salariale'!$Q9*0.65,4)*Basisbedragen!$I$7,2),ROUND(Basisbedragen!$D$36*Basisbedragen!$I$7,2)),ROUND(ROUND(Basisbedragen!$D$27*0.65,4)*Basisbedragen!$I$7,2))&lt;= Basisbedragen!$I$8,MIN(MAX(ROUND(ROUND('Loonschijven_Tranches salariale'!$Q9*0.65,4)*Basisbedragen!$I$2,2),ROUND(Basisbedragen!$D$36*Basisbedragen!$I$2,2)),ROUND(ROUND(Basisbedragen!$D$27*0.65,4)*Basisbedragen!$I$2,2)),MIN(MAX(ROUND(ROUND('Loonschijven_Tranches salariale'!$Q9*0.65,4)*Basisbedragen!$I$7,2),ROUND(Basisbedragen!$D$36*Basisbedragen!$I$7,2)),ROUND(ROUND(Basisbedragen!$D$27*0.65,4)*Basisbedragen!$I$7,2))+Basisbedragen!$I$10)</f>
        <v>63.29</v>
      </c>
      <c r="J14" s="52">
        <f>IF(MIN(MAX(ROUND(ROUND('Loonschijven_Tranches salariale'!$Q9*0.6,4)*Basisbedragen!$I$7,2),ROUND(Basisbedragen!$D$36*Basisbedragen!$I$7,2)),ROUND(ROUND(Basisbedragen!$D$28*0.6,4)*Basisbedragen!$I$7,2))&lt;= Basisbedragen!$I$8,MIN(MAX(ROUND(ROUND('Loonschijven_Tranches salariale'!$Q9*0.6,4)*Basisbedragen!$I$2,2),ROUND(Basisbedragen!$D$36*Basisbedragen!$I$2,2)),ROUND(ROUND(Basisbedragen!$D$28*0.6,4)*Basisbedragen!$I$2,2)),MIN(MAX(ROUND(ROUND('Loonschijven_Tranches salariale'!$Q9*0.6,4)*Basisbedragen!$I$7,2),ROUND(Basisbedragen!$D$36*Basisbedragen!$I$7,2)),ROUND(ROUND(Basisbedragen!$D$28*0.6,4)*Basisbedragen!$I$7,2))+Basisbedragen!$I$10)</f>
        <v>63.29</v>
      </c>
      <c r="K14" s="52">
        <f>MIN(MAX(ROUND(ROUND('Loonschijven_Tranches salariale'!$Q9*0.6,4)*Basisbedragen!$I$2,2),ROUND(Basisbedragen!$D$37*Basisbedragen!$I$2,2)),ROUND(ROUND(Basisbedragen!$D$29*0.6,4)*Basisbedragen!$I$2,2))</f>
        <v>57.53</v>
      </c>
      <c r="L14" s="38"/>
      <c r="M14" s="52">
        <f t="shared" ref="M14:M77" si="1">$K$12</f>
        <v>57.53</v>
      </c>
      <c r="N14" s="38"/>
      <c r="O14" s="52">
        <f>IF(MIN(MAX(ROUND(ROUND('Loonschijven_Tranches salariale'!$Q9*0.65,4)*Basisbedragen!$I$7,2),ROUND(Basisbedragen!$D$38*Basisbedragen!$I$7,2)),ROUND(ROUND(Basisbedragen!$D$27*0.65,4)*Basisbedragen!$I$7,2))&lt;= Basisbedragen!$I$8,MIN(MAX(ROUND(ROUND('Loonschijven_Tranches salariale'!$Q9*0.65,4)*Basisbedragen!$I$2,2),ROUND(Basisbedragen!$D$38*Basisbedragen!$I$2,2)),ROUND(ROUND(Basisbedragen!$D$27*0.65,4)*Basisbedragen!$I$2,2)),MIN(MAX(ROUND(ROUND('Loonschijven_Tranches salariale'!$Q9*0.65,4)*Basisbedragen!$I$7,2),ROUND(Basisbedragen!$D$38*Basisbedragen!$I$7,2)),ROUND(ROUND(Basisbedragen!$D$27*0.65,4)*Basisbedragen!$I$7,2))+Basisbedragen!$I$10)</f>
        <v>60.92</v>
      </c>
      <c r="P14" s="52">
        <f>IF(MIN(MAX(ROUND(ROUND('Loonschijven_Tranches salariale'!$Q9*0.6,4)*Basisbedragen!$I$7,2),ROUND(Basisbedragen!$D$39*Basisbedragen!$I$7,2)),ROUND(ROUND(Basisbedragen!$D$28*0.6,4)*Basisbedragen!$I$7,2))&lt;= Basisbedragen!$I$8,MIN(MAX(ROUND(ROUND('Loonschijven_Tranches salariale'!$Q9*0.6,4)*Basisbedragen!$I$2,2),ROUND(Basisbedragen!$D$39*Basisbedragen!$I$2,2)),ROUND(ROUND(Basisbedragen!$D$28*0.6,4)*Basisbedragen!$I$2,2)),MIN(MAX(ROUND(ROUND('Loonschijven_Tranches salariale'!$Q9*0.6,4)*Basisbedragen!$I$7,2),ROUND(Basisbedragen!$D$39*Basisbedragen!$I$7,2)),ROUND(ROUND(Basisbedragen!$D$28*0.6,4)*Basisbedragen!$I$7,2))+Basisbedragen!$I$10)</f>
        <v>56.23</v>
      </c>
      <c r="Q14" s="52">
        <f>MIN(MAX(ROUND(ROUND('Loonschijven_Tranches salariale'!$Q9*0.6,4)*Basisbedragen!$I$2,2),ROUND(Basisbedragen!$D$40*Basisbedragen!$I$2,2)),ROUND(ROUND(Basisbedragen!$D$29*0.6,4)*Basisbedragen!$I$2,2))</f>
        <v>51.12</v>
      </c>
      <c r="R14" s="38"/>
      <c r="S14" s="52">
        <f t="shared" ref="S14:S77" si="2">$S$12</f>
        <v>42.37</v>
      </c>
      <c r="T14" s="52">
        <f t="shared" ref="T14:T77" si="3">$T$12</f>
        <v>29.85</v>
      </c>
    </row>
    <row r="15" spans="1:23" ht="15.75" hidden="1" customHeight="1" outlineLevel="1" thickBot="1">
      <c r="A15" s="47">
        <f t="shared" ref="A15:A78" si="4">A14+1</f>
        <v>3</v>
      </c>
      <c r="C15" s="52">
        <f>IF(MIN(MAX(ROUND(ROUND('Loonschijven_Tranches salariale'!$Q10*0.65,4)*Basisbedragen!$I$7,2),ROUND(Basisbedragen!$D$34*Basisbedragen!$I$7,2)),ROUND(ROUND(Basisbedragen!$D$27*0.65,4)*Basisbedragen!$I$7,2))&lt;= Basisbedragen!$I$8,MIN(MAX(ROUND(ROUND('Loonschijven_Tranches salariale'!$Q10*0.65,4)*Basisbedragen!$I$2,2),ROUND(Basisbedragen!$D$34*Basisbedragen!$I$2,2)),ROUND(ROUND(Basisbedragen!$D$27*0.65,4)*Basisbedragen!$I$2,2)),MIN(MAX(ROUND(ROUND('Loonschijven_Tranches salariale'!$Q10*0.65,4)*Basisbedragen!$I$7,2),ROUND(Basisbedragen!$D$34*Basisbedragen!$I$7,2)),ROUND(ROUND(Basisbedragen!$D$27*0.65,4)*Basisbedragen!$I$7,2))+Basisbedragen!$I$10)</f>
        <v>78.09</v>
      </c>
      <c r="D15" s="52">
        <f>IF(MIN(MAX(ROUND(ROUND('Loonschijven_Tranches salariale'!$Q10*0.6,4)*Basisbedragen!$I$7,2),ROUND(Basisbedragen!$D$34*Basisbedragen!$I$7,2)),ROUND(ROUND(Basisbedragen!$D$28*0.6,4)*Basisbedragen!$I$7,2))&lt;= Basisbedragen!$I$8,MIN(MAX(ROUND(ROUND('Loonschijven_Tranches salariale'!$Q10*0.6,4)*Basisbedragen!$I$2,2),ROUND(Basisbedragen!$D$34*Basisbedragen!$I$2,2)),ROUND(ROUND(Basisbedragen!$D$28*0.6,4)*Basisbedragen!$I$2,2)),MIN(MAX(ROUND(ROUND('Loonschijven_Tranches salariale'!$Q10*0.6,4)*Basisbedragen!$I$7,2),ROUND(Basisbedragen!$D$34*Basisbedragen!$I$7,2)),ROUND(ROUND(Basisbedragen!$D$28*0.6,4)*Basisbedragen!$I$7,2))+Basisbedragen!$I$10)</f>
        <v>78.09</v>
      </c>
      <c r="E15" s="52">
        <f>MIN(MAX(ROUND(ROUND('Loonschijven_Tranches salariale'!$Q10*0.6,4)*Basisbedragen!$I$2,2),ROUND(Basisbedragen!$D$35*Basisbedragen!$I$2,2)),ROUND(ROUND(Basisbedragen!$D$29*0.6,4)*Basisbedragen!$I$2,2))</f>
        <v>70.989999999999995</v>
      </c>
      <c r="F15" s="38"/>
      <c r="G15" s="52">
        <f t="shared" si="0"/>
        <v>70.989999999999995</v>
      </c>
      <c r="H15" s="38"/>
      <c r="I15" s="52">
        <f>IF(MIN(MAX(ROUND(ROUND('Loonschijven_Tranches salariale'!$Q10*0.65,4)*Basisbedragen!$I$7,2),ROUND(Basisbedragen!$D$36*Basisbedragen!$I$7,2)),ROUND(ROUND(Basisbedragen!$D$27*0.65,4)*Basisbedragen!$I$7,2))&lt;= Basisbedragen!$I$8,MIN(MAX(ROUND(ROUND('Loonschijven_Tranches salariale'!$Q10*0.65,4)*Basisbedragen!$I$2,2),ROUND(Basisbedragen!$D$36*Basisbedragen!$I$2,2)),ROUND(ROUND(Basisbedragen!$D$27*0.65,4)*Basisbedragen!$I$2,2)),MIN(MAX(ROUND(ROUND('Loonschijven_Tranches salariale'!$Q10*0.65,4)*Basisbedragen!$I$7,2),ROUND(Basisbedragen!$D$36*Basisbedragen!$I$7,2)),ROUND(ROUND(Basisbedragen!$D$27*0.65,4)*Basisbedragen!$I$7,2))+Basisbedragen!$I$10)</f>
        <v>63.29</v>
      </c>
      <c r="J15" s="52">
        <f>IF(MIN(MAX(ROUND(ROUND('Loonschijven_Tranches salariale'!$Q10*0.6,4)*Basisbedragen!$I$7,2),ROUND(Basisbedragen!$D$36*Basisbedragen!$I$7,2)),ROUND(ROUND(Basisbedragen!$D$28*0.6,4)*Basisbedragen!$I$7,2))&lt;= Basisbedragen!$I$8,MIN(MAX(ROUND(ROUND('Loonschijven_Tranches salariale'!$Q10*0.6,4)*Basisbedragen!$I$2,2),ROUND(Basisbedragen!$D$36*Basisbedragen!$I$2,2)),ROUND(ROUND(Basisbedragen!$D$28*0.6,4)*Basisbedragen!$I$2,2)),MIN(MAX(ROUND(ROUND('Loonschijven_Tranches salariale'!$Q10*0.6,4)*Basisbedragen!$I$7,2),ROUND(Basisbedragen!$D$36*Basisbedragen!$I$7,2)),ROUND(ROUND(Basisbedragen!$D$28*0.6,4)*Basisbedragen!$I$7,2))+Basisbedragen!$I$10)</f>
        <v>63.29</v>
      </c>
      <c r="K15" s="52">
        <f>MIN(MAX(ROUND(ROUND('Loonschijven_Tranches salariale'!$Q10*0.6,4)*Basisbedragen!$I$2,2),ROUND(Basisbedragen!$D$37*Basisbedragen!$I$2,2)),ROUND(ROUND(Basisbedragen!$D$29*0.6,4)*Basisbedragen!$I$2,2))</f>
        <v>57.53</v>
      </c>
      <c r="L15" s="38"/>
      <c r="M15" s="52">
        <f t="shared" si="1"/>
        <v>57.53</v>
      </c>
      <c r="N15" s="38"/>
      <c r="O15" s="52">
        <f>IF(MIN(MAX(ROUND(ROUND('Loonschijven_Tranches salariale'!$Q10*0.65,4)*Basisbedragen!$I$7,2),ROUND(Basisbedragen!$D$38*Basisbedragen!$I$7,2)),ROUND(ROUND(Basisbedragen!$D$27*0.65,4)*Basisbedragen!$I$7,2))&lt;= Basisbedragen!$I$8,MIN(MAX(ROUND(ROUND('Loonschijven_Tranches salariale'!$Q10*0.65,4)*Basisbedragen!$I$2,2),ROUND(Basisbedragen!$D$38*Basisbedragen!$I$2,2)),ROUND(ROUND(Basisbedragen!$D$27*0.65,4)*Basisbedragen!$I$2,2)),MIN(MAX(ROUND(ROUND('Loonschijven_Tranches salariale'!$Q10*0.65,4)*Basisbedragen!$I$7,2),ROUND(Basisbedragen!$D$38*Basisbedragen!$I$7,2)),ROUND(ROUND(Basisbedragen!$D$27*0.65,4)*Basisbedragen!$I$7,2))+Basisbedragen!$I$10)</f>
        <v>60.92</v>
      </c>
      <c r="P15" s="52">
        <f>IF(MIN(MAX(ROUND(ROUND('Loonschijven_Tranches salariale'!$Q10*0.6,4)*Basisbedragen!$I$7,2),ROUND(Basisbedragen!$D$39*Basisbedragen!$I$7,2)),ROUND(ROUND(Basisbedragen!$D$28*0.6,4)*Basisbedragen!$I$7,2))&lt;= Basisbedragen!$I$8,MIN(MAX(ROUND(ROUND('Loonschijven_Tranches salariale'!$Q10*0.6,4)*Basisbedragen!$I$2,2),ROUND(Basisbedragen!$D$39*Basisbedragen!$I$2,2)),ROUND(ROUND(Basisbedragen!$D$28*0.6,4)*Basisbedragen!$I$2,2)),MIN(MAX(ROUND(ROUND('Loonschijven_Tranches salariale'!$Q10*0.6,4)*Basisbedragen!$I$7,2),ROUND(Basisbedragen!$D$39*Basisbedragen!$I$7,2)),ROUND(ROUND(Basisbedragen!$D$28*0.6,4)*Basisbedragen!$I$7,2))+Basisbedragen!$I$10)</f>
        <v>56.23</v>
      </c>
      <c r="Q15" s="52">
        <f>MIN(MAX(ROUND(ROUND('Loonschijven_Tranches salariale'!$Q10*0.6,4)*Basisbedragen!$I$2,2),ROUND(Basisbedragen!$D$40*Basisbedragen!$I$2,2)),ROUND(ROUND(Basisbedragen!$D$29*0.6,4)*Basisbedragen!$I$2,2))</f>
        <v>51.12</v>
      </c>
      <c r="R15" s="38"/>
      <c r="S15" s="52">
        <f t="shared" si="2"/>
        <v>42.37</v>
      </c>
      <c r="T15" s="52">
        <f t="shared" si="3"/>
        <v>29.85</v>
      </c>
    </row>
    <row r="16" spans="1:23" ht="15.75" hidden="1" customHeight="1" outlineLevel="1" thickBot="1">
      <c r="A16" s="47">
        <f t="shared" si="4"/>
        <v>4</v>
      </c>
      <c r="C16" s="52">
        <f>IF(MIN(MAX(ROUND(ROUND('Loonschijven_Tranches salariale'!$Q11*0.65,4)*Basisbedragen!$I$7,2),ROUND(Basisbedragen!$D$34*Basisbedragen!$I$7,2)),ROUND(ROUND(Basisbedragen!$D$27*0.65,4)*Basisbedragen!$I$7,2))&lt;= Basisbedragen!$I$8,MIN(MAX(ROUND(ROUND('Loonschijven_Tranches salariale'!$Q11*0.65,4)*Basisbedragen!$I$2,2),ROUND(Basisbedragen!$D$34*Basisbedragen!$I$2,2)),ROUND(ROUND(Basisbedragen!$D$27*0.65,4)*Basisbedragen!$I$2,2)),MIN(MAX(ROUND(ROUND('Loonschijven_Tranches salariale'!$Q11*0.65,4)*Basisbedragen!$I$7,2),ROUND(Basisbedragen!$D$34*Basisbedragen!$I$7,2)),ROUND(ROUND(Basisbedragen!$D$27*0.65,4)*Basisbedragen!$I$7,2))+Basisbedragen!$I$10)</f>
        <v>78.09</v>
      </c>
      <c r="D16" s="52">
        <f>IF(MIN(MAX(ROUND(ROUND('Loonschijven_Tranches salariale'!$Q11*0.6,4)*Basisbedragen!$I$7,2),ROUND(Basisbedragen!$D$34*Basisbedragen!$I$7,2)),ROUND(ROUND(Basisbedragen!$D$28*0.6,4)*Basisbedragen!$I$7,2))&lt;= Basisbedragen!$I$8,MIN(MAX(ROUND(ROUND('Loonschijven_Tranches salariale'!$Q11*0.6,4)*Basisbedragen!$I$2,2),ROUND(Basisbedragen!$D$34*Basisbedragen!$I$2,2)),ROUND(ROUND(Basisbedragen!$D$28*0.6,4)*Basisbedragen!$I$2,2)),MIN(MAX(ROUND(ROUND('Loonschijven_Tranches salariale'!$Q11*0.6,4)*Basisbedragen!$I$7,2),ROUND(Basisbedragen!$D$34*Basisbedragen!$I$7,2)),ROUND(ROUND(Basisbedragen!$D$28*0.6,4)*Basisbedragen!$I$7,2))+Basisbedragen!$I$10)</f>
        <v>78.09</v>
      </c>
      <c r="E16" s="52">
        <f>MIN(MAX(ROUND(ROUND('Loonschijven_Tranches salariale'!$Q11*0.6,4)*Basisbedragen!$I$2,2),ROUND(Basisbedragen!$D$35*Basisbedragen!$I$2,2)),ROUND(ROUND(Basisbedragen!$D$29*0.6,4)*Basisbedragen!$I$2,2))</f>
        <v>70.989999999999995</v>
      </c>
      <c r="F16" s="38"/>
      <c r="G16" s="52">
        <f t="shared" si="0"/>
        <v>70.989999999999995</v>
      </c>
      <c r="H16" s="38"/>
      <c r="I16" s="52">
        <f>IF(MIN(MAX(ROUND(ROUND('Loonschijven_Tranches salariale'!$Q11*0.65,4)*Basisbedragen!$I$7,2),ROUND(Basisbedragen!$D$36*Basisbedragen!$I$7,2)),ROUND(ROUND(Basisbedragen!$D$27*0.65,4)*Basisbedragen!$I$7,2))&lt;= Basisbedragen!$I$8,MIN(MAX(ROUND(ROUND('Loonschijven_Tranches salariale'!$Q11*0.65,4)*Basisbedragen!$I$2,2),ROUND(Basisbedragen!$D$36*Basisbedragen!$I$2,2)),ROUND(ROUND(Basisbedragen!$D$27*0.65,4)*Basisbedragen!$I$2,2)),MIN(MAX(ROUND(ROUND('Loonschijven_Tranches salariale'!$Q11*0.65,4)*Basisbedragen!$I$7,2),ROUND(Basisbedragen!$D$36*Basisbedragen!$I$7,2)),ROUND(ROUND(Basisbedragen!$D$27*0.65,4)*Basisbedragen!$I$7,2))+Basisbedragen!$I$10)</f>
        <v>63.29</v>
      </c>
      <c r="J16" s="52">
        <f>IF(MIN(MAX(ROUND(ROUND('Loonschijven_Tranches salariale'!$Q11*0.6,4)*Basisbedragen!$I$7,2),ROUND(Basisbedragen!$D$36*Basisbedragen!$I$7,2)),ROUND(ROUND(Basisbedragen!$D$28*0.6,4)*Basisbedragen!$I$7,2))&lt;= Basisbedragen!$I$8,MIN(MAX(ROUND(ROUND('Loonschijven_Tranches salariale'!$Q11*0.6,4)*Basisbedragen!$I$2,2),ROUND(Basisbedragen!$D$36*Basisbedragen!$I$2,2)),ROUND(ROUND(Basisbedragen!$D$28*0.6,4)*Basisbedragen!$I$2,2)),MIN(MAX(ROUND(ROUND('Loonschijven_Tranches salariale'!$Q11*0.6,4)*Basisbedragen!$I$7,2),ROUND(Basisbedragen!$D$36*Basisbedragen!$I$7,2)),ROUND(ROUND(Basisbedragen!$D$28*0.6,4)*Basisbedragen!$I$7,2))+Basisbedragen!$I$10)</f>
        <v>63.29</v>
      </c>
      <c r="K16" s="52">
        <f>MIN(MAX(ROUND(ROUND('Loonschijven_Tranches salariale'!$Q11*0.6,4)*Basisbedragen!$I$2,2),ROUND(Basisbedragen!$D$37*Basisbedragen!$I$2,2)),ROUND(ROUND(Basisbedragen!$D$29*0.6,4)*Basisbedragen!$I$2,2))</f>
        <v>57.53</v>
      </c>
      <c r="L16" s="38"/>
      <c r="M16" s="52">
        <f t="shared" si="1"/>
        <v>57.53</v>
      </c>
      <c r="N16" s="38"/>
      <c r="O16" s="52">
        <f>IF(MIN(MAX(ROUND(ROUND('Loonschijven_Tranches salariale'!$Q11*0.65,4)*Basisbedragen!$I$7,2),ROUND(Basisbedragen!$D$38*Basisbedragen!$I$7,2)),ROUND(ROUND(Basisbedragen!$D$27*0.65,4)*Basisbedragen!$I$7,2))&lt;= Basisbedragen!$I$8,MIN(MAX(ROUND(ROUND('Loonschijven_Tranches salariale'!$Q11*0.65,4)*Basisbedragen!$I$2,2),ROUND(Basisbedragen!$D$38*Basisbedragen!$I$2,2)),ROUND(ROUND(Basisbedragen!$D$27*0.65,4)*Basisbedragen!$I$2,2)),MIN(MAX(ROUND(ROUND('Loonschijven_Tranches salariale'!$Q11*0.65,4)*Basisbedragen!$I$7,2),ROUND(Basisbedragen!$D$38*Basisbedragen!$I$7,2)),ROUND(ROUND(Basisbedragen!$D$27*0.65,4)*Basisbedragen!$I$7,2))+Basisbedragen!$I$10)</f>
        <v>60.92</v>
      </c>
      <c r="P16" s="52">
        <f>IF(MIN(MAX(ROUND(ROUND('Loonschijven_Tranches salariale'!$Q11*0.6,4)*Basisbedragen!$I$7,2),ROUND(Basisbedragen!$D$39*Basisbedragen!$I$7,2)),ROUND(ROUND(Basisbedragen!$D$28*0.6,4)*Basisbedragen!$I$7,2))&lt;= Basisbedragen!$I$8,MIN(MAX(ROUND(ROUND('Loonschijven_Tranches salariale'!$Q11*0.6,4)*Basisbedragen!$I$2,2),ROUND(Basisbedragen!$D$39*Basisbedragen!$I$2,2)),ROUND(ROUND(Basisbedragen!$D$28*0.6,4)*Basisbedragen!$I$2,2)),MIN(MAX(ROUND(ROUND('Loonschijven_Tranches salariale'!$Q11*0.6,4)*Basisbedragen!$I$7,2),ROUND(Basisbedragen!$D$39*Basisbedragen!$I$7,2)),ROUND(ROUND(Basisbedragen!$D$28*0.6,4)*Basisbedragen!$I$7,2))+Basisbedragen!$I$10)</f>
        <v>56.23</v>
      </c>
      <c r="Q16" s="52">
        <f>MIN(MAX(ROUND(ROUND('Loonschijven_Tranches salariale'!$Q11*0.6,4)*Basisbedragen!$I$2,2),ROUND(Basisbedragen!$D$40*Basisbedragen!$I$2,2)),ROUND(ROUND(Basisbedragen!$D$29*0.6,4)*Basisbedragen!$I$2,2))</f>
        <v>51.12</v>
      </c>
      <c r="R16" s="38"/>
      <c r="S16" s="52">
        <f t="shared" si="2"/>
        <v>42.37</v>
      </c>
      <c r="T16" s="52">
        <f t="shared" si="3"/>
        <v>29.85</v>
      </c>
    </row>
    <row r="17" spans="1:20" ht="15.75" hidden="1" customHeight="1" outlineLevel="1" thickBot="1">
      <c r="A17" s="47">
        <f t="shared" si="4"/>
        <v>5</v>
      </c>
      <c r="C17" s="52">
        <f>IF(MIN(MAX(ROUND(ROUND('Loonschijven_Tranches salariale'!$Q12*0.65,4)*Basisbedragen!$I$7,2),ROUND(Basisbedragen!$D$34*Basisbedragen!$I$7,2)),ROUND(ROUND(Basisbedragen!$D$27*0.65,4)*Basisbedragen!$I$7,2))&lt;= Basisbedragen!$I$8,MIN(MAX(ROUND(ROUND('Loonschijven_Tranches salariale'!$Q12*0.65,4)*Basisbedragen!$I$2,2),ROUND(Basisbedragen!$D$34*Basisbedragen!$I$2,2)),ROUND(ROUND(Basisbedragen!$D$27*0.65,4)*Basisbedragen!$I$2,2)),MIN(MAX(ROUND(ROUND('Loonschijven_Tranches salariale'!$Q12*0.65,4)*Basisbedragen!$I$7,2),ROUND(Basisbedragen!$D$34*Basisbedragen!$I$7,2)),ROUND(ROUND(Basisbedragen!$D$27*0.65,4)*Basisbedragen!$I$7,2))+Basisbedragen!$I$10)</f>
        <v>78.09</v>
      </c>
      <c r="D17" s="52">
        <f>IF(MIN(MAX(ROUND(ROUND('Loonschijven_Tranches salariale'!$Q12*0.6,4)*Basisbedragen!$I$7,2),ROUND(Basisbedragen!$D$34*Basisbedragen!$I$7,2)),ROUND(ROUND(Basisbedragen!$D$28*0.6,4)*Basisbedragen!$I$7,2))&lt;= Basisbedragen!$I$8,MIN(MAX(ROUND(ROUND('Loonschijven_Tranches salariale'!$Q12*0.6,4)*Basisbedragen!$I$2,2),ROUND(Basisbedragen!$D$34*Basisbedragen!$I$2,2)),ROUND(ROUND(Basisbedragen!$D$28*0.6,4)*Basisbedragen!$I$2,2)),MIN(MAX(ROUND(ROUND('Loonschijven_Tranches salariale'!$Q12*0.6,4)*Basisbedragen!$I$7,2),ROUND(Basisbedragen!$D$34*Basisbedragen!$I$7,2)),ROUND(ROUND(Basisbedragen!$D$28*0.6,4)*Basisbedragen!$I$7,2))+Basisbedragen!$I$10)</f>
        <v>78.09</v>
      </c>
      <c r="E17" s="52">
        <f>MIN(MAX(ROUND(ROUND('Loonschijven_Tranches salariale'!$Q12*0.6,4)*Basisbedragen!$I$2,2),ROUND(Basisbedragen!$D$35*Basisbedragen!$I$2,2)),ROUND(ROUND(Basisbedragen!$D$29*0.6,4)*Basisbedragen!$I$2,2))</f>
        <v>70.989999999999995</v>
      </c>
      <c r="F17" s="38"/>
      <c r="G17" s="52">
        <f t="shared" si="0"/>
        <v>70.989999999999995</v>
      </c>
      <c r="H17" s="38"/>
      <c r="I17" s="52">
        <f>IF(MIN(MAX(ROUND(ROUND('Loonschijven_Tranches salariale'!$Q12*0.65,4)*Basisbedragen!$I$7,2),ROUND(Basisbedragen!$D$36*Basisbedragen!$I$7,2)),ROUND(ROUND(Basisbedragen!$D$27*0.65,4)*Basisbedragen!$I$7,2))&lt;= Basisbedragen!$I$8,MIN(MAX(ROUND(ROUND('Loonschijven_Tranches salariale'!$Q12*0.65,4)*Basisbedragen!$I$2,2),ROUND(Basisbedragen!$D$36*Basisbedragen!$I$2,2)),ROUND(ROUND(Basisbedragen!$D$27*0.65,4)*Basisbedragen!$I$2,2)),MIN(MAX(ROUND(ROUND('Loonschijven_Tranches salariale'!$Q12*0.65,4)*Basisbedragen!$I$7,2),ROUND(Basisbedragen!$D$36*Basisbedragen!$I$7,2)),ROUND(ROUND(Basisbedragen!$D$27*0.65,4)*Basisbedragen!$I$7,2))+Basisbedragen!$I$10)</f>
        <v>63.29</v>
      </c>
      <c r="J17" s="52">
        <f>IF(MIN(MAX(ROUND(ROUND('Loonschijven_Tranches salariale'!$Q12*0.6,4)*Basisbedragen!$I$7,2),ROUND(Basisbedragen!$D$36*Basisbedragen!$I$7,2)),ROUND(ROUND(Basisbedragen!$D$28*0.6,4)*Basisbedragen!$I$7,2))&lt;= Basisbedragen!$I$8,MIN(MAX(ROUND(ROUND('Loonschijven_Tranches salariale'!$Q12*0.6,4)*Basisbedragen!$I$2,2),ROUND(Basisbedragen!$D$36*Basisbedragen!$I$2,2)),ROUND(ROUND(Basisbedragen!$D$28*0.6,4)*Basisbedragen!$I$2,2)),MIN(MAX(ROUND(ROUND('Loonschijven_Tranches salariale'!$Q12*0.6,4)*Basisbedragen!$I$7,2),ROUND(Basisbedragen!$D$36*Basisbedragen!$I$7,2)),ROUND(ROUND(Basisbedragen!$D$28*0.6,4)*Basisbedragen!$I$7,2))+Basisbedragen!$I$10)</f>
        <v>63.29</v>
      </c>
      <c r="K17" s="52">
        <f>MIN(MAX(ROUND(ROUND('Loonschijven_Tranches salariale'!$Q12*0.6,4)*Basisbedragen!$I$2,2),ROUND(Basisbedragen!$D$37*Basisbedragen!$I$2,2)),ROUND(ROUND(Basisbedragen!$D$29*0.6,4)*Basisbedragen!$I$2,2))</f>
        <v>57.53</v>
      </c>
      <c r="L17" s="38"/>
      <c r="M17" s="52">
        <f t="shared" si="1"/>
        <v>57.53</v>
      </c>
      <c r="N17" s="38"/>
      <c r="O17" s="52">
        <f>IF(MIN(MAX(ROUND(ROUND('Loonschijven_Tranches salariale'!$Q12*0.65,4)*Basisbedragen!$I$7,2),ROUND(Basisbedragen!$D$38*Basisbedragen!$I$7,2)),ROUND(ROUND(Basisbedragen!$D$27*0.65,4)*Basisbedragen!$I$7,2))&lt;= Basisbedragen!$I$8,MIN(MAX(ROUND(ROUND('Loonschijven_Tranches salariale'!$Q12*0.65,4)*Basisbedragen!$I$2,2),ROUND(Basisbedragen!$D$38*Basisbedragen!$I$2,2)),ROUND(ROUND(Basisbedragen!$D$27*0.65,4)*Basisbedragen!$I$2,2)),MIN(MAX(ROUND(ROUND('Loonschijven_Tranches salariale'!$Q12*0.65,4)*Basisbedragen!$I$7,2),ROUND(Basisbedragen!$D$38*Basisbedragen!$I$7,2)),ROUND(ROUND(Basisbedragen!$D$27*0.65,4)*Basisbedragen!$I$7,2))+Basisbedragen!$I$10)</f>
        <v>60.92</v>
      </c>
      <c r="P17" s="52">
        <f>IF(MIN(MAX(ROUND(ROUND('Loonschijven_Tranches salariale'!$Q12*0.6,4)*Basisbedragen!$I$7,2),ROUND(Basisbedragen!$D$39*Basisbedragen!$I$7,2)),ROUND(ROUND(Basisbedragen!$D$28*0.6,4)*Basisbedragen!$I$7,2))&lt;= Basisbedragen!$I$8,MIN(MAX(ROUND(ROUND('Loonschijven_Tranches salariale'!$Q12*0.6,4)*Basisbedragen!$I$2,2),ROUND(Basisbedragen!$D$39*Basisbedragen!$I$2,2)),ROUND(ROUND(Basisbedragen!$D$28*0.6,4)*Basisbedragen!$I$2,2)),MIN(MAX(ROUND(ROUND('Loonschijven_Tranches salariale'!$Q12*0.6,4)*Basisbedragen!$I$7,2),ROUND(Basisbedragen!$D$39*Basisbedragen!$I$7,2)),ROUND(ROUND(Basisbedragen!$D$28*0.6,4)*Basisbedragen!$I$7,2))+Basisbedragen!$I$10)</f>
        <v>56.23</v>
      </c>
      <c r="Q17" s="52">
        <f>MIN(MAX(ROUND(ROUND('Loonschijven_Tranches salariale'!$Q12*0.6,4)*Basisbedragen!$I$2,2),ROUND(Basisbedragen!$D$40*Basisbedragen!$I$2,2)),ROUND(ROUND(Basisbedragen!$D$29*0.6,4)*Basisbedragen!$I$2,2))</f>
        <v>51.12</v>
      </c>
      <c r="R17" s="38"/>
      <c r="S17" s="52">
        <f t="shared" si="2"/>
        <v>42.37</v>
      </c>
      <c r="T17" s="52">
        <f t="shared" si="3"/>
        <v>29.85</v>
      </c>
    </row>
    <row r="18" spans="1:20" ht="15.75" hidden="1" customHeight="1" outlineLevel="1" thickBot="1">
      <c r="A18" s="47">
        <f t="shared" si="4"/>
        <v>6</v>
      </c>
      <c r="C18" s="52">
        <f>IF(MIN(MAX(ROUND(ROUND('Loonschijven_Tranches salariale'!$Q13*0.65,4)*Basisbedragen!$I$7,2),ROUND(Basisbedragen!$D$34*Basisbedragen!$I$7,2)),ROUND(ROUND(Basisbedragen!$D$27*0.65,4)*Basisbedragen!$I$7,2))&lt;= Basisbedragen!$I$8,MIN(MAX(ROUND(ROUND('Loonschijven_Tranches salariale'!$Q13*0.65,4)*Basisbedragen!$I$2,2),ROUND(Basisbedragen!$D$34*Basisbedragen!$I$2,2)),ROUND(ROUND(Basisbedragen!$D$27*0.65,4)*Basisbedragen!$I$2,2)),MIN(MAX(ROUND(ROUND('Loonschijven_Tranches salariale'!$Q13*0.65,4)*Basisbedragen!$I$7,2),ROUND(Basisbedragen!$D$34*Basisbedragen!$I$7,2)),ROUND(ROUND(Basisbedragen!$D$27*0.65,4)*Basisbedragen!$I$7,2))+Basisbedragen!$I$10)</f>
        <v>78.09</v>
      </c>
      <c r="D18" s="52">
        <f>IF(MIN(MAX(ROUND(ROUND('Loonschijven_Tranches salariale'!$Q13*0.6,4)*Basisbedragen!$I$7,2),ROUND(Basisbedragen!$D$34*Basisbedragen!$I$7,2)),ROUND(ROUND(Basisbedragen!$D$28*0.6,4)*Basisbedragen!$I$7,2))&lt;= Basisbedragen!$I$8,MIN(MAX(ROUND(ROUND('Loonschijven_Tranches salariale'!$Q13*0.6,4)*Basisbedragen!$I$2,2),ROUND(Basisbedragen!$D$34*Basisbedragen!$I$2,2)),ROUND(ROUND(Basisbedragen!$D$28*0.6,4)*Basisbedragen!$I$2,2)),MIN(MAX(ROUND(ROUND('Loonschijven_Tranches salariale'!$Q13*0.6,4)*Basisbedragen!$I$7,2),ROUND(Basisbedragen!$D$34*Basisbedragen!$I$7,2)),ROUND(ROUND(Basisbedragen!$D$28*0.6,4)*Basisbedragen!$I$7,2))+Basisbedragen!$I$10)</f>
        <v>78.09</v>
      </c>
      <c r="E18" s="52">
        <f>MIN(MAX(ROUND(ROUND('Loonschijven_Tranches salariale'!$Q13*0.6,4)*Basisbedragen!$I$2,2),ROUND(Basisbedragen!$D$35*Basisbedragen!$I$2,2)),ROUND(ROUND(Basisbedragen!$D$29*0.6,4)*Basisbedragen!$I$2,2))</f>
        <v>70.989999999999995</v>
      </c>
      <c r="F18" s="38"/>
      <c r="G18" s="52">
        <f t="shared" si="0"/>
        <v>70.989999999999995</v>
      </c>
      <c r="H18" s="38"/>
      <c r="I18" s="52">
        <f>IF(MIN(MAX(ROUND(ROUND('Loonschijven_Tranches salariale'!$Q13*0.65,4)*Basisbedragen!$I$7,2),ROUND(Basisbedragen!$D$36*Basisbedragen!$I$7,2)),ROUND(ROUND(Basisbedragen!$D$27*0.65,4)*Basisbedragen!$I$7,2))&lt;= Basisbedragen!$I$8,MIN(MAX(ROUND(ROUND('Loonschijven_Tranches salariale'!$Q13*0.65,4)*Basisbedragen!$I$2,2),ROUND(Basisbedragen!$D$36*Basisbedragen!$I$2,2)),ROUND(ROUND(Basisbedragen!$D$27*0.65,4)*Basisbedragen!$I$2,2)),MIN(MAX(ROUND(ROUND('Loonschijven_Tranches salariale'!$Q13*0.65,4)*Basisbedragen!$I$7,2),ROUND(Basisbedragen!$D$36*Basisbedragen!$I$7,2)),ROUND(ROUND(Basisbedragen!$D$27*0.65,4)*Basisbedragen!$I$7,2))+Basisbedragen!$I$10)</f>
        <v>63.29</v>
      </c>
      <c r="J18" s="52">
        <f>IF(MIN(MAX(ROUND(ROUND('Loonschijven_Tranches salariale'!$Q13*0.6,4)*Basisbedragen!$I$7,2),ROUND(Basisbedragen!$D$36*Basisbedragen!$I$7,2)),ROUND(ROUND(Basisbedragen!$D$28*0.6,4)*Basisbedragen!$I$7,2))&lt;= Basisbedragen!$I$8,MIN(MAX(ROUND(ROUND('Loonschijven_Tranches salariale'!$Q13*0.6,4)*Basisbedragen!$I$2,2),ROUND(Basisbedragen!$D$36*Basisbedragen!$I$2,2)),ROUND(ROUND(Basisbedragen!$D$28*0.6,4)*Basisbedragen!$I$2,2)),MIN(MAX(ROUND(ROUND('Loonschijven_Tranches salariale'!$Q13*0.6,4)*Basisbedragen!$I$7,2),ROUND(Basisbedragen!$D$36*Basisbedragen!$I$7,2)),ROUND(ROUND(Basisbedragen!$D$28*0.6,4)*Basisbedragen!$I$7,2))+Basisbedragen!$I$10)</f>
        <v>63.29</v>
      </c>
      <c r="K18" s="52">
        <f>MIN(MAX(ROUND(ROUND('Loonschijven_Tranches salariale'!$Q13*0.6,4)*Basisbedragen!$I$2,2),ROUND(Basisbedragen!$D$37*Basisbedragen!$I$2,2)),ROUND(ROUND(Basisbedragen!$D$29*0.6,4)*Basisbedragen!$I$2,2))</f>
        <v>57.53</v>
      </c>
      <c r="L18" s="38"/>
      <c r="M18" s="52">
        <f t="shared" si="1"/>
        <v>57.53</v>
      </c>
      <c r="N18" s="38"/>
      <c r="O18" s="52">
        <f>IF(MIN(MAX(ROUND(ROUND('Loonschijven_Tranches salariale'!$Q13*0.65,4)*Basisbedragen!$I$7,2),ROUND(Basisbedragen!$D$38*Basisbedragen!$I$7,2)),ROUND(ROUND(Basisbedragen!$D$27*0.65,4)*Basisbedragen!$I$7,2))&lt;= Basisbedragen!$I$8,MIN(MAX(ROUND(ROUND('Loonschijven_Tranches salariale'!$Q13*0.65,4)*Basisbedragen!$I$2,2),ROUND(Basisbedragen!$D$38*Basisbedragen!$I$2,2)),ROUND(ROUND(Basisbedragen!$D$27*0.65,4)*Basisbedragen!$I$2,2)),MIN(MAX(ROUND(ROUND('Loonschijven_Tranches salariale'!$Q13*0.65,4)*Basisbedragen!$I$7,2),ROUND(Basisbedragen!$D$38*Basisbedragen!$I$7,2)),ROUND(ROUND(Basisbedragen!$D$27*0.65,4)*Basisbedragen!$I$7,2))+Basisbedragen!$I$10)</f>
        <v>60.92</v>
      </c>
      <c r="P18" s="52">
        <f>IF(MIN(MAX(ROUND(ROUND('Loonschijven_Tranches salariale'!$Q13*0.6,4)*Basisbedragen!$I$7,2),ROUND(Basisbedragen!$D$39*Basisbedragen!$I$7,2)),ROUND(ROUND(Basisbedragen!$D$28*0.6,4)*Basisbedragen!$I$7,2))&lt;= Basisbedragen!$I$8,MIN(MAX(ROUND(ROUND('Loonschijven_Tranches salariale'!$Q13*0.6,4)*Basisbedragen!$I$2,2),ROUND(Basisbedragen!$D$39*Basisbedragen!$I$2,2)),ROUND(ROUND(Basisbedragen!$D$28*0.6,4)*Basisbedragen!$I$2,2)),MIN(MAX(ROUND(ROUND('Loonschijven_Tranches salariale'!$Q13*0.6,4)*Basisbedragen!$I$7,2),ROUND(Basisbedragen!$D$39*Basisbedragen!$I$7,2)),ROUND(ROUND(Basisbedragen!$D$28*0.6,4)*Basisbedragen!$I$7,2))+Basisbedragen!$I$10)</f>
        <v>56.23</v>
      </c>
      <c r="Q18" s="52">
        <f>MIN(MAX(ROUND(ROUND('Loonschijven_Tranches salariale'!$Q13*0.6,4)*Basisbedragen!$I$2,2),ROUND(Basisbedragen!$D$40*Basisbedragen!$I$2,2)),ROUND(ROUND(Basisbedragen!$D$29*0.6,4)*Basisbedragen!$I$2,2))</f>
        <v>51.12</v>
      </c>
      <c r="R18" s="38"/>
      <c r="S18" s="52">
        <f t="shared" si="2"/>
        <v>42.37</v>
      </c>
      <c r="T18" s="52">
        <f t="shared" si="3"/>
        <v>29.85</v>
      </c>
    </row>
    <row r="19" spans="1:20" ht="15.75" hidden="1" customHeight="1" outlineLevel="1" thickBot="1">
      <c r="A19" s="47">
        <f t="shared" si="4"/>
        <v>7</v>
      </c>
      <c r="C19" s="52">
        <f>IF(MIN(MAX(ROUND(ROUND('Loonschijven_Tranches salariale'!$Q14*0.65,4)*Basisbedragen!$I$7,2),ROUND(Basisbedragen!$D$34*Basisbedragen!$I$7,2)),ROUND(ROUND(Basisbedragen!$D$27*0.65,4)*Basisbedragen!$I$7,2))&lt;= Basisbedragen!$I$8,MIN(MAX(ROUND(ROUND('Loonschijven_Tranches salariale'!$Q14*0.65,4)*Basisbedragen!$I$2,2),ROUND(Basisbedragen!$D$34*Basisbedragen!$I$2,2)),ROUND(ROUND(Basisbedragen!$D$27*0.65,4)*Basisbedragen!$I$2,2)),MIN(MAX(ROUND(ROUND('Loonschijven_Tranches salariale'!$Q14*0.65,4)*Basisbedragen!$I$7,2),ROUND(Basisbedragen!$D$34*Basisbedragen!$I$7,2)),ROUND(ROUND(Basisbedragen!$D$27*0.65,4)*Basisbedragen!$I$7,2))+Basisbedragen!$I$10)</f>
        <v>78.09</v>
      </c>
      <c r="D19" s="52">
        <f>IF(MIN(MAX(ROUND(ROUND('Loonschijven_Tranches salariale'!$Q14*0.6,4)*Basisbedragen!$I$7,2),ROUND(Basisbedragen!$D$34*Basisbedragen!$I$7,2)),ROUND(ROUND(Basisbedragen!$D$28*0.6,4)*Basisbedragen!$I$7,2))&lt;= Basisbedragen!$I$8,MIN(MAX(ROUND(ROUND('Loonschijven_Tranches salariale'!$Q14*0.6,4)*Basisbedragen!$I$2,2),ROUND(Basisbedragen!$D$34*Basisbedragen!$I$2,2)),ROUND(ROUND(Basisbedragen!$D$28*0.6,4)*Basisbedragen!$I$2,2)),MIN(MAX(ROUND(ROUND('Loonschijven_Tranches salariale'!$Q14*0.6,4)*Basisbedragen!$I$7,2),ROUND(Basisbedragen!$D$34*Basisbedragen!$I$7,2)),ROUND(ROUND(Basisbedragen!$D$28*0.6,4)*Basisbedragen!$I$7,2))+Basisbedragen!$I$10)</f>
        <v>78.09</v>
      </c>
      <c r="E19" s="52">
        <f>MIN(MAX(ROUND(ROUND('Loonschijven_Tranches salariale'!$Q14*0.6,4)*Basisbedragen!$I$2,2),ROUND(Basisbedragen!$D$35*Basisbedragen!$I$2,2)),ROUND(ROUND(Basisbedragen!$D$29*0.6,4)*Basisbedragen!$I$2,2))</f>
        <v>70.989999999999995</v>
      </c>
      <c r="F19" s="38"/>
      <c r="G19" s="52">
        <f t="shared" si="0"/>
        <v>70.989999999999995</v>
      </c>
      <c r="H19" s="38"/>
      <c r="I19" s="52">
        <f>IF(MIN(MAX(ROUND(ROUND('Loonschijven_Tranches salariale'!$Q14*0.65,4)*Basisbedragen!$I$7,2),ROUND(Basisbedragen!$D$36*Basisbedragen!$I$7,2)),ROUND(ROUND(Basisbedragen!$D$27*0.65,4)*Basisbedragen!$I$7,2))&lt;= Basisbedragen!$I$8,MIN(MAX(ROUND(ROUND('Loonschijven_Tranches salariale'!$Q14*0.65,4)*Basisbedragen!$I$2,2),ROUND(Basisbedragen!$D$36*Basisbedragen!$I$2,2)),ROUND(ROUND(Basisbedragen!$D$27*0.65,4)*Basisbedragen!$I$2,2)),MIN(MAX(ROUND(ROUND('Loonschijven_Tranches salariale'!$Q14*0.65,4)*Basisbedragen!$I$7,2),ROUND(Basisbedragen!$D$36*Basisbedragen!$I$7,2)),ROUND(ROUND(Basisbedragen!$D$27*0.65,4)*Basisbedragen!$I$7,2))+Basisbedragen!$I$10)</f>
        <v>63.29</v>
      </c>
      <c r="J19" s="52">
        <f>IF(MIN(MAX(ROUND(ROUND('Loonschijven_Tranches salariale'!$Q14*0.6,4)*Basisbedragen!$I$7,2),ROUND(Basisbedragen!$D$36*Basisbedragen!$I$7,2)),ROUND(ROUND(Basisbedragen!$D$28*0.6,4)*Basisbedragen!$I$7,2))&lt;= Basisbedragen!$I$8,MIN(MAX(ROUND(ROUND('Loonschijven_Tranches salariale'!$Q14*0.6,4)*Basisbedragen!$I$2,2),ROUND(Basisbedragen!$D$36*Basisbedragen!$I$2,2)),ROUND(ROUND(Basisbedragen!$D$28*0.6,4)*Basisbedragen!$I$2,2)),MIN(MAX(ROUND(ROUND('Loonschijven_Tranches salariale'!$Q14*0.6,4)*Basisbedragen!$I$7,2),ROUND(Basisbedragen!$D$36*Basisbedragen!$I$7,2)),ROUND(ROUND(Basisbedragen!$D$28*0.6,4)*Basisbedragen!$I$7,2))+Basisbedragen!$I$10)</f>
        <v>63.29</v>
      </c>
      <c r="K19" s="52">
        <f>MIN(MAX(ROUND(ROUND('Loonschijven_Tranches salariale'!$Q14*0.6,4)*Basisbedragen!$I$2,2),ROUND(Basisbedragen!$D$37*Basisbedragen!$I$2,2)),ROUND(ROUND(Basisbedragen!$D$29*0.6,4)*Basisbedragen!$I$2,2))</f>
        <v>57.53</v>
      </c>
      <c r="L19" s="38"/>
      <c r="M19" s="52">
        <f t="shared" si="1"/>
        <v>57.53</v>
      </c>
      <c r="N19" s="38"/>
      <c r="O19" s="52">
        <f>IF(MIN(MAX(ROUND(ROUND('Loonschijven_Tranches salariale'!$Q14*0.65,4)*Basisbedragen!$I$7,2),ROUND(Basisbedragen!$D$38*Basisbedragen!$I$7,2)),ROUND(ROUND(Basisbedragen!$D$27*0.65,4)*Basisbedragen!$I$7,2))&lt;= Basisbedragen!$I$8,MIN(MAX(ROUND(ROUND('Loonschijven_Tranches salariale'!$Q14*0.65,4)*Basisbedragen!$I$2,2),ROUND(Basisbedragen!$D$38*Basisbedragen!$I$2,2)),ROUND(ROUND(Basisbedragen!$D$27*0.65,4)*Basisbedragen!$I$2,2)),MIN(MAX(ROUND(ROUND('Loonschijven_Tranches salariale'!$Q14*0.65,4)*Basisbedragen!$I$7,2),ROUND(Basisbedragen!$D$38*Basisbedragen!$I$7,2)),ROUND(ROUND(Basisbedragen!$D$27*0.65,4)*Basisbedragen!$I$7,2))+Basisbedragen!$I$10)</f>
        <v>60.92</v>
      </c>
      <c r="P19" s="52">
        <f>IF(MIN(MAX(ROUND(ROUND('Loonschijven_Tranches salariale'!$Q14*0.6,4)*Basisbedragen!$I$7,2),ROUND(Basisbedragen!$D$39*Basisbedragen!$I$7,2)),ROUND(ROUND(Basisbedragen!$D$28*0.6,4)*Basisbedragen!$I$7,2))&lt;= Basisbedragen!$I$8,MIN(MAX(ROUND(ROUND('Loonschijven_Tranches salariale'!$Q14*0.6,4)*Basisbedragen!$I$2,2),ROUND(Basisbedragen!$D$39*Basisbedragen!$I$2,2)),ROUND(ROUND(Basisbedragen!$D$28*0.6,4)*Basisbedragen!$I$2,2)),MIN(MAX(ROUND(ROUND('Loonschijven_Tranches salariale'!$Q14*0.6,4)*Basisbedragen!$I$7,2),ROUND(Basisbedragen!$D$39*Basisbedragen!$I$7,2)),ROUND(ROUND(Basisbedragen!$D$28*0.6,4)*Basisbedragen!$I$7,2))+Basisbedragen!$I$10)</f>
        <v>56.23</v>
      </c>
      <c r="Q19" s="52">
        <f>MIN(MAX(ROUND(ROUND('Loonschijven_Tranches salariale'!$Q14*0.6,4)*Basisbedragen!$I$2,2),ROUND(Basisbedragen!$D$40*Basisbedragen!$I$2,2)),ROUND(ROUND(Basisbedragen!$D$29*0.6,4)*Basisbedragen!$I$2,2))</f>
        <v>51.12</v>
      </c>
      <c r="R19" s="38"/>
      <c r="S19" s="52">
        <f t="shared" si="2"/>
        <v>42.37</v>
      </c>
      <c r="T19" s="52">
        <f t="shared" si="3"/>
        <v>29.85</v>
      </c>
    </row>
    <row r="20" spans="1:20" ht="15.75" hidden="1" customHeight="1" outlineLevel="1" thickBot="1">
      <c r="A20" s="47">
        <f t="shared" si="4"/>
        <v>8</v>
      </c>
      <c r="C20" s="52">
        <f>IF(MIN(MAX(ROUND(ROUND('Loonschijven_Tranches salariale'!$Q15*0.65,4)*Basisbedragen!$I$7,2),ROUND(Basisbedragen!$D$34*Basisbedragen!$I$7,2)),ROUND(ROUND(Basisbedragen!$D$27*0.65,4)*Basisbedragen!$I$7,2))&lt;= Basisbedragen!$I$8,MIN(MAX(ROUND(ROUND('Loonschijven_Tranches salariale'!$Q15*0.65,4)*Basisbedragen!$I$2,2),ROUND(Basisbedragen!$D$34*Basisbedragen!$I$2,2)),ROUND(ROUND(Basisbedragen!$D$27*0.65,4)*Basisbedragen!$I$2,2)),MIN(MAX(ROUND(ROUND('Loonschijven_Tranches salariale'!$Q15*0.65,4)*Basisbedragen!$I$7,2),ROUND(Basisbedragen!$D$34*Basisbedragen!$I$7,2)),ROUND(ROUND(Basisbedragen!$D$27*0.65,4)*Basisbedragen!$I$7,2))+Basisbedragen!$I$10)</f>
        <v>78.09</v>
      </c>
      <c r="D20" s="52">
        <f>IF(MIN(MAX(ROUND(ROUND('Loonschijven_Tranches salariale'!$Q15*0.6,4)*Basisbedragen!$I$7,2),ROUND(Basisbedragen!$D$34*Basisbedragen!$I$7,2)),ROUND(ROUND(Basisbedragen!$D$28*0.6,4)*Basisbedragen!$I$7,2))&lt;= Basisbedragen!$I$8,MIN(MAX(ROUND(ROUND('Loonschijven_Tranches salariale'!$Q15*0.6,4)*Basisbedragen!$I$2,2),ROUND(Basisbedragen!$D$34*Basisbedragen!$I$2,2)),ROUND(ROUND(Basisbedragen!$D$28*0.6,4)*Basisbedragen!$I$2,2)),MIN(MAX(ROUND(ROUND('Loonschijven_Tranches salariale'!$Q15*0.6,4)*Basisbedragen!$I$7,2),ROUND(Basisbedragen!$D$34*Basisbedragen!$I$7,2)),ROUND(ROUND(Basisbedragen!$D$28*0.6,4)*Basisbedragen!$I$7,2))+Basisbedragen!$I$10)</f>
        <v>78.09</v>
      </c>
      <c r="E20" s="52">
        <f>MIN(MAX(ROUND(ROUND('Loonschijven_Tranches salariale'!$Q15*0.6,4)*Basisbedragen!$I$2,2),ROUND(Basisbedragen!$D$35*Basisbedragen!$I$2,2)),ROUND(ROUND(Basisbedragen!$D$29*0.6,4)*Basisbedragen!$I$2,2))</f>
        <v>70.989999999999995</v>
      </c>
      <c r="F20" s="38"/>
      <c r="G20" s="52">
        <f t="shared" si="0"/>
        <v>70.989999999999995</v>
      </c>
      <c r="H20" s="38"/>
      <c r="I20" s="52">
        <f>IF(MIN(MAX(ROUND(ROUND('Loonschijven_Tranches salariale'!$Q15*0.65,4)*Basisbedragen!$I$7,2),ROUND(Basisbedragen!$D$36*Basisbedragen!$I$7,2)),ROUND(ROUND(Basisbedragen!$D$27*0.65,4)*Basisbedragen!$I$7,2))&lt;= Basisbedragen!$I$8,MIN(MAX(ROUND(ROUND('Loonschijven_Tranches salariale'!$Q15*0.65,4)*Basisbedragen!$I$2,2),ROUND(Basisbedragen!$D$36*Basisbedragen!$I$2,2)),ROUND(ROUND(Basisbedragen!$D$27*0.65,4)*Basisbedragen!$I$2,2)),MIN(MAX(ROUND(ROUND('Loonschijven_Tranches salariale'!$Q15*0.65,4)*Basisbedragen!$I$7,2),ROUND(Basisbedragen!$D$36*Basisbedragen!$I$7,2)),ROUND(ROUND(Basisbedragen!$D$27*0.65,4)*Basisbedragen!$I$7,2))+Basisbedragen!$I$10)</f>
        <v>63.29</v>
      </c>
      <c r="J20" s="52">
        <f>IF(MIN(MAX(ROUND(ROUND('Loonschijven_Tranches salariale'!$Q15*0.6,4)*Basisbedragen!$I$7,2),ROUND(Basisbedragen!$D$36*Basisbedragen!$I$7,2)),ROUND(ROUND(Basisbedragen!$D$28*0.6,4)*Basisbedragen!$I$7,2))&lt;= Basisbedragen!$I$8,MIN(MAX(ROUND(ROUND('Loonschijven_Tranches salariale'!$Q15*0.6,4)*Basisbedragen!$I$2,2),ROUND(Basisbedragen!$D$36*Basisbedragen!$I$2,2)),ROUND(ROUND(Basisbedragen!$D$28*0.6,4)*Basisbedragen!$I$2,2)),MIN(MAX(ROUND(ROUND('Loonschijven_Tranches salariale'!$Q15*0.6,4)*Basisbedragen!$I$7,2),ROUND(Basisbedragen!$D$36*Basisbedragen!$I$7,2)),ROUND(ROUND(Basisbedragen!$D$28*0.6,4)*Basisbedragen!$I$7,2))+Basisbedragen!$I$10)</f>
        <v>63.29</v>
      </c>
      <c r="K20" s="52">
        <f>MIN(MAX(ROUND(ROUND('Loonschijven_Tranches salariale'!$Q15*0.6,4)*Basisbedragen!$I$2,2),ROUND(Basisbedragen!$D$37*Basisbedragen!$I$2,2)),ROUND(ROUND(Basisbedragen!$D$29*0.6,4)*Basisbedragen!$I$2,2))</f>
        <v>57.53</v>
      </c>
      <c r="L20" s="38"/>
      <c r="M20" s="52">
        <f t="shared" si="1"/>
        <v>57.53</v>
      </c>
      <c r="N20" s="38"/>
      <c r="O20" s="52">
        <f>IF(MIN(MAX(ROUND(ROUND('Loonschijven_Tranches salariale'!$Q15*0.65,4)*Basisbedragen!$I$7,2),ROUND(Basisbedragen!$D$38*Basisbedragen!$I$7,2)),ROUND(ROUND(Basisbedragen!$D$27*0.65,4)*Basisbedragen!$I$7,2))&lt;= Basisbedragen!$I$8,MIN(MAX(ROUND(ROUND('Loonschijven_Tranches salariale'!$Q15*0.65,4)*Basisbedragen!$I$2,2),ROUND(Basisbedragen!$D$38*Basisbedragen!$I$2,2)),ROUND(ROUND(Basisbedragen!$D$27*0.65,4)*Basisbedragen!$I$2,2)),MIN(MAX(ROUND(ROUND('Loonschijven_Tranches salariale'!$Q15*0.65,4)*Basisbedragen!$I$7,2),ROUND(Basisbedragen!$D$38*Basisbedragen!$I$7,2)),ROUND(ROUND(Basisbedragen!$D$27*0.65,4)*Basisbedragen!$I$7,2))+Basisbedragen!$I$10)</f>
        <v>60.92</v>
      </c>
      <c r="P20" s="52">
        <f>IF(MIN(MAX(ROUND(ROUND('Loonschijven_Tranches salariale'!$Q15*0.6,4)*Basisbedragen!$I$7,2),ROUND(Basisbedragen!$D$39*Basisbedragen!$I$7,2)),ROUND(ROUND(Basisbedragen!$D$28*0.6,4)*Basisbedragen!$I$7,2))&lt;= Basisbedragen!$I$8,MIN(MAX(ROUND(ROUND('Loonschijven_Tranches salariale'!$Q15*0.6,4)*Basisbedragen!$I$2,2),ROUND(Basisbedragen!$D$39*Basisbedragen!$I$2,2)),ROUND(ROUND(Basisbedragen!$D$28*0.6,4)*Basisbedragen!$I$2,2)),MIN(MAX(ROUND(ROUND('Loonschijven_Tranches salariale'!$Q15*0.6,4)*Basisbedragen!$I$7,2),ROUND(Basisbedragen!$D$39*Basisbedragen!$I$7,2)),ROUND(ROUND(Basisbedragen!$D$28*0.6,4)*Basisbedragen!$I$7,2))+Basisbedragen!$I$10)</f>
        <v>56.23</v>
      </c>
      <c r="Q20" s="52">
        <f>MIN(MAX(ROUND(ROUND('Loonschijven_Tranches salariale'!$Q15*0.6,4)*Basisbedragen!$I$2,2),ROUND(Basisbedragen!$D$40*Basisbedragen!$I$2,2)),ROUND(ROUND(Basisbedragen!$D$29*0.6,4)*Basisbedragen!$I$2,2))</f>
        <v>51.12</v>
      </c>
      <c r="R20" s="38"/>
      <c r="S20" s="52">
        <f t="shared" si="2"/>
        <v>42.37</v>
      </c>
      <c r="T20" s="52">
        <f t="shared" si="3"/>
        <v>29.85</v>
      </c>
    </row>
    <row r="21" spans="1:20" ht="15.75" hidden="1" customHeight="1" outlineLevel="1" thickBot="1">
      <c r="A21" s="47">
        <f t="shared" si="4"/>
        <v>9</v>
      </c>
      <c r="C21" s="52">
        <f>IF(MIN(MAX(ROUND(ROUND('Loonschijven_Tranches salariale'!$Q16*0.65,4)*Basisbedragen!$I$7,2),ROUND(Basisbedragen!$D$34*Basisbedragen!$I$7,2)),ROUND(ROUND(Basisbedragen!$D$27*0.65,4)*Basisbedragen!$I$7,2))&lt;= Basisbedragen!$I$8,MIN(MAX(ROUND(ROUND('Loonschijven_Tranches salariale'!$Q16*0.65,4)*Basisbedragen!$I$2,2),ROUND(Basisbedragen!$D$34*Basisbedragen!$I$2,2)),ROUND(ROUND(Basisbedragen!$D$27*0.65,4)*Basisbedragen!$I$2,2)),MIN(MAX(ROUND(ROUND('Loonschijven_Tranches salariale'!$Q16*0.65,4)*Basisbedragen!$I$7,2),ROUND(Basisbedragen!$D$34*Basisbedragen!$I$7,2)),ROUND(ROUND(Basisbedragen!$D$27*0.65,4)*Basisbedragen!$I$7,2))+Basisbedragen!$I$10)</f>
        <v>78.09</v>
      </c>
      <c r="D21" s="52">
        <f>IF(MIN(MAX(ROUND(ROUND('Loonschijven_Tranches salariale'!$Q16*0.6,4)*Basisbedragen!$I$7,2),ROUND(Basisbedragen!$D$34*Basisbedragen!$I$7,2)),ROUND(ROUND(Basisbedragen!$D$28*0.6,4)*Basisbedragen!$I$7,2))&lt;= Basisbedragen!$I$8,MIN(MAX(ROUND(ROUND('Loonschijven_Tranches salariale'!$Q16*0.6,4)*Basisbedragen!$I$2,2),ROUND(Basisbedragen!$D$34*Basisbedragen!$I$2,2)),ROUND(ROUND(Basisbedragen!$D$28*0.6,4)*Basisbedragen!$I$2,2)),MIN(MAX(ROUND(ROUND('Loonschijven_Tranches salariale'!$Q16*0.6,4)*Basisbedragen!$I$7,2),ROUND(Basisbedragen!$D$34*Basisbedragen!$I$7,2)),ROUND(ROUND(Basisbedragen!$D$28*0.6,4)*Basisbedragen!$I$7,2))+Basisbedragen!$I$10)</f>
        <v>78.09</v>
      </c>
      <c r="E21" s="52">
        <f>MIN(MAX(ROUND(ROUND('Loonschijven_Tranches salariale'!$Q16*0.6,4)*Basisbedragen!$I$2,2),ROUND(Basisbedragen!$D$35*Basisbedragen!$I$2,2)),ROUND(ROUND(Basisbedragen!$D$29*0.6,4)*Basisbedragen!$I$2,2))</f>
        <v>70.989999999999995</v>
      </c>
      <c r="F21" s="38"/>
      <c r="G21" s="52">
        <f t="shared" si="0"/>
        <v>70.989999999999995</v>
      </c>
      <c r="H21" s="38"/>
      <c r="I21" s="52">
        <f>IF(MIN(MAX(ROUND(ROUND('Loonschijven_Tranches salariale'!$Q16*0.65,4)*Basisbedragen!$I$7,2),ROUND(Basisbedragen!$D$36*Basisbedragen!$I$7,2)),ROUND(ROUND(Basisbedragen!$D$27*0.65,4)*Basisbedragen!$I$7,2))&lt;= Basisbedragen!$I$8,MIN(MAX(ROUND(ROUND('Loonschijven_Tranches salariale'!$Q16*0.65,4)*Basisbedragen!$I$2,2),ROUND(Basisbedragen!$D$36*Basisbedragen!$I$2,2)),ROUND(ROUND(Basisbedragen!$D$27*0.65,4)*Basisbedragen!$I$2,2)),MIN(MAX(ROUND(ROUND('Loonschijven_Tranches salariale'!$Q16*0.65,4)*Basisbedragen!$I$7,2),ROUND(Basisbedragen!$D$36*Basisbedragen!$I$7,2)),ROUND(ROUND(Basisbedragen!$D$27*0.65,4)*Basisbedragen!$I$7,2))+Basisbedragen!$I$10)</f>
        <v>63.29</v>
      </c>
      <c r="J21" s="52">
        <f>IF(MIN(MAX(ROUND(ROUND('Loonschijven_Tranches salariale'!$Q16*0.6,4)*Basisbedragen!$I$7,2),ROUND(Basisbedragen!$D$36*Basisbedragen!$I$7,2)),ROUND(ROUND(Basisbedragen!$D$28*0.6,4)*Basisbedragen!$I$7,2))&lt;= Basisbedragen!$I$8,MIN(MAX(ROUND(ROUND('Loonschijven_Tranches salariale'!$Q16*0.6,4)*Basisbedragen!$I$2,2),ROUND(Basisbedragen!$D$36*Basisbedragen!$I$2,2)),ROUND(ROUND(Basisbedragen!$D$28*0.6,4)*Basisbedragen!$I$2,2)),MIN(MAX(ROUND(ROUND('Loonschijven_Tranches salariale'!$Q16*0.6,4)*Basisbedragen!$I$7,2),ROUND(Basisbedragen!$D$36*Basisbedragen!$I$7,2)),ROUND(ROUND(Basisbedragen!$D$28*0.6,4)*Basisbedragen!$I$7,2))+Basisbedragen!$I$10)</f>
        <v>63.29</v>
      </c>
      <c r="K21" s="52">
        <f>MIN(MAX(ROUND(ROUND('Loonschijven_Tranches salariale'!$Q16*0.6,4)*Basisbedragen!$I$2,2),ROUND(Basisbedragen!$D$37*Basisbedragen!$I$2,2)),ROUND(ROUND(Basisbedragen!$D$29*0.6,4)*Basisbedragen!$I$2,2))</f>
        <v>57.53</v>
      </c>
      <c r="L21" s="38"/>
      <c r="M21" s="52">
        <f t="shared" si="1"/>
        <v>57.53</v>
      </c>
      <c r="N21" s="38"/>
      <c r="O21" s="52">
        <f>IF(MIN(MAX(ROUND(ROUND('Loonschijven_Tranches salariale'!$Q16*0.65,4)*Basisbedragen!$I$7,2),ROUND(Basisbedragen!$D$38*Basisbedragen!$I$7,2)),ROUND(ROUND(Basisbedragen!$D$27*0.65,4)*Basisbedragen!$I$7,2))&lt;= Basisbedragen!$I$8,MIN(MAX(ROUND(ROUND('Loonschijven_Tranches salariale'!$Q16*0.65,4)*Basisbedragen!$I$2,2),ROUND(Basisbedragen!$D$38*Basisbedragen!$I$2,2)),ROUND(ROUND(Basisbedragen!$D$27*0.65,4)*Basisbedragen!$I$2,2)),MIN(MAX(ROUND(ROUND('Loonschijven_Tranches salariale'!$Q16*0.65,4)*Basisbedragen!$I$7,2),ROUND(Basisbedragen!$D$38*Basisbedragen!$I$7,2)),ROUND(ROUND(Basisbedragen!$D$27*0.65,4)*Basisbedragen!$I$7,2))+Basisbedragen!$I$10)</f>
        <v>60.92</v>
      </c>
      <c r="P21" s="52">
        <f>IF(MIN(MAX(ROUND(ROUND('Loonschijven_Tranches salariale'!$Q16*0.6,4)*Basisbedragen!$I$7,2),ROUND(Basisbedragen!$D$39*Basisbedragen!$I$7,2)),ROUND(ROUND(Basisbedragen!$D$28*0.6,4)*Basisbedragen!$I$7,2))&lt;= Basisbedragen!$I$8,MIN(MAX(ROUND(ROUND('Loonschijven_Tranches salariale'!$Q16*0.6,4)*Basisbedragen!$I$2,2),ROUND(Basisbedragen!$D$39*Basisbedragen!$I$2,2)),ROUND(ROUND(Basisbedragen!$D$28*0.6,4)*Basisbedragen!$I$2,2)),MIN(MAX(ROUND(ROUND('Loonschijven_Tranches salariale'!$Q16*0.6,4)*Basisbedragen!$I$7,2),ROUND(Basisbedragen!$D$39*Basisbedragen!$I$7,2)),ROUND(ROUND(Basisbedragen!$D$28*0.6,4)*Basisbedragen!$I$7,2))+Basisbedragen!$I$10)</f>
        <v>56.23</v>
      </c>
      <c r="Q21" s="52">
        <f>MIN(MAX(ROUND(ROUND('Loonschijven_Tranches salariale'!$Q16*0.6,4)*Basisbedragen!$I$2,2),ROUND(Basisbedragen!$D$40*Basisbedragen!$I$2,2)),ROUND(ROUND(Basisbedragen!$D$29*0.6,4)*Basisbedragen!$I$2,2))</f>
        <v>51.12</v>
      </c>
      <c r="R21" s="38"/>
      <c r="S21" s="52">
        <f t="shared" si="2"/>
        <v>42.37</v>
      </c>
      <c r="T21" s="52">
        <f t="shared" si="3"/>
        <v>29.85</v>
      </c>
    </row>
    <row r="22" spans="1:20" ht="15.75" hidden="1" customHeight="1" outlineLevel="1" thickBot="1">
      <c r="A22" s="47">
        <f t="shared" si="4"/>
        <v>10</v>
      </c>
      <c r="C22" s="52">
        <f>IF(MIN(MAX(ROUND(ROUND('Loonschijven_Tranches salariale'!$Q17*0.65,4)*Basisbedragen!$I$7,2),ROUND(Basisbedragen!$D$34*Basisbedragen!$I$7,2)),ROUND(ROUND(Basisbedragen!$D$27*0.65,4)*Basisbedragen!$I$7,2))&lt;= Basisbedragen!$I$8,MIN(MAX(ROUND(ROUND('Loonschijven_Tranches salariale'!$Q17*0.65,4)*Basisbedragen!$I$2,2),ROUND(Basisbedragen!$D$34*Basisbedragen!$I$2,2)),ROUND(ROUND(Basisbedragen!$D$27*0.65,4)*Basisbedragen!$I$2,2)),MIN(MAX(ROUND(ROUND('Loonschijven_Tranches salariale'!$Q17*0.65,4)*Basisbedragen!$I$7,2),ROUND(Basisbedragen!$D$34*Basisbedragen!$I$7,2)),ROUND(ROUND(Basisbedragen!$D$27*0.65,4)*Basisbedragen!$I$7,2))+Basisbedragen!$I$10)</f>
        <v>78.09</v>
      </c>
      <c r="D22" s="52">
        <f>IF(MIN(MAX(ROUND(ROUND('Loonschijven_Tranches salariale'!$Q17*0.6,4)*Basisbedragen!$I$7,2),ROUND(Basisbedragen!$D$34*Basisbedragen!$I$7,2)),ROUND(ROUND(Basisbedragen!$D$28*0.6,4)*Basisbedragen!$I$7,2))&lt;= Basisbedragen!$I$8,MIN(MAX(ROUND(ROUND('Loonschijven_Tranches salariale'!$Q17*0.6,4)*Basisbedragen!$I$2,2),ROUND(Basisbedragen!$D$34*Basisbedragen!$I$2,2)),ROUND(ROUND(Basisbedragen!$D$28*0.6,4)*Basisbedragen!$I$2,2)),MIN(MAX(ROUND(ROUND('Loonschijven_Tranches salariale'!$Q17*0.6,4)*Basisbedragen!$I$7,2),ROUND(Basisbedragen!$D$34*Basisbedragen!$I$7,2)),ROUND(ROUND(Basisbedragen!$D$28*0.6,4)*Basisbedragen!$I$7,2))+Basisbedragen!$I$10)</f>
        <v>78.09</v>
      </c>
      <c r="E22" s="52">
        <f>MIN(MAX(ROUND(ROUND('Loonschijven_Tranches salariale'!$Q17*0.6,4)*Basisbedragen!$I$2,2),ROUND(Basisbedragen!$D$35*Basisbedragen!$I$2,2)),ROUND(ROUND(Basisbedragen!$D$29*0.6,4)*Basisbedragen!$I$2,2))</f>
        <v>70.989999999999995</v>
      </c>
      <c r="F22" s="38"/>
      <c r="G22" s="52">
        <f t="shared" si="0"/>
        <v>70.989999999999995</v>
      </c>
      <c r="H22" s="38"/>
      <c r="I22" s="52">
        <f>IF(MIN(MAX(ROUND(ROUND('Loonschijven_Tranches salariale'!$Q17*0.65,4)*Basisbedragen!$I$7,2),ROUND(Basisbedragen!$D$36*Basisbedragen!$I$7,2)),ROUND(ROUND(Basisbedragen!$D$27*0.65,4)*Basisbedragen!$I$7,2))&lt;= Basisbedragen!$I$8,MIN(MAX(ROUND(ROUND('Loonschijven_Tranches salariale'!$Q17*0.65,4)*Basisbedragen!$I$2,2),ROUND(Basisbedragen!$D$36*Basisbedragen!$I$2,2)),ROUND(ROUND(Basisbedragen!$D$27*0.65,4)*Basisbedragen!$I$2,2)),MIN(MAX(ROUND(ROUND('Loonschijven_Tranches salariale'!$Q17*0.65,4)*Basisbedragen!$I$7,2),ROUND(Basisbedragen!$D$36*Basisbedragen!$I$7,2)),ROUND(ROUND(Basisbedragen!$D$27*0.65,4)*Basisbedragen!$I$7,2))+Basisbedragen!$I$10)</f>
        <v>63.29</v>
      </c>
      <c r="J22" s="52">
        <f>IF(MIN(MAX(ROUND(ROUND('Loonschijven_Tranches salariale'!$Q17*0.6,4)*Basisbedragen!$I$7,2),ROUND(Basisbedragen!$D$36*Basisbedragen!$I$7,2)),ROUND(ROUND(Basisbedragen!$D$28*0.6,4)*Basisbedragen!$I$7,2))&lt;= Basisbedragen!$I$8,MIN(MAX(ROUND(ROUND('Loonschijven_Tranches salariale'!$Q17*0.6,4)*Basisbedragen!$I$2,2),ROUND(Basisbedragen!$D$36*Basisbedragen!$I$2,2)),ROUND(ROUND(Basisbedragen!$D$28*0.6,4)*Basisbedragen!$I$2,2)),MIN(MAX(ROUND(ROUND('Loonschijven_Tranches salariale'!$Q17*0.6,4)*Basisbedragen!$I$7,2),ROUND(Basisbedragen!$D$36*Basisbedragen!$I$7,2)),ROUND(ROUND(Basisbedragen!$D$28*0.6,4)*Basisbedragen!$I$7,2))+Basisbedragen!$I$10)</f>
        <v>63.29</v>
      </c>
      <c r="K22" s="52">
        <f>MIN(MAX(ROUND(ROUND('Loonschijven_Tranches salariale'!$Q17*0.6,4)*Basisbedragen!$I$2,2),ROUND(Basisbedragen!$D$37*Basisbedragen!$I$2,2)),ROUND(ROUND(Basisbedragen!$D$29*0.6,4)*Basisbedragen!$I$2,2))</f>
        <v>57.53</v>
      </c>
      <c r="L22" s="38"/>
      <c r="M22" s="52">
        <f t="shared" si="1"/>
        <v>57.53</v>
      </c>
      <c r="N22" s="38"/>
      <c r="O22" s="52">
        <f>IF(MIN(MAX(ROUND(ROUND('Loonschijven_Tranches salariale'!$Q17*0.65,4)*Basisbedragen!$I$7,2),ROUND(Basisbedragen!$D$38*Basisbedragen!$I$7,2)),ROUND(ROUND(Basisbedragen!$D$27*0.65,4)*Basisbedragen!$I$7,2))&lt;= Basisbedragen!$I$8,MIN(MAX(ROUND(ROUND('Loonschijven_Tranches salariale'!$Q17*0.65,4)*Basisbedragen!$I$2,2),ROUND(Basisbedragen!$D$38*Basisbedragen!$I$2,2)),ROUND(ROUND(Basisbedragen!$D$27*0.65,4)*Basisbedragen!$I$2,2)),MIN(MAX(ROUND(ROUND('Loonschijven_Tranches salariale'!$Q17*0.65,4)*Basisbedragen!$I$7,2),ROUND(Basisbedragen!$D$38*Basisbedragen!$I$7,2)),ROUND(ROUND(Basisbedragen!$D$27*0.65,4)*Basisbedragen!$I$7,2))+Basisbedragen!$I$10)</f>
        <v>60.92</v>
      </c>
      <c r="P22" s="52">
        <f>IF(MIN(MAX(ROUND(ROUND('Loonschijven_Tranches salariale'!$Q17*0.6,4)*Basisbedragen!$I$7,2),ROUND(Basisbedragen!$D$39*Basisbedragen!$I$7,2)),ROUND(ROUND(Basisbedragen!$D$28*0.6,4)*Basisbedragen!$I$7,2))&lt;= Basisbedragen!$I$8,MIN(MAX(ROUND(ROUND('Loonschijven_Tranches salariale'!$Q17*0.6,4)*Basisbedragen!$I$2,2),ROUND(Basisbedragen!$D$39*Basisbedragen!$I$2,2)),ROUND(ROUND(Basisbedragen!$D$28*0.6,4)*Basisbedragen!$I$2,2)),MIN(MAX(ROUND(ROUND('Loonschijven_Tranches salariale'!$Q17*0.6,4)*Basisbedragen!$I$7,2),ROUND(Basisbedragen!$D$39*Basisbedragen!$I$7,2)),ROUND(ROUND(Basisbedragen!$D$28*0.6,4)*Basisbedragen!$I$7,2))+Basisbedragen!$I$10)</f>
        <v>56.23</v>
      </c>
      <c r="Q22" s="52">
        <f>MIN(MAX(ROUND(ROUND('Loonschijven_Tranches salariale'!$Q17*0.6,4)*Basisbedragen!$I$2,2),ROUND(Basisbedragen!$D$40*Basisbedragen!$I$2,2)),ROUND(ROUND(Basisbedragen!$D$29*0.6,4)*Basisbedragen!$I$2,2))</f>
        <v>51.12</v>
      </c>
      <c r="R22" s="38"/>
      <c r="S22" s="52">
        <f t="shared" si="2"/>
        <v>42.37</v>
      </c>
      <c r="T22" s="52">
        <f t="shared" si="3"/>
        <v>29.85</v>
      </c>
    </row>
    <row r="23" spans="1:20" ht="15.75" hidden="1" customHeight="1" outlineLevel="1" thickBot="1">
      <c r="A23" s="47">
        <f t="shared" si="4"/>
        <v>11</v>
      </c>
      <c r="C23" s="52">
        <f>IF(MIN(MAX(ROUND(ROUND('Loonschijven_Tranches salariale'!$Q18*0.65,4)*Basisbedragen!$I$7,2),ROUND(Basisbedragen!$D$34*Basisbedragen!$I$7,2)),ROUND(ROUND(Basisbedragen!$D$27*0.65,4)*Basisbedragen!$I$7,2))&lt;= Basisbedragen!$I$8,MIN(MAX(ROUND(ROUND('Loonschijven_Tranches salariale'!$Q18*0.65,4)*Basisbedragen!$I$2,2),ROUND(Basisbedragen!$D$34*Basisbedragen!$I$2,2)),ROUND(ROUND(Basisbedragen!$D$27*0.65,4)*Basisbedragen!$I$2,2)),MIN(MAX(ROUND(ROUND('Loonschijven_Tranches salariale'!$Q18*0.65,4)*Basisbedragen!$I$7,2),ROUND(Basisbedragen!$D$34*Basisbedragen!$I$7,2)),ROUND(ROUND(Basisbedragen!$D$27*0.65,4)*Basisbedragen!$I$7,2))+Basisbedragen!$I$10)</f>
        <v>78.09</v>
      </c>
      <c r="D23" s="52">
        <f>IF(MIN(MAX(ROUND(ROUND('Loonschijven_Tranches salariale'!$Q18*0.6,4)*Basisbedragen!$I$7,2),ROUND(Basisbedragen!$D$34*Basisbedragen!$I$7,2)),ROUND(ROUND(Basisbedragen!$D$28*0.6,4)*Basisbedragen!$I$7,2))&lt;= Basisbedragen!$I$8,MIN(MAX(ROUND(ROUND('Loonschijven_Tranches salariale'!$Q18*0.6,4)*Basisbedragen!$I$2,2),ROUND(Basisbedragen!$D$34*Basisbedragen!$I$2,2)),ROUND(ROUND(Basisbedragen!$D$28*0.6,4)*Basisbedragen!$I$2,2)),MIN(MAX(ROUND(ROUND('Loonschijven_Tranches salariale'!$Q18*0.6,4)*Basisbedragen!$I$7,2),ROUND(Basisbedragen!$D$34*Basisbedragen!$I$7,2)),ROUND(ROUND(Basisbedragen!$D$28*0.6,4)*Basisbedragen!$I$7,2))+Basisbedragen!$I$10)</f>
        <v>78.09</v>
      </c>
      <c r="E23" s="52">
        <f>MIN(MAX(ROUND(ROUND('Loonschijven_Tranches salariale'!$Q18*0.6,4)*Basisbedragen!$I$2,2),ROUND(Basisbedragen!$D$35*Basisbedragen!$I$2,2)),ROUND(ROUND(Basisbedragen!$D$29*0.6,4)*Basisbedragen!$I$2,2))</f>
        <v>70.989999999999995</v>
      </c>
      <c r="F23" s="38"/>
      <c r="G23" s="52">
        <f t="shared" si="0"/>
        <v>70.989999999999995</v>
      </c>
      <c r="H23" s="38"/>
      <c r="I23" s="52">
        <f>IF(MIN(MAX(ROUND(ROUND('Loonschijven_Tranches salariale'!$Q18*0.65,4)*Basisbedragen!$I$7,2),ROUND(Basisbedragen!$D$36*Basisbedragen!$I$7,2)),ROUND(ROUND(Basisbedragen!$D$27*0.65,4)*Basisbedragen!$I$7,2))&lt;= Basisbedragen!$I$8,MIN(MAX(ROUND(ROUND('Loonschijven_Tranches salariale'!$Q18*0.65,4)*Basisbedragen!$I$2,2),ROUND(Basisbedragen!$D$36*Basisbedragen!$I$2,2)),ROUND(ROUND(Basisbedragen!$D$27*0.65,4)*Basisbedragen!$I$2,2)),MIN(MAX(ROUND(ROUND('Loonschijven_Tranches salariale'!$Q18*0.65,4)*Basisbedragen!$I$7,2),ROUND(Basisbedragen!$D$36*Basisbedragen!$I$7,2)),ROUND(ROUND(Basisbedragen!$D$27*0.65,4)*Basisbedragen!$I$7,2))+Basisbedragen!$I$10)</f>
        <v>63.29</v>
      </c>
      <c r="J23" s="52">
        <f>IF(MIN(MAX(ROUND(ROUND('Loonschijven_Tranches salariale'!$Q18*0.6,4)*Basisbedragen!$I$7,2),ROUND(Basisbedragen!$D$36*Basisbedragen!$I$7,2)),ROUND(ROUND(Basisbedragen!$D$28*0.6,4)*Basisbedragen!$I$7,2))&lt;= Basisbedragen!$I$8,MIN(MAX(ROUND(ROUND('Loonschijven_Tranches salariale'!$Q18*0.6,4)*Basisbedragen!$I$2,2),ROUND(Basisbedragen!$D$36*Basisbedragen!$I$2,2)),ROUND(ROUND(Basisbedragen!$D$28*0.6,4)*Basisbedragen!$I$2,2)),MIN(MAX(ROUND(ROUND('Loonschijven_Tranches salariale'!$Q18*0.6,4)*Basisbedragen!$I$7,2),ROUND(Basisbedragen!$D$36*Basisbedragen!$I$7,2)),ROUND(ROUND(Basisbedragen!$D$28*0.6,4)*Basisbedragen!$I$7,2))+Basisbedragen!$I$10)</f>
        <v>63.29</v>
      </c>
      <c r="K23" s="52">
        <f>MIN(MAX(ROUND(ROUND('Loonschijven_Tranches salariale'!$Q18*0.6,4)*Basisbedragen!$I$2,2),ROUND(Basisbedragen!$D$37*Basisbedragen!$I$2,2)),ROUND(ROUND(Basisbedragen!$D$29*0.6,4)*Basisbedragen!$I$2,2))</f>
        <v>57.53</v>
      </c>
      <c r="L23" s="38"/>
      <c r="M23" s="52">
        <f t="shared" si="1"/>
        <v>57.53</v>
      </c>
      <c r="N23" s="38"/>
      <c r="O23" s="52">
        <f>IF(MIN(MAX(ROUND(ROUND('Loonschijven_Tranches salariale'!$Q18*0.65,4)*Basisbedragen!$I$7,2),ROUND(Basisbedragen!$D$38*Basisbedragen!$I$7,2)),ROUND(ROUND(Basisbedragen!$D$27*0.65,4)*Basisbedragen!$I$7,2))&lt;= Basisbedragen!$I$8,MIN(MAX(ROUND(ROUND('Loonschijven_Tranches salariale'!$Q18*0.65,4)*Basisbedragen!$I$2,2),ROUND(Basisbedragen!$D$38*Basisbedragen!$I$2,2)),ROUND(ROUND(Basisbedragen!$D$27*0.65,4)*Basisbedragen!$I$2,2)),MIN(MAX(ROUND(ROUND('Loonschijven_Tranches salariale'!$Q18*0.65,4)*Basisbedragen!$I$7,2),ROUND(Basisbedragen!$D$38*Basisbedragen!$I$7,2)),ROUND(ROUND(Basisbedragen!$D$27*0.65,4)*Basisbedragen!$I$7,2))+Basisbedragen!$I$10)</f>
        <v>60.92</v>
      </c>
      <c r="P23" s="52">
        <f>IF(MIN(MAX(ROUND(ROUND('Loonschijven_Tranches salariale'!$Q18*0.6,4)*Basisbedragen!$I$7,2),ROUND(Basisbedragen!$D$39*Basisbedragen!$I$7,2)),ROUND(ROUND(Basisbedragen!$D$28*0.6,4)*Basisbedragen!$I$7,2))&lt;= Basisbedragen!$I$8,MIN(MAX(ROUND(ROUND('Loonschijven_Tranches salariale'!$Q18*0.6,4)*Basisbedragen!$I$2,2),ROUND(Basisbedragen!$D$39*Basisbedragen!$I$2,2)),ROUND(ROUND(Basisbedragen!$D$28*0.6,4)*Basisbedragen!$I$2,2)),MIN(MAX(ROUND(ROUND('Loonschijven_Tranches salariale'!$Q18*0.6,4)*Basisbedragen!$I$7,2),ROUND(Basisbedragen!$D$39*Basisbedragen!$I$7,2)),ROUND(ROUND(Basisbedragen!$D$28*0.6,4)*Basisbedragen!$I$7,2))+Basisbedragen!$I$10)</f>
        <v>56.23</v>
      </c>
      <c r="Q23" s="52">
        <f>MIN(MAX(ROUND(ROUND('Loonschijven_Tranches salariale'!$Q18*0.6,4)*Basisbedragen!$I$2,2),ROUND(Basisbedragen!$D$40*Basisbedragen!$I$2,2)),ROUND(ROUND(Basisbedragen!$D$29*0.6,4)*Basisbedragen!$I$2,2))</f>
        <v>51.12</v>
      </c>
      <c r="R23" s="38"/>
      <c r="S23" s="52">
        <f t="shared" si="2"/>
        <v>42.37</v>
      </c>
      <c r="T23" s="52">
        <f t="shared" si="3"/>
        <v>29.85</v>
      </c>
    </row>
    <row r="24" spans="1:20" ht="15.75" hidden="1" customHeight="1" outlineLevel="1" thickBot="1">
      <c r="A24" s="47">
        <f t="shared" si="4"/>
        <v>12</v>
      </c>
      <c r="C24" s="52">
        <f>IF(MIN(MAX(ROUND(ROUND('Loonschijven_Tranches salariale'!$Q19*0.65,4)*Basisbedragen!$I$7,2),ROUND(Basisbedragen!$D$34*Basisbedragen!$I$7,2)),ROUND(ROUND(Basisbedragen!$D$27*0.65,4)*Basisbedragen!$I$7,2))&lt;= Basisbedragen!$I$8,MIN(MAX(ROUND(ROUND('Loonschijven_Tranches salariale'!$Q19*0.65,4)*Basisbedragen!$I$2,2),ROUND(Basisbedragen!$D$34*Basisbedragen!$I$2,2)),ROUND(ROUND(Basisbedragen!$D$27*0.65,4)*Basisbedragen!$I$2,2)),MIN(MAX(ROUND(ROUND('Loonschijven_Tranches salariale'!$Q19*0.65,4)*Basisbedragen!$I$7,2),ROUND(Basisbedragen!$D$34*Basisbedragen!$I$7,2)),ROUND(ROUND(Basisbedragen!$D$27*0.65,4)*Basisbedragen!$I$7,2))+Basisbedragen!$I$10)</f>
        <v>78.09</v>
      </c>
      <c r="D24" s="52">
        <f>IF(MIN(MAX(ROUND(ROUND('Loonschijven_Tranches salariale'!$Q19*0.6,4)*Basisbedragen!$I$7,2),ROUND(Basisbedragen!$D$34*Basisbedragen!$I$7,2)),ROUND(ROUND(Basisbedragen!$D$28*0.6,4)*Basisbedragen!$I$7,2))&lt;= Basisbedragen!$I$8,MIN(MAX(ROUND(ROUND('Loonschijven_Tranches salariale'!$Q19*0.6,4)*Basisbedragen!$I$2,2),ROUND(Basisbedragen!$D$34*Basisbedragen!$I$2,2)),ROUND(ROUND(Basisbedragen!$D$28*0.6,4)*Basisbedragen!$I$2,2)),MIN(MAX(ROUND(ROUND('Loonschijven_Tranches salariale'!$Q19*0.6,4)*Basisbedragen!$I$7,2),ROUND(Basisbedragen!$D$34*Basisbedragen!$I$7,2)),ROUND(ROUND(Basisbedragen!$D$28*0.6,4)*Basisbedragen!$I$7,2))+Basisbedragen!$I$10)</f>
        <v>78.09</v>
      </c>
      <c r="E24" s="52">
        <f>MIN(MAX(ROUND(ROUND('Loonschijven_Tranches salariale'!$Q19*0.6,4)*Basisbedragen!$I$2,2),ROUND(Basisbedragen!$D$35*Basisbedragen!$I$2,2)),ROUND(ROUND(Basisbedragen!$D$29*0.6,4)*Basisbedragen!$I$2,2))</f>
        <v>70.989999999999995</v>
      </c>
      <c r="F24" s="38"/>
      <c r="G24" s="52">
        <f t="shared" si="0"/>
        <v>70.989999999999995</v>
      </c>
      <c r="H24" s="38"/>
      <c r="I24" s="52">
        <f>IF(MIN(MAX(ROUND(ROUND('Loonschijven_Tranches salariale'!$Q19*0.65,4)*Basisbedragen!$I$7,2),ROUND(Basisbedragen!$D$36*Basisbedragen!$I$7,2)),ROUND(ROUND(Basisbedragen!$D$27*0.65,4)*Basisbedragen!$I$7,2))&lt;= Basisbedragen!$I$8,MIN(MAX(ROUND(ROUND('Loonschijven_Tranches salariale'!$Q19*0.65,4)*Basisbedragen!$I$2,2),ROUND(Basisbedragen!$D$36*Basisbedragen!$I$2,2)),ROUND(ROUND(Basisbedragen!$D$27*0.65,4)*Basisbedragen!$I$2,2)),MIN(MAX(ROUND(ROUND('Loonschijven_Tranches salariale'!$Q19*0.65,4)*Basisbedragen!$I$7,2),ROUND(Basisbedragen!$D$36*Basisbedragen!$I$7,2)),ROUND(ROUND(Basisbedragen!$D$27*0.65,4)*Basisbedragen!$I$7,2))+Basisbedragen!$I$10)</f>
        <v>63.29</v>
      </c>
      <c r="J24" s="52">
        <f>IF(MIN(MAX(ROUND(ROUND('Loonschijven_Tranches salariale'!$Q19*0.6,4)*Basisbedragen!$I$7,2),ROUND(Basisbedragen!$D$36*Basisbedragen!$I$7,2)),ROUND(ROUND(Basisbedragen!$D$28*0.6,4)*Basisbedragen!$I$7,2))&lt;= Basisbedragen!$I$8,MIN(MAX(ROUND(ROUND('Loonschijven_Tranches salariale'!$Q19*0.6,4)*Basisbedragen!$I$2,2),ROUND(Basisbedragen!$D$36*Basisbedragen!$I$2,2)),ROUND(ROUND(Basisbedragen!$D$28*0.6,4)*Basisbedragen!$I$2,2)),MIN(MAX(ROUND(ROUND('Loonschijven_Tranches salariale'!$Q19*0.6,4)*Basisbedragen!$I$7,2),ROUND(Basisbedragen!$D$36*Basisbedragen!$I$7,2)),ROUND(ROUND(Basisbedragen!$D$28*0.6,4)*Basisbedragen!$I$7,2))+Basisbedragen!$I$10)</f>
        <v>63.29</v>
      </c>
      <c r="K24" s="52">
        <f>MIN(MAX(ROUND(ROUND('Loonschijven_Tranches salariale'!$Q19*0.6,4)*Basisbedragen!$I$2,2),ROUND(Basisbedragen!$D$37*Basisbedragen!$I$2,2)),ROUND(ROUND(Basisbedragen!$D$29*0.6,4)*Basisbedragen!$I$2,2))</f>
        <v>57.53</v>
      </c>
      <c r="L24" s="38"/>
      <c r="M24" s="52">
        <f t="shared" si="1"/>
        <v>57.53</v>
      </c>
      <c r="N24" s="38"/>
      <c r="O24" s="52">
        <f>IF(MIN(MAX(ROUND(ROUND('Loonschijven_Tranches salariale'!$Q19*0.65,4)*Basisbedragen!$I$7,2),ROUND(Basisbedragen!$D$38*Basisbedragen!$I$7,2)),ROUND(ROUND(Basisbedragen!$D$27*0.65,4)*Basisbedragen!$I$7,2))&lt;= Basisbedragen!$I$8,MIN(MAX(ROUND(ROUND('Loonschijven_Tranches salariale'!$Q19*0.65,4)*Basisbedragen!$I$2,2),ROUND(Basisbedragen!$D$38*Basisbedragen!$I$2,2)),ROUND(ROUND(Basisbedragen!$D$27*0.65,4)*Basisbedragen!$I$2,2)),MIN(MAX(ROUND(ROUND('Loonschijven_Tranches salariale'!$Q19*0.65,4)*Basisbedragen!$I$7,2),ROUND(Basisbedragen!$D$38*Basisbedragen!$I$7,2)),ROUND(ROUND(Basisbedragen!$D$27*0.65,4)*Basisbedragen!$I$7,2))+Basisbedragen!$I$10)</f>
        <v>60.92</v>
      </c>
      <c r="P24" s="52">
        <f>IF(MIN(MAX(ROUND(ROUND('Loonschijven_Tranches salariale'!$Q19*0.6,4)*Basisbedragen!$I$7,2),ROUND(Basisbedragen!$D$39*Basisbedragen!$I$7,2)),ROUND(ROUND(Basisbedragen!$D$28*0.6,4)*Basisbedragen!$I$7,2))&lt;= Basisbedragen!$I$8,MIN(MAX(ROUND(ROUND('Loonschijven_Tranches salariale'!$Q19*0.6,4)*Basisbedragen!$I$2,2),ROUND(Basisbedragen!$D$39*Basisbedragen!$I$2,2)),ROUND(ROUND(Basisbedragen!$D$28*0.6,4)*Basisbedragen!$I$2,2)),MIN(MAX(ROUND(ROUND('Loonschijven_Tranches salariale'!$Q19*0.6,4)*Basisbedragen!$I$7,2),ROUND(Basisbedragen!$D$39*Basisbedragen!$I$7,2)),ROUND(ROUND(Basisbedragen!$D$28*0.6,4)*Basisbedragen!$I$7,2))+Basisbedragen!$I$10)</f>
        <v>56.23</v>
      </c>
      <c r="Q24" s="52">
        <f>MIN(MAX(ROUND(ROUND('Loonschijven_Tranches salariale'!$Q19*0.6,4)*Basisbedragen!$I$2,2),ROUND(Basisbedragen!$D$40*Basisbedragen!$I$2,2)),ROUND(ROUND(Basisbedragen!$D$29*0.6,4)*Basisbedragen!$I$2,2))</f>
        <v>51.12</v>
      </c>
      <c r="R24" s="38"/>
      <c r="S24" s="52">
        <f t="shared" si="2"/>
        <v>42.37</v>
      </c>
      <c r="T24" s="52">
        <f t="shared" si="3"/>
        <v>29.85</v>
      </c>
    </row>
    <row r="25" spans="1:20" ht="15.75" hidden="1" customHeight="1" outlineLevel="1" thickBot="1">
      <c r="A25" s="47">
        <f t="shared" si="4"/>
        <v>13</v>
      </c>
      <c r="C25" s="52">
        <f>IF(MIN(MAX(ROUND(ROUND('Loonschijven_Tranches salariale'!$Q20*0.65,4)*Basisbedragen!$I$7,2),ROUND(Basisbedragen!$D$34*Basisbedragen!$I$7,2)),ROUND(ROUND(Basisbedragen!$D$27*0.65,4)*Basisbedragen!$I$7,2))&lt;= Basisbedragen!$I$8,MIN(MAX(ROUND(ROUND('Loonschijven_Tranches salariale'!$Q20*0.65,4)*Basisbedragen!$I$2,2),ROUND(Basisbedragen!$D$34*Basisbedragen!$I$2,2)),ROUND(ROUND(Basisbedragen!$D$27*0.65,4)*Basisbedragen!$I$2,2)),MIN(MAX(ROUND(ROUND('Loonschijven_Tranches salariale'!$Q20*0.65,4)*Basisbedragen!$I$7,2),ROUND(Basisbedragen!$D$34*Basisbedragen!$I$7,2)),ROUND(ROUND(Basisbedragen!$D$27*0.65,4)*Basisbedragen!$I$7,2))+Basisbedragen!$I$10)</f>
        <v>78.09</v>
      </c>
      <c r="D25" s="52">
        <f>IF(MIN(MAX(ROUND(ROUND('Loonschijven_Tranches salariale'!$Q20*0.6,4)*Basisbedragen!$I$7,2),ROUND(Basisbedragen!$D$34*Basisbedragen!$I$7,2)),ROUND(ROUND(Basisbedragen!$D$28*0.6,4)*Basisbedragen!$I$7,2))&lt;= Basisbedragen!$I$8,MIN(MAX(ROUND(ROUND('Loonschijven_Tranches salariale'!$Q20*0.6,4)*Basisbedragen!$I$2,2),ROUND(Basisbedragen!$D$34*Basisbedragen!$I$2,2)),ROUND(ROUND(Basisbedragen!$D$28*0.6,4)*Basisbedragen!$I$2,2)),MIN(MAX(ROUND(ROUND('Loonschijven_Tranches salariale'!$Q20*0.6,4)*Basisbedragen!$I$7,2),ROUND(Basisbedragen!$D$34*Basisbedragen!$I$7,2)),ROUND(ROUND(Basisbedragen!$D$28*0.6,4)*Basisbedragen!$I$7,2))+Basisbedragen!$I$10)</f>
        <v>78.09</v>
      </c>
      <c r="E25" s="52">
        <f>MIN(MAX(ROUND(ROUND('Loonschijven_Tranches salariale'!$Q20*0.6,4)*Basisbedragen!$I$2,2),ROUND(Basisbedragen!$D$35*Basisbedragen!$I$2,2)),ROUND(ROUND(Basisbedragen!$D$29*0.6,4)*Basisbedragen!$I$2,2))</f>
        <v>70.989999999999995</v>
      </c>
      <c r="F25" s="38"/>
      <c r="G25" s="52">
        <f t="shared" si="0"/>
        <v>70.989999999999995</v>
      </c>
      <c r="H25" s="38"/>
      <c r="I25" s="52">
        <f>IF(MIN(MAX(ROUND(ROUND('Loonschijven_Tranches salariale'!$Q20*0.65,4)*Basisbedragen!$I$7,2),ROUND(Basisbedragen!$D$36*Basisbedragen!$I$7,2)),ROUND(ROUND(Basisbedragen!$D$27*0.65,4)*Basisbedragen!$I$7,2))&lt;= Basisbedragen!$I$8,MIN(MAX(ROUND(ROUND('Loonschijven_Tranches salariale'!$Q20*0.65,4)*Basisbedragen!$I$2,2),ROUND(Basisbedragen!$D$36*Basisbedragen!$I$2,2)),ROUND(ROUND(Basisbedragen!$D$27*0.65,4)*Basisbedragen!$I$2,2)),MIN(MAX(ROUND(ROUND('Loonschijven_Tranches salariale'!$Q20*0.65,4)*Basisbedragen!$I$7,2),ROUND(Basisbedragen!$D$36*Basisbedragen!$I$7,2)),ROUND(ROUND(Basisbedragen!$D$27*0.65,4)*Basisbedragen!$I$7,2))+Basisbedragen!$I$10)</f>
        <v>63.29</v>
      </c>
      <c r="J25" s="52">
        <f>IF(MIN(MAX(ROUND(ROUND('Loonschijven_Tranches salariale'!$Q20*0.6,4)*Basisbedragen!$I$7,2),ROUND(Basisbedragen!$D$36*Basisbedragen!$I$7,2)),ROUND(ROUND(Basisbedragen!$D$28*0.6,4)*Basisbedragen!$I$7,2))&lt;= Basisbedragen!$I$8,MIN(MAX(ROUND(ROUND('Loonschijven_Tranches salariale'!$Q20*0.6,4)*Basisbedragen!$I$2,2),ROUND(Basisbedragen!$D$36*Basisbedragen!$I$2,2)),ROUND(ROUND(Basisbedragen!$D$28*0.6,4)*Basisbedragen!$I$2,2)),MIN(MAX(ROUND(ROUND('Loonschijven_Tranches salariale'!$Q20*0.6,4)*Basisbedragen!$I$7,2),ROUND(Basisbedragen!$D$36*Basisbedragen!$I$7,2)),ROUND(ROUND(Basisbedragen!$D$28*0.6,4)*Basisbedragen!$I$7,2))+Basisbedragen!$I$10)</f>
        <v>63.29</v>
      </c>
      <c r="K25" s="52">
        <f>MIN(MAX(ROUND(ROUND('Loonschijven_Tranches salariale'!$Q20*0.6,4)*Basisbedragen!$I$2,2),ROUND(Basisbedragen!$D$37*Basisbedragen!$I$2,2)),ROUND(ROUND(Basisbedragen!$D$29*0.6,4)*Basisbedragen!$I$2,2))</f>
        <v>57.53</v>
      </c>
      <c r="L25" s="38"/>
      <c r="M25" s="52">
        <f t="shared" si="1"/>
        <v>57.53</v>
      </c>
      <c r="N25" s="38"/>
      <c r="O25" s="52">
        <f>IF(MIN(MAX(ROUND(ROUND('Loonschijven_Tranches salariale'!$Q20*0.65,4)*Basisbedragen!$I$7,2),ROUND(Basisbedragen!$D$38*Basisbedragen!$I$7,2)),ROUND(ROUND(Basisbedragen!$D$27*0.65,4)*Basisbedragen!$I$7,2))&lt;= Basisbedragen!$I$8,MIN(MAX(ROUND(ROUND('Loonschijven_Tranches salariale'!$Q20*0.65,4)*Basisbedragen!$I$2,2),ROUND(Basisbedragen!$D$38*Basisbedragen!$I$2,2)),ROUND(ROUND(Basisbedragen!$D$27*0.65,4)*Basisbedragen!$I$2,2)),MIN(MAX(ROUND(ROUND('Loonschijven_Tranches salariale'!$Q20*0.65,4)*Basisbedragen!$I$7,2),ROUND(Basisbedragen!$D$38*Basisbedragen!$I$7,2)),ROUND(ROUND(Basisbedragen!$D$27*0.65,4)*Basisbedragen!$I$7,2))+Basisbedragen!$I$10)</f>
        <v>60.92</v>
      </c>
      <c r="P25" s="52">
        <f>IF(MIN(MAX(ROUND(ROUND('Loonschijven_Tranches salariale'!$Q20*0.6,4)*Basisbedragen!$I$7,2),ROUND(Basisbedragen!$D$39*Basisbedragen!$I$7,2)),ROUND(ROUND(Basisbedragen!$D$28*0.6,4)*Basisbedragen!$I$7,2))&lt;= Basisbedragen!$I$8,MIN(MAX(ROUND(ROUND('Loonschijven_Tranches salariale'!$Q20*0.6,4)*Basisbedragen!$I$2,2),ROUND(Basisbedragen!$D$39*Basisbedragen!$I$2,2)),ROUND(ROUND(Basisbedragen!$D$28*0.6,4)*Basisbedragen!$I$2,2)),MIN(MAX(ROUND(ROUND('Loonschijven_Tranches salariale'!$Q20*0.6,4)*Basisbedragen!$I$7,2),ROUND(Basisbedragen!$D$39*Basisbedragen!$I$7,2)),ROUND(ROUND(Basisbedragen!$D$28*0.6,4)*Basisbedragen!$I$7,2))+Basisbedragen!$I$10)</f>
        <v>56.23</v>
      </c>
      <c r="Q25" s="52">
        <f>MIN(MAX(ROUND(ROUND('Loonschijven_Tranches salariale'!$Q20*0.6,4)*Basisbedragen!$I$2,2),ROUND(Basisbedragen!$D$40*Basisbedragen!$I$2,2)),ROUND(ROUND(Basisbedragen!$D$29*0.6,4)*Basisbedragen!$I$2,2))</f>
        <v>51.12</v>
      </c>
      <c r="R25" s="38"/>
      <c r="S25" s="52">
        <f t="shared" si="2"/>
        <v>42.37</v>
      </c>
      <c r="T25" s="52">
        <f t="shared" si="3"/>
        <v>29.85</v>
      </c>
    </row>
    <row r="26" spans="1:20" ht="15.75" hidden="1" customHeight="1" outlineLevel="1" thickBot="1">
      <c r="A26" s="47">
        <f t="shared" si="4"/>
        <v>14</v>
      </c>
      <c r="C26" s="52">
        <f>IF(MIN(MAX(ROUND(ROUND('Loonschijven_Tranches salariale'!$Q21*0.65,4)*Basisbedragen!$I$7,2),ROUND(Basisbedragen!$D$34*Basisbedragen!$I$7,2)),ROUND(ROUND(Basisbedragen!$D$27*0.65,4)*Basisbedragen!$I$7,2))&lt;= Basisbedragen!$I$8,MIN(MAX(ROUND(ROUND('Loonschijven_Tranches salariale'!$Q21*0.65,4)*Basisbedragen!$I$2,2),ROUND(Basisbedragen!$D$34*Basisbedragen!$I$2,2)),ROUND(ROUND(Basisbedragen!$D$27*0.65,4)*Basisbedragen!$I$2,2)),MIN(MAX(ROUND(ROUND('Loonschijven_Tranches salariale'!$Q21*0.65,4)*Basisbedragen!$I$7,2),ROUND(Basisbedragen!$D$34*Basisbedragen!$I$7,2)),ROUND(ROUND(Basisbedragen!$D$27*0.65,4)*Basisbedragen!$I$7,2))+Basisbedragen!$I$10)</f>
        <v>78.09</v>
      </c>
      <c r="D26" s="52">
        <f>IF(MIN(MAX(ROUND(ROUND('Loonschijven_Tranches salariale'!$Q21*0.6,4)*Basisbedragen!$I$7,2),ROUND(Basisbedragen!$D$34*Basisbedragen!$I$7,2)),ROUND(ROUND(Basisbedragen!$D$28*0.6,4)*Basisbedragen!$I$7,2))&lt;= Basisbedragen!$I$8,MIN(MAX(ROUND(ROUND('Loonschijven_Tranches salariale'!$Q21*0.6,4)*Basisbedragen!$I$2,2),ROUND(Basisbedragen!$D$34*Basisbedragen!$I$2,2)),ROUND(ROUND(Basisbedragen!$D$28*0.6,4)*Basisbedragen!$I$2,2)),MIN(MAX(ROUND(ROUND('Loonschijven_Tranches salariale'!$Q21*0.6,4)*Basisbedragen!$I$7,2),ROUND(Basisbedragen!$D$34*Basisbedragen!$I$7,2)),ROUND(ROUND(Basisbedragen!$D$28*0.6,4)*Basisbedragen!$I$7,2))+Basisbedragen!$I$10)</f>
        <v>78.09</v>
      </c>
      <c r="E26" s="52">
        <f>MIN(MAX(ROUND(ROUND('Loonschijven_Tranches salariale'!$Q21*0.6,4)*Basisbedragen!$I$2,2),ROUND(Basisbedragen!$D$35*Basisbedragen!$I$2,2)),ROUND(ROUND(Basisbedragen!$D$29*0.6,4)*Basisbedragen!$I$2,2))</f>
        <v>70.989999999999995</v>
      </c>
      <c r="F26" s="38"/>
      <c r="G26" s="52">
        <f t="shared" si="0"/>
        <v>70.989999999999995</v>
      </c>
      <c r="H26" s="38"/>
      <c r="I26" s="52">
        <f>IF(MIN(MAX(ROUND(ROUND('Loonschijven_Tranches salariale'!$Q21*0.65,4)*Basisbedragen!$I$7,2),ROUND(Basisbedragen!$D$36*Basisbedragen!$I$7,2)),ROUND(ROUND(Basisbedragen!$D$27*0.65,4)*Basisbedragen!$I$7,2))&lt;= Basisbedragen!$I$8,MIN(MAX(ROUND(ROUND('Loonschijven_Tranches salariale'!$Q21*0.65,4)*Basisbedragen!$I$2,2),ROUND(Basisbedragen!$D$36*Basisbedragen!$I$2,2)),ROUND(ROUND(Basisbedragen!$D$27*0.65,4)*Basisbedragen!$I$2,2)),MIN(MAX(ROUND(ROUND('Loonschijven_Tranches salariale'!$Q21*0.65,4)*Basisbedragen!$I$7,2),ROUND(Basisbedragen!$D$36*Basisbedragen!$I$7,2)),ROUND(ROUND(Basisbedragen!$D$27*0.65,4)*Basisbedragen!$I$7,2))+Basisbedragen!$I$10)</f>
        <v>63.29</v>
      </c>
      <c r="J26" s="52">
        <f>IF(MIN(MAX(ROUND(ROUND('Loonschijven_Tranches salariale'!$Q21*0.6,4)*Basisbedragen!$I$7,2),ROUND(Basisbedragen!$D$36*Basisbedragen!$I$7,2)),ROUND(ROUND(Basisbedragen!$D$28*0.6,4)*Basisbedragen!$I$7,2))&lt;= Basisbedragen!$I$8,MIN(MAX(ROUND(ROUND('Loonschijven_Tranches salariale'!$Q21*0.6,4)*Basisbedragen!$I$2,2),ROUND(Basisbedragen!$D$36*Basisbedragen!$I$2,2)),ROUND(ROUND(Basisbedragen!$D$28*0.6,4)*Basisbedragen!$I$2,2)),MIN(MAX(ROUND(ROUND('Loonschijven_Tranches salariale'!$Q21*0.6,4)*Basisbedragen!$I$7,2),ROUND(Basisbedragen!$D$36*Basisbedragen!$I$7,2)),ROUND(ROUND(Basisbedragen!$D$28*0.6,4)*Basisbedragen!$I$7,2))+Basisbedragen!$I$10)</f>
        <v>63.29</v>
      </c>
      <c r="K26" s="52">
        <f>MIN(MAX(ROUND(ROUND('Loonschijven_Tranches salariale'!$Q21*0.6,4)*Basisbedragen!$I$2,2),ROUND(Basisbedragen!$D$37*Basisbedragen!$I$2,2)),ROUND(ROUND(Basisbedragen!$D$29*0.6,4)*Basisbedragen!$I$2,2))</f>
        <v>57.53</v>
      </c>
      <c r="L26" s="38"/>
      <c r="M26" s="52">
        <f t="shared" si="1"/>
        <v>57.53</v>
      </c>
      <c r="N26" s="38"/>
      <c r="O26" s="52">
        <f>IF(MIN(MAX(ROUND(ROUND('Loonschijven_Tranches salariale'!$Q21*0.65,4)*Basisbedragen!$I$7,2),ROUND(Basisbedragen!$D$38*Basisbedragen!$I$7,2)),ROUND(ROUND(Basisbedragen!$D$27*0.65,4)*Basisbedragen!$I$7,2))&lt;= Basisbedragen!$I$8,MIN(MAX(ROUND(ROUND('Loonschijven_Tranches salariale'!$Q21*0.65,4)*Basisbedragen!$I$2,2),ROUND(Basisbedragen!$D$38*Basisbedragen!$I$2,2)),ROUND(ROUND(Basisbedragen!$D$27*0.65,4)*Basisbedragen!$I$2,2)),MIN(MAX(ROUND(ROUND('Loonschijven_Tranches salariale'!$Q21*0.65,4)*Basisbedragen!$I$7,2),ROUND(Basisbedragen!$D$38*Basisbedragen!$I$7,2)),ROUND(ROUND(Basisbedragen!$D$27*0.65,4)*Basisbedragen!$I$7,2))+Basisbedragen!$I$10)</f>
        <v>60.92</v>
      </c>
      <c r="P26" s="52">
        <f>IF(MIN(MAX(ROUND(ROUND('Loonschijven_Tranches salariale'!$Q21*0.6,4)*Basisbedragen!$I$7,2),ROUND(Basisbedragen!$D$39*Basisbedragen!$I$7,2)),ROUND(ROUND(Basisbedragen!$D$28*0.6,4)*Basisbedragen!$I$7,2))&lt;= Basisbedragen!$I$8,MIN(MAX(ROUND(ROUND('Loonschijven_Tranches salariale'!$Q21*0.6,4)*Basisbedragen!$I$2,2),ROUND(Basisbedragen!$D$39*Basisbedragen!$I$2,2)),ROUND(ROUND(Basisbedragen!$D$28*0.6,4)*Basisbedragen!$I$2,2)),MIN(MAX(ROUND(ROUND('Loonschijven_Tranches salariale'!$Q21*0.6,4)*Basisbedragen!$I$7,2),ROUND(Basisbedragen!$D$39*Basisbedragen!$I$7,2)),ROUND(ROUND(Basisbedragen!$D$28*0.6,4)*Basisbedragen!$I$7,2))+Basisbedragen!$I$10)</f>
        <v>56.23</v>
      </c>
      <c r="Q26" s="52">
        <f>MIN(MAX(ROUND(ROUND('Loonschijven_Tranches salariale'!$Q21*0.6,4)*Basisbedragen!$I$2,2),ROUND(Basisbedragen!$D$40*Basisbedragen!$I$2,2)),ROUND(ROUND(Basisbedragen!$D$29*0.6,4)*Basisbedragen!$I$2,2))</f>
        <v>51.12</v>
      </c>
      <c r="R26" s="38"/>
      <c r="S26" s="52">
        <f t="shared" si="2"/>
        <v>42.37</v>
      </c>
      <c r="T26" s="52">
        <f t="shared" si="3"/>
        <v>29.85</v>
      </c>
    </row>
    <row r="27" spans="1:20" ht="15.75" hidden="1" customHeight="1" outlineLevel="1" thickBot="1">
      <c r="A27" s="47">
        <f t="shared" si="4"/>
        <v>15</v>
      </c>
      <c r="C27" s="52">
        <f>IF(MIN(MAX(ROUND(ROUND('Loonschijven_Tranches salariale'!$Q22*0.65,4)*Basisbedragen!$I$7,2),ROUND(Basisbedragen!$D$34*Basisbedragen!$I$7,2)),ROUND(ROUND(Basisbedragen!$D$27*0.65,4)*Basisbedragen!$I$7,2))&lt;= Basisbedragen!$I$8,MIN(MAX(ROUND(ROUND('Loonschijven_Tranches salariale'!$Q22*0.65,4)*Basisbedragen!$I$2,2),ROUND(Basisbedragen!$D$34*Basisbedragen!$I$2,2)),ROUND(ROUND(Basisbedragen!$D$27*0.65,4)*Basisbedragen!$I$2,2)),MIN(MAX(ROUND(ROUND('Loonschijven_Tranches salariale'!$Q22*0.65,4)*Basisbedragen!$I$7,2),ROUND(Basisbedragen!$D$34*Basisbedragen!$I$7,2)),ROUND(ROUND(Basisbedragen!$D$27*0.65,4)*Basisbedragen!$I$7,2))+Basisbedragen!$I$10)</f>
        <v>78.09</v>
      </c>
      <c r="D27" s="52">
        <f>IF(MIN(MAX(ROUND(ROUND('Loonschijven_Tranches salariale'!$Q22*0.6,4)*Basisbedragen!$I$7,2),ROUND(Basisbedragen!$D$34*Basisbedragen!$I$7,2)),ROUND(ROUND(Basisbedragen!$D$28*0.6,4)*Basisbedragen!$I$7,2))&lt;= Basisbedragen!$I$8,MIN(MAX(ROUND(ROUND('Loonschijven_Tranches salariale'!$Q22*0.6,4)*Basisbedragen!$I$2,2),ROUND(Basisbedragen!$D$34*Basisbedragen!$I$2,2)),ROUND(ROUND(Basisbedragen!$D$28*0.6,4)*Basisbedragen!$I$2,2)),MIN(MAX(ROUND(ROUND('Loonschijven_Tranches salariale'!$Q22*0.6,4)*Basisbedragen!$I$7,2),ROUND(Basisbedragen!$D$34*Basisbedragen!$I$7,2)),ROUND(ROUND(Basisbedragen!$D$28*0.6,4)*Basisbedragen!$I$7,2))+Basisbedragen!$I$10)</f>
        <v>78.09</v>
      </c>
      <c r="E27" s="52">
        <f>MIN(MAX(ROUND(ROUND('Loonschijven_Tranches salariale'!$Q22*0.6,4)*Basisbedragen!$I$2,2),ROUND(Basisbedragen!$D$35*Basisbedragen!$I$2,2)),ROUND(ROUND(Basisbedragen!$D$29*0.6,4)*Basisbedragen!$I$2,2))</f>
        <v>70.989999999999995</v>
      </c>
      <c r="F27" s="38"/>
      <c r="G27" s="52">
        <f t="shared" si="0"/>
        <v>70.989999999999995</v>
      </c>
      <c r="H27" s="38"/>
      <c r="I27" s="52">
        <f>IF(MIN(MAX(ROUND(ROUND('Loonschijven_Tranches salariale'!$Q22*0.65,4)*Basisbedragen!$I$7,2),ROUND(Basisbedragen!$D$36*Basisbedragen!$I$7,2)),ROUND(ROUND(Basisbedragen!$D$27*0.65,4)*Basisbedragen!$I$7,2))&lt;= Basisbedragen!$I$8,MIN(MAX(ROUND(ROUND('Loonschijven_Tranches salariale'!$Q22*0.65,4)*Basisbedragen!$I$2,2),ROUND(Basisbedragen!$D$36*Basisbedragen!$I$2,2)),ROUND(ROUND(Basisbedragen!$D$27*0.65,4)*Basisbedragen!$I$2,2)),MIN(MAX(ROUND(ROUND('Loonschijven_Tranches salariale'!$Q22*0.65,4)*Basisbedragen!$I$7,2),ROUND(Basisbedragen!$D$36*Basisbedragen!$I$7,2)),ROUND(ROUND(Basisbedragen!$D$27*0.65,4)*Basisbedragen!$I$7,2))+Basisbedragen!$I$10)</f>
        <v>63.29</v>
      </c>
      <c r="J27" s="52">
        <f>IF(MIN(MAX(ROUND(ROUND('Loonschijven_Tranches salariale'!$Q22*0.6,4)*Basisbedragen!$I$7,2),ROUND(Basisbedragen!$D$36*Basisbedragen!$I$7,2)),ROUND(ROUND(Basisbedragen!$D$28*0.6,4)*Basisbedragen!$I$7,2))&lt;= Basisbedragen!$I$8,MIN(MAX(ROUND(ROUND('Loonschijven_Tranches salariale'!$Q22*0.6,4)*Basisbedragen!$I$2,2),ROUND(Basisbedragen!$D$36*Basisbedragen!$I$2,2)),ROUND(ROUND(Basisbedragen!$D$28*0.6,4)*Basisbedragen!$I$2,2)),MIN(MAX(ROUND(ROUND('Loonschijven_Tranches salariale'!$Q22*0.6,4)*Basisbedragen!$I$7,2),ROUND(Basisbedragen!$D$36*Basisbedragen!$I$7,2)),ROUND(ROUND(Basisbedragen!$D$28*0.6,4)*Basisbedragen!$I$7,2))+Basisbedragen!$I$10)</f>
        <v>63.29</v>
      </c>
      <c r="K27" s="52">
        <f>MIN(MAX(ROUND(ROUND('Loonschijven_Tranches salariale'!$Q22*0.6,4)*Basisbedragen!$I$2,2),ROUND(Basisbedragen!$D$37*Basisbedragen!$I$2,2)),ROUND(ROUND(Basisbedragen!$D$29*0.6,4)*Basisbedragen!$I$2,2))</f>
        <v>57.53</v>
      </c>
      <c r="L27" s="38"/>
      <c r="M27" s="52">
        <f t="shared" si="1"/>
        <v>57.53</v>
      </c>
      <c r="N27" s="38"/>
      <c r="O27" s="52">
        <f>IF(MIN(MAX(ROUND(ROUND('Loonschijven_Tranches salariale'!$Q22*0.65,4)*Basisbedragen!$I$7,2),ROUND(Basisbedragen!$D$38*Basisbedragen!$I$7,2)),ROUND(ROUND(Basisbedragen!$D$27*0.65,4)*Basisbedragen!$I$7,2))&lt;= Basisbedragen!$I$8,MIN(MAX(ROUND(ROUND('Loonschijven_Tranches salariale'!$Q22*0.65,4)*Basisbedragen!$I$2,2),ROUND(Basisbedragen!$D$38*Basisbedragen!$I$2,2)),ROUND(ROUND(Basisbedragen!$D$27*0.65,4)*Basisbedragen!$I$2,2)),MIN(MAX(ROUND(ROUND('Loonschijven_Tranches salariale'!$Q22*0.65,4)*Basisbedragen!$I$7,2),ROUND(Basisbedragen!$D$38*Basisbedragen!$I$7,2)),ROUND(ROUND(Basisbedragen!$D$27*0.65,4)*Basisbedragen!$I$7,2))+Basisbedragen!$I$10)</f>
        <v>60.92</v>
      </c>
      <c r="P27" s="52">
        <f>IF(MIN(MAX(ROUND(ROUND('Loonschijven_Tranches salariale'!$Q22*0.6,4)*Basisbedragen!$I$7,2),ROUND(Basisbedragen!$D$39*Basisbedragen!$I$7,2)),ROUND(ROUND(Basisbedragen!$D$28*0.6,4)*Basisbedragen!$I$7,2))&lt;= Basisbedragen!$I$8,MIN(MAX(ROUND(ROUND('Loonschijven_Tranches salariale'!$Q22*0.6,4)*Basisbedragen!$I$2,2),ROUND(Basisbedragen!$D$39*Basisbedragen!$I$2,2)),ROUND(ROUND(Basisbedragen!$D$28*0.6,4)*Basisbedragen!$I$2,2)),MIN(MAX(ROUND(ROUND('Loonschijven_Tranches salariale'!$Q22*0.6,4)*Basisbedragen!$I$7,2),ROUND(Basisbedragen!$D$39*Basisbedragen!$I$7,2)),ROUND(ROUND(Basisbedragen!$D$28*0.6,4)*Basisbedragen!$I$7,2))+Basisbedragen!$I$10)</f>
        <v>56.23</v>
      </c>
      <c r="Q27" s="52">
        <f>MIN(MAX(ROUND(ROUND('Loonschijven_Tranches salariale'!$Q22*0.6,4)*Basisbedragen!$I$2,2),ROUND(Basisbedragen!$D$40*Basisbedragen!$I$2,2)),ROUND(ROUND(Basisbedragen!$D$29*0.6,4)*Basisbedragen!$I$2,2))</f>
        <v>51.12</v>
      </c>
      <c r="R27" s="38"/>
      <c r="S27" s="52">
        <f t="shared" si="2"/>
        <v>42.37</v>
      </c>
      <c r="T27" s="52">
        <f t="shared" si="3"/>
        <v>29.85</v>
      </c>
    </row>
    <row r="28" spans="1:20" ht="15.75" hidden="1" customHeight="1" outlineLevel="1" thickBot="1">
      <c r="A28" s="47">
        <f t="shared" si="4"/>
        <v>16</v>
      </c>
      <c r="C28" s="52">
        <f>IF(MIN(MAX(ROUND(ROUND('Loonschijven_Tranches salariale'!$Q23*0.65,4)*Basisbedragen!$I$7,2),ROUND(Basisbedragen!$D$34*Basisbedragen!$I$7,2)),ROUND(ROUND(Basisbedragen!$D$27*0.65,4)*Basisbedragen!$I$7,2))&lt;= Basisbedragen!$I$8,MIN(MAX(ROUND(ROUND('Loonschijven_Tranches salariale'!$Q23*0.65,4)*Basisbedragen!$I$2,2),ROUND(Basisbedragen!$D$34*Basisbedragen!$I$2,2)),ROUND(ROUND(Basisbedragen!$D$27*0.65,4)*Basisbedragen!$I$2,2)),MIN(MAX(ROUND(ROUND('Loonschijven_Tranches salariale'!$Q23*0.65,4)*Basisbedragen!$I$7,2),ROUND(Basisbedragen!$D$34*Basisbedragen!$I$7,2)),ROUND(ROUND(Basisbedragen!$D$27*0.65,4)*Basisbedragen!$I$7,2))+Basisbedragen!$I$10)</f>
        <v>78.09</v>
      </c>
      <c r="D28" s="52">
        <f>IF(MIN(MAX(ROUND(ROUND('Loonschijven_Tranches salariale'!$Q23*0.6,4)*Basisbedragen!$I$7,2),ROUND(Basisbedragen!$D$34*Basisbedragen!$I$7,2)),ROUND(ROUND(Basisbedragen!$D$28*0.6,4)*Basisbedragen!$I$7,2))&lt;= Basisbedragen!$I$8,MIN(MAX(ROUND(ROUND('Loonschijven_Tranches salariale'!$Q23*0.6,4)*Basisbedragen!$I$2,2),ROUND(Basisbedragen!$D$34*Basisbedragen!$I$2,2)),ROUND(ROUND(Basisbedragen!$D$28*0.6,4)*Basisbedragen!$I$2,2)),MIN(MAX(ROUND(ROUND('Loonschijven_Tranches salariale'!$Q23*0.6,4)*Basisbedragen!$I$7,2),ROUND(Basisbedragen!$D$34*Basisbedragen!$I$7,2)),ROUND(ROUND(Basisbedragen!$D$28*0.6,4)*Basisbedragen!$I$7,2))+Basisbedragen!$I$10)</f>
        <v>78.09</v>
      </c>
      <c r="E28" s="52">
        <f>MIN(MAX(ROUND(ROUND('Loonschijven_Tranches salariale'!$Q23*0.6,4)*Basisbedragen!$I$2,2),ROUND(Basisbedragen!$D$35*Basisbedragen!$I$2,2)),ROUND(ROUND(Basisbedragen!$D$29*0.6,4)*Basisbedragen!$I$2,2))</f>
        <v>70.989999999999995</v>
      </c>
      <c r="F28" s="38"/>
      <c r="G28" s="52">
        <f t="shared" si="0"/>
        <v>70.989999999999995</v>
      </c>
      <c r="H28" s="38"/>
      <c r="I28" s="52">
        <f>IF(MIN(MAX(ROUND(ROUND('Loonschijven_Tranches salariale'!$Q23*0.65,4)*Basisbedragen!$I$7,2),ROUND(Basisbedragen!$D$36*Basisbedragen!$I$7,2)),ROUND(ROUND(Basisbedragen!$D$27*0.65,4)*Basisbedragen!$I$7,2))&lt;= Basisbedragen!$I$8,MIN(MAX(ROUND(ROUND('Loonschijven_Tranches salariale'!$Q23*0.65,4)*Basisbedragen!$I$2,2),ROUND(Basisbedragen!$D$36*Basisbedragen!$I$2,2)),ROUND(ROUND(Basisbedragen!$D$27*0.65,4)*Basisbedragen!$I$2,2)),MIN(MAX(ROUND(ROUND('Loonschijven_Tranches salariale'!$Q23*0.65,4)*Basisbedragen!$I$7,2),ROUND(Basisbedragen!$D$36*Basisbedragen!$I$7,2)),ROUND(ROUND(Basisbedragen!$D$27*0.65,4)*Basisbedragen!$I$7,2))+Basisbedragen!$I$10)</f>
        <v>63.29</v>
      </c>
      <c r="J28" s="52">
        <f>IF(MIN(MAX(ROUND(ROUND('Loonschijven_Tranches salariale'!$Q23*0.6,4)*Basisbedragen!$I$7,2),ROUND(Basisbedragen!$D$36*Basisbedragen!$I$7,2)),ROUND(ROUND(Basisbedragen!$D$28*0.6,4)*Basisbedragen!$I$7,2))&lt;= Basisbedragen!$I$8,MIN(MAX(ROUND(ROUND('Loonschijven_Tranches salariale'!$Q23*0.6,4)*Basisbedragen!$I$2,2),ROUND(Basisbedragen!$D$36*Basisbedragen!$I$2,2)),ROUND(ROUND(Basisbedragen!$D$28*0.6,4)*Basisbedragen!$I$2,2)),MIN(MAX(ROUND(ROUND('Loonschijven_Tranches salariale'!$Q23*0.6,4)*Basisbedragen!$I$7,2),ROUND(Basisbedragen!$D$36*Basisbedragen!$I$7,2)),ROUND(ROUND(Basisbedragen!$D$28*0.6,4)*Basisbedragen!$I$7,2))+Basisbedragen!$I$10)</f>
        <v>63.29</v>
      </c>
      <c r="K28" s="52">
        <f>MIN(MAX(ROUND(ROUND('Loonschijven_Tranches salariale'!$Q23*0.6,4)*Basisbedragen!$I$2,2),ROUND(Basisbedragen!$D$37*Basisbedragen!$I$2,2)),ROUND(ROUND(Basisbedragen!$D$29*0.6,4)*Basisbedragen!$I$2,2))</f>
        <v>57.53</v>
      </c>
      <c r="L28" s="38"/>
      <c r="M28" s="52">
        <f t="shared" si="1"/>
        <v>57.53</v>
      </c>
      <c r="N28" s="38"/>
      <c r="O28" s="52">
        <f>IF(MIN(MAX(ROUND(ROUND('Loonschijven_Tranches salariale'!$Q23*0.65,4)*Basisbedragen!$I$7,2),ROUND(Basisbedragen!$D$38*Basisbedragen!$I$7,2)),ROUND(ROUND(Basisbedragen!$D$27*0.65,4)*Basisbedragen!$I$7,2))&lt;= Basisbedragen!$I$8,MIN(MAX(ROUND(ROUND('Loonschijven_Tranches salariale'!$Q23*0.65,4)*Basisbedragen!$I$2,2),ROUND(Basisbedragen!$D$38*Basisbedragen!$I$2,2)),ROUND(ROUND(Basisbedragen!$D$27*0.65,4)*Basisbedragen!$I$2,2)),MIN(MAX(ROUND(ROUND('Loonschijven_Tranches salariale'!$Q23*0.65,4)*Basisbedragen!$I$7,2),ROUND(Basisbedragen!$D$38*Basisbedragen!$I$7,2)),ROUND(ROUND(Basisbedragen!$D$27*0.65,4)*Basisbedragen!$I$7,2))+Basisbedragen!$I$10)</f>
        <v>60.92</v>
      </c>
      <c r="P28" s="52">
        <f>IF(MIN(MAX(ROUND(ROUND('Loonschijven_Tranches salariale'!$Q23*0.6,4)*Basisbedragen!$I$7,2),ROUND(Basisbedragen!$D$39*Basisbedragen!$I$7,2)),ROUND(ROUND(Basisbedragen!$D$28*0.6,4)*Basisbedragen!$I$7,2))&lt;= Basisbedragen!$I$8,MIN(MAX(ROUND(ROUND('Loonschijven_Tranches salariale'!$Q23*0.6,4)*Basisbedragen!$I$2,2),ROUND(Basisbedragen!$D$39*Basisbedragen!$I$2,2)),ROUND(ROUND(Basisbedragen!$D$28*0.6,4)*Basisbedragen!$I$2,2)),MIN(MAX(ROUND(ROUND('Loonschijven_Tranches salariale'!$Q23*0.6,4)*Basisbedragen!$I$7,2),ROUND(Basisbedragen!$D$39*Basisbedragen!$I$7,2)),ROUND(ROUND(Basisbedragen!$D$28*0.6,4)*Basisbedragen!$I$7,2))+Basisbedragen!$I$10)</f>
        <v>56.23</v>
      </c>
      <c r="Q28" s="52">
        <f>MIN(MAX(ROUND(ROUND('Loonschijven_Tranches salariale'!$Q23*0.6,4)*Basisbedragen!$I$2,2),ROUND(Basisbedragen!$D$40*Basisbedragen!$I$2,2)),ROUND(ROUND(Basisbedragen!$D$29*0.6,4)*Basisbedragen!$I$2,2))</f>
        <v>51.12</v>
      </c>
      <c r="R28" s="38"/>
      <c r="S28" s="52">
        <f t="shared" si="2"/>
        <v>42.37</v>
      </c>
      <c r="T28" s="52">
        <f t="shared" si="3"/>
        <v>29.85</v>
      </c>
    </row>
    <row r="29" spans="1:20" ht="15.75" hidden="1" customHeight="1" outlineLevel="1" thickBot="1">
      <c r="A29" s="47">
        <f t="shared" si="4"/>
        <v>17</v>
      </c>
      <c r="C29" s="52">
        <f>IF(MIN(MAX(ROUND(ROUND('Loonschijven_Tranches salariale'!$Q24*0.65,4)*Basisbedragen!$I$7,2),ROUND(Basisbedragen!$D$34*Basisbedragen!$I$7,2)),ROUND(ROUND(Basisbedragen!$D$27*0.65,4)*Basisbedragen!$I$7,2))&lt;= Basisbedragen!$I$8,MIN(MAX(ROUND(ROUND('Loonschijven_Tranches salariale'!$Q24*0.65,4)*Basisbedragen!$I$2,2),ROUND(Basisbedragen!$D$34*Basisbedragen!$I$2,2)),ROUND(ROUND(Basisbedragen!$D$27*0.65,4)*Basisbedragen!$I$2,2)),MIN(MAX(ROUND(ROUND('Loonschijven_Tranches salariale'!$Q24*0.65,4)*Basisbedragen!$I$7,2),ROUND(Basisbedragen!$D$34*Basisbedragen!$I$7,2)),ROUND(ROUND(Basisbedragen!$D$27*0.65,4)*Basisbedragen!$I$7,2))+Basisbedragen!$I$10)</f>
        <v>78.09</v>
      </c>
      <c r="D29" s="52">
        <f>IF(MIN(MAX(ROUND(ROUND('Loonschijven_Tranches salariale'!$Q24*0.6,4)*Basisbedragen!$I$7,2),ROUND(Basisbedragen!$D$34*Basisbedragen!$I$7,2)),ROUND(ROUND(Basisbedragen!$D$28*0.6,4)*Basisbedragen!$I$7,2))&lt;= Basisbedragen!$I$8,MIN(MAX(ROUND(ROUND('Loonschijven_Tranches salariale'!$Q24*0.6,4)*Basisbedragen!$I$2,2),ROUND(Basisbedragen!$D$34*Basisbedragen!$I$2,2)),ROUND(ROUND(Basisbedragen!$D$28*0.6,4)*Basisbedragen!$I$2,2)),MIN(MAX(ROUND(ROUND('Loonschijven_Tranches salariale'!$Q24*0.6,4)*Basisbedragen!$I$7,2),ROUND(Basisbedragen!$D$34*Basisbedragen!$I$7,2)),ROUND(ROUND(Basisbedragen!$D$28*0.6,4)*Basisbedragen!$I$7,2))+Basisbedragen!$I$10)</f>
        <v>78.09</v>
      </c>
      <c r="E29" s="52">
        <f>MIN(MAX(ROUND(ROUND('Loonschijven_Tranches salariale'!$Q24*0.6,4)*Basisbedragen!$I$2,2),ROUND(Basisbedragen!$D$35*Basisbedragen!$I$2,2)),ROUND(ROUND(Basisbedragen!$D$29*0.6,4)*Basisbedragen!$I$2,2))</f>
        <v>70.989999999999995</v>
      </c>
      <c r="F29" s="38"/>
      <c r="G29" s="52">
        <f t="shared" si="0"/>
        <v>70.989999999999995</v>
      </c>
      <c r="H29" s="38"/>
      <c r="I29" s="52">
        <f>IF(MIN(MAX(ROUND(ROUND('Loonschijven_Tranches salariale'!$Q24*0.65,4)*Basisbedragen!$I$7,2),ROUND(Basisbedragen!$D$36*Basisbedragen!$I$7,2)),ROUND(ROUND(Basisbedragen!$D$27*0.65,4)*Basisbedragen!$I$7,2))&lt;= Basisbedragen!$I$8,MIN(MAX(ROUND(ROUND('Loonschijven_Tranches salariale'!$Q24*0.65,4)*Basisbedragen!$I$2,2),ROUND(Basisbedragen!$D$36*Basisbedragen!$I$2,2)),ROUND(ROUND(Basisbedragen!$D$27*0.65,4)*Basisbedragen!$I$2,2)),MIN(MAX(ROUND(ROUND('Loonschijven_Tranches salariale'!$Q24*0.65,4)*Basisbedragen!$I$7,2),ROUND(Basisbedragen!$D$36*Basisbedragen!$I$7,2)),ROUND(ROUND(Basisbedragen!$D$27*0.65,4)*Basisbedragen!$I$7,2))+Basisbedragen!$I$10)</f>
        <v>63.29</v>
      </c>
      <c r="J29" s="52">
        <f>IF(MIN(MAX(ROUND(ROUND('Loonschijven_Tranches salariale'!$Q24*0.6,4)*Basisbedragen!$I$7,2),ROUND(Basisbedragen!$D$36*Basisbedragen!$I$7,2)),ROUND(ROUND(Basisbedragen!$D$28*0.6,4)*Basisbedragen!$I$7,2))&lt;= Basisbedragen!$I$8,MIN(MAX(ROUND(ROUND('Loonschijven_Tranches salariale'!$Q24*0.6,4)*Basisbedragen!$I$2,2),ROUND(Basisbedragen!$D$36*Basisbedragen!$I$2,2)),ROUND(ROUND(Basisbedragen!$D$28*0.6,4)*Basisbedragen!$I$2,2)),MIN(MAX(ROUND(ROUND('Loonschijven_Tranches salariale'!$Q24*0.6,4)*Basisbedragen!$I$7,2),ROUND(Basisbedragen!$D$36*Basisbedragen!$I$7,2)),ROUND(ROUND(Basisbedragen!$D$28*0.6,4)*Basisbedragen!$I$7,2))+Basisbedragen!$I$10)</f>
        <v>63.29</v>
      </c>
      <c r="K29" s="52">
        <f>MIN(MAX(ROUND(ROUND('Loonschijven_Tranches salariale'!$Q24*0.6,4)*Basisbedragen!$I$2,2),ROUND(Basisbedragen!$D$37*Basisbedragen!$I$2,2)),ROUND(ROUND(Basisbedragen!$D$29*0.6,4)*Basisbedragen!$I$2,2))</f>
        <v>57.53</v>
      </c>
      <c r="L29" s="38"/>
      <c r="M29" s="52">
        <f t="shared" si="1"/>
        <v>57.53</v>
      </c>
      <c r="N29" s="38"/>
      <c r="O29" s="52">
        <f>IF(MIN(MAX(ROUND(ROUND('Loonschijven_Tranches salariale'!$Q24*0.65,4)*Basisbedragen!$I$7,2),ROUND(Basisbedragen!$D$38*Basisbedragen!$I$7,2)),ROUND(ROUND(Basisbedragen!$D$27*0.65,4)*Basisbedragen!$I$7,2))&lt;= Basisbedragen!$I$8,MIN(MAX(ROUND(ROUND('Loonschijven_Tranches salariale'!$Q24*0.65,4)*Basisbedragen!$I$2,2),ROUND(Basisbedragen!$D$38*Basisbedragen!$I$2,2)),ROUND(ROUND(Basisbedragen!$D$27*0.65,4)*Basisbedragen!$I$2,2)),MIN(MAX(ROUND(ROUND('Loonschijven_Tranches salariale'!$Q24*0.65,4)*Basisbedragen!$I$7,2),ROUND(Basisbedragen!$D$38*Basisbedragen!$I$7,2)),ROUND(ROUND(Basisbedragen!$D$27*0.65,4)*Basisbedragen!$I$7,2))+Basisbedragen!$I$10)</f>
        <v>60.92</v>
      </c>
      <c r="P29" s="52">
        <f>IF(MIN(MAX(ROUND(ROUND('Loonschijven_Tranches salariale'!$Q24*0.6,4)*Basisbedragen!$I$7,2),ROUND(Basisbedragen!$D$39*Basisbedragen!$I$7,2)),ROUND(ROUND(Basisbedragen!$D$28*0.6,4)*Basisbedragen!$I$7,2))&lt;= Basisbedragen!$I$8,MIN(MAX(ROUND(ROUND('Loonschijven_Tranches salariale'!$Q24*0.6,4)*Basisbedragen!$I$2,2),ROUND(Basisbedragen!$D$39*Basisbedragen!$I$2,2)),ROUND(ROUND(Basisbedragen!$D$28*0.6,4)*Basisbedragen!$I$2,2)),MIN(MAX(ROUND(ROUND('Loonschijven_Tranches salariale'!$Q24*0.6,4)*Basisbedragen!$I$7,2),ROUND(Basisbedragen!$D$39*Basisbedragen!$I$7,2)),ROUND(ROUND(Basisbedragen!$D$28*0.6,4)*Basisbedragen!$I$7,2))+Basisbedragen!$I$10)</f>
        <v>56.23</v>
      </c>
      <c r="Q29" s="52">
        <f>MIN(MAX(ROUND(ROUND('Loonschijven_Tranches salariale'!$Q24*0.6,4)*Basisbedragen!$I$2,2),ROUND(Basisbedragen!$D$40*Basisbedragen!$I$2,2)),ROUND(ROUND(Basisbedragen!$D$29*0.6,4)*Basisbedragen!$I$2,2))</f>
        <v>51.12</v>
      </c>
      <c r="R29" s="38"/>
      <c r="S29" s="52">
        <f t="shared" si="2"/>
        <v>42.37</v>
      </c>
      <c r="T29" s="52">
        <f t="shared" si="3"/>
        <v>29.85</v>
      </c>
    </row>
    <row r="30" spans="1:20" ht="15.75" hidden="1" customHeight="1" outlineLevel="1" thickBot="1">
      <c r="A30" s="47">
        <f t="shared" si="4"/>
        <v>18</v>
      </c>
      <c r="C30" s="52">
        <f>IF(MIN(MAX(ROUND(ROUND('Loonschijven_Tranches salariale'!$Q25*0.65,4)*Basisbedragen!$I$7,2),ROUND(Basisbedragen!$D$34*Basisbedragen!$I$7,2)),ROUND(ROUND(Basisbedragen!$D$27*0.65,4)*Basisbedragen!$I$7,2))&lt;= Basisbedragen!$I$8,MIN(MAX(ROUND(ROUND('Loonschijven_Tranches salariale'!$Q25*0.65,4)*Basisbedragen!$I$2,2),ROUND(Basisbedragen!$D$34*Basisbedragen!$I$2,2)),ROUND(ROUND(Basisbedragen!$D$27*0.65,4)*Basisbedragen!$I$2,2)),MIN(MAX(ROUND(ROUND('Loonschijven_Tranches salariale'!$Q25*0.65,4)*Basisbedragen!$I$7,2),ROUND(Basisbedragen!$D$34*Basisbedragen!$I$7,2)),ROUND(ROUND(Basisbedragen!$D$27*0.65,4)*Basisbedragen!$I$7,2))+Basisbedragen!$I$10)</f>
        <v>78.09</v>
      </c>
      <c r="D30" s="52">
        <f>IF(MIN(MAX(ROUND(ROUND('Loonschijven_Tranches salariale'!$Q25*0.6,4)*Basisbedragen!$I$7,2),ROUND(Basisbedragen!$D$34*Basisbedragen!$I$7,2)),ROUND(ROUND(Basisbedragen!$D$28*0.6,4)*Basisbedragen!$I$7,2))&lt;= Basisbedragen!$I$8,MIN(MAX(ROUND(ROUND('Loonschijven_Tranches salariale'!$Q25*0.6,4)*Basisbedragen!$I$2,2),ROUND(Basisbedragen!$D$34*Basisbedragen!$I$2,2)),ROUND(ROUND(Basisbedragen!$D$28*0.6,4)*Basisbedragen!$I$2,2)),MIN(MAX(ROUND(ROUND('Loonschijven_Tranches salariale'!$Q25*0.6,4)*Basisbedragen!$I$7,2),ROUND(Basisbedragen!$D$34*Basisbedragen!$I$7,2)),ROUND(ROUND(Basisbedragen!$D$28*0.6,4)*Basisbedragen!$I$7,2))+Basisbedragen!$I$10)</f>
        <v>78.09</v>
      </c>
      <c r="E30" s="52">
        <f>MIN(MAX(ROUND(ROUND('Loonschijven_Tranches salariale'!$Q25*0.6,4)*Basisbedragen!$I$2,2),ROUND(Basisbedragen!$D$35*Basisbedragen!$I$2,2)),ROUND(ROUND(Basisbedragen!$D$29*0.6,4)*Basisbedragen!$I$2,2))</f>
        <v>70.989999999999995</v>
      </c>
      <c r="F30" s="38"/>
      <c r="G30" s="52">
        <f t="shared" si="0"/>
        <v>70.989999999999995</v>
      </c>
      <c r="H30" s="38"/>
      <c r="I30" s="52">
        <f>IF(MIN(MAX(ROUND(ROUND('Loonschijven_Tranches salariale'!$Q25*0.65,4)*Basisbedragen!$I$7,2),ROUND(Basisbedragen!$D$36*Basisbedragen!$I$7,2)),ROUND(ROUND(Basisbedragen!$D$27*0.65,4)*Basisbedragen!$I$7,2))&lt;= Basisbedragen!$I$8,MIN(MAX(ROUND(ROUND('Loonschijven_Tranches salariale'!$Q25*0.65,4)*Basisbedragen!$I$2,2),ROUND(Basisbedragen!$D$36*Basisbedragen!$I$2,2)),ROUND(ROUND(Basisbedragen!$D$27*0.65,4)*Basisbedragen!$I$2,2)),MIN(MAX(ROUND(ROUND('Loonschijven_Tranches salariale'!$Q25*0.65,4)*Basisbedragen!$I$7,2),ROUND(Basisbedragen!$D$36*Basisbedragen!$I$7,2)),ROUND(ROUND(Basisbedragen!$D$27*0.65,4)*Basisbedragen!$I$7,2))+Basisbedragen!$I$10)</f>
        <v>63.29</v>
      </c>
      <c r="J30" s="52">
        <f>IF(MIN(MAX(ROUND(ROUND('Loonschijven_Tranches salariale'!$Q25*0.6,4)*Basisbedragen!$I$7,2),ROUND(Basisbedragen!$D$36*Basisbedragen!$I$7,2)),ROUND(ROUND(Basisbedragen!$D$28*0.6,4)*Basisbedragen!$I$7,2))&lt;= Basisbedragen!$I$8,MIN(MAX(ROUND(ROUND('Loonschijven_Tranches salariale'!$Q25*0.6,4)*Basisbedragen!$I$2,2),ROUND(Basisbedragen!$D$36*Basisbedragen!$I$2,2)),ROUND(ROUND(Basisbedragen!$D$28*0.6,4)*Basisbedragen!$I$2,2)),MIN(MAX(ROUND(ROUND('Loonschijven_Tranches salariale'!$Q25*0.6,4)*Basisbedragen!$I$7,2),ROUND(Basisbedragen!$D$36*Basisbedragen!$I$7,2)),ROUND(ROUND(Basisbedragen!$D$28*0.6,4)*Basisbedragen!$I$7,2))+Basisbedragen!$I$10)</f>
        <v>63.29</v>
      </c>
      <c r="K30" s="52">
        <f>MIN(MAX(ROUND(ROUND('Loonschijven_Tranches salariale'!$Q25*0.6,4)*Basisbedragen!$I$2,2),ROUND(Basisbedragen!$D$37*Basisbedragen!$I$2,2)),ROUND(ROUND(Basisbedragen!$D$29*0.6,4)*Basisbedragen!$I$2,2))</f>
        <v>57.53</v>
      </c>
      <c r="L30" s="38"/>
      <c r="M30" s="52">
        <f t="shared" si="1"/>
        <v>57.53</v>
      </c>
      <c r="N30" s="38"/>
      <c r="O30" s="52">
        <f>IF(MIN(MAX(ROUND(ROUND('Loonschijven_Tranches salariale'!$Q25*0.65,4)*Basisbedragen!$I$7,2),ROUND(Basisbedragen!$D$38*Basisbedragen!$I$7,2)),ROUND(ROUND(Basisbedragen!$D$27*0.65,4)*Basisbedragen!$I$7,2))&lt;= Basisbedragen!$I$8,MIN(MAX(ROUND(ROUND('Loonschijven_Tranches salariale'!$Q25*0.65,4)*Basisbedragen!$I$2,2),ROUND(Basisbedragen!$D$38*Basisbedragen!$I$2,2)),ROUND(ROUND(Basisbedragen!$D$27*0.65,4)*Basisbedragen!$I$2,2)),MIN(MAX(ROUND(ROUND('Loonschijven_Tranches salariale'!$Q25*0.65,4)*Basisbedragen!$I$7,2),ROUND(Basisbedragen!$D$38*Basisbedragen!$I$7,2)),ROUND(ROUND(Basisbedragen!$D$27*0.65,4)*Basisbedragen!$I$7,2))+Basisbedragen!$I$10)</f>
        <v>60.92</v>
      </c>
      <c r="P30" s="52">
        <f>IF(MIN(MAX(ROUND(ROUND('Loonschijven_Tranches salariale'!$Q25*0.6,4)*Basisbedragen!$I$7,2),ROUND(Basisbedragen!$D$39*Basisbedragen!$I$7,2)),ROUND(ROUND(Basisbedragen!$D$28*0.6,4)*Basisbedragen!$I$7,2))&lt;= Basisbedragen!$I$8,MIN(MAX(ROUND(ROUND('Loonschijven_Tranches salariale'!$Q25*0.6,4)*Basisbedragen!$I$2,2),ROUND(Basisbedragen!$D$39*Basisbedragen!$I$2,2)),ROUND(ROUND(Basisbedragen!$D$28*0.6,4)*Basisbedragen!$I$2,2)),MIN(MAX(ROUND(ROUND('Loonschijven_Tranches salariale'!$Q25*0.6,4)*Basisbedragen!$I$7,2),ROUND(Basisbedragen!$D$39*Basisbedragen!$I$7,2)),ROUND(ROUND(Basisbedragen!$D$28*0.6,4)*Basisbedragen!$I$7,2))+Basisbedragen!$I$10)</f>
        <v>56.23</v>
      </c>
      <c r="Q30" s="52">
        <f>MIN(MAX(ROUND(ROUND('Loonschijven_Tranches salariale'!$Q25*0.6,4)*Basisbedragen!$I$2,2),ROUND(Basisbedragen!$D$40*Basisbedragen!$I$2,2)),ROUND(ROUND(Basisbedragen!$D$29*0.6,4)*Basisbedragen!$I$2,2))</f>
        <v>51.12</v>
      </c>
      <c r="R30" s="38"/>
      <c r="S30" s="52">
        <f t="shared" si="2"/>
        <v>42.37</v>
      </c>
      <c r="T30" s="52">
        <f t="shared" si="3"/>
        <v>29.85</v>
      </c>
    </row>
    <row r="31" spans="1:20" ht="15.75" hidden="1" customHeight="1" outlineLevel="1" thickBot="1">
      <c r="A31" s="47">
        <f t="shared" si="4"/>
        <v>19</v>
      </c>
      <c r="C31" s="52">
        <f>IF(MIN(MAX(ROUND(ROUND('Loonschijven_Tranches salariale'!$Q26*0.65,4)*Basisbedragen!$I$7,2),ROUND(Basisbedragen!$D$34*Basisbedragen!$I$7,2)),ROUND(ROUND(Basisbedragen!$D$27*0.65,4)*Basisbedragen!$I$7,2))&lt;= Basisbedragen!$I$8,MIN(MAX(ROUND(ROUND('Loonschijven_Tranches salariale'!$Q26*0.65,4)*Basisbedragen!$I$2,2),ROUND(Basisbedragen!$D$34*Basisbedragen!$I$2,2)),ROUND(ROUND(Basisbedragen!$D$27*0.65,4)*Basisbedragen!$I$2,2)),MIN(MAX(ROUND(ROUND('Loonschijven_Tranches salariale'!$Q26*0.65,4)*Basisbedragen!$I$7,2),ROUND(Basisbedragen!$D$34*Basisbedragen!$I$7,2)),ROUND(ROUND(Basisbedragen!$D$27*0.65,4)*Basisbedragen!$I$7,2))+Basisbedragen!$I$10)</f>
        <v>78.09</v>
      </c>
      <c r="D31" s="52">
        <f>IF(MIN(MAX(ROUND(ROUND('Loonschijven_Tranches salariale'!$Q26*0.6,4)*Basisbedragen!$I$7,2),ROUND(Basisbedragen!$D$34*Basisbedragen!$I$7,2)),ROUND(ROUND(Basisbedragen!$D$28*0.6,4)*Basisbedragen!$I$7,2))&lt;= Basisbedragen!$I$8,MIN(MAX(ROUND(ROUND('Loonschijven_Tranches salariale'!$Q26*0.6,4)*Basisbedragen!$I$2,2),ROUND(Basisbedragen!$D$34*Basisbedragen!$I$2,2)),ROUND(ROUND(Basisbedragen!$D$28*0.6,4)*Basisbedragen!$I$2,2)),MIN(MAX(ROUND(ROUND('Loonschijven_Tranches salariale'!$Q26*0.6,4)*Basisbedragen!$I$7,2),ROUND(Basisbedragen!$D$34*Basisbedragen!$I$7,2)),ROUND(ROUND(Basisbedragen!$D$28*0.6,4)*Basisbedragen!$I$7,2))+Basisbedragen!$I$10)</f>
        <v>78.09</v>
      </c>
      <c r="E31" s="52">
        <f>MIN(MAX(ROUND(ROUND('Loonschijven_Tranches salariale'!$Q26*0.6,4)*Basisbedragen!$I$2,2),ROUND(Basisbedragen!$D$35*Basisbedragen!$I$2,2)),ROUND(ROUND(Basisbedragen!$D$29*0.6,4)*Basisbedragen!$I$2,2))</f>
        <v>70.989999999999995</v>
      </c>
      <c r="F31" s="38"/>
      <c r="G31" s="52">
        <f t="shared" si="0"/>
        <v>70.989999999999995</v>
      </c>
      <c r="H31" s="38"/>
      <c r="I31" s="52">
        <f>IF(MIN(MAX(ROUND(ROUND('Loonschijven_Tranches salariale'!$Q26*0.65,4)*Basisbedragen!$I$7,2),ROUND(Basisbedragen!$D$36*Basisbedragen!$I$7,2)),ROUND(ROUND(Basisbedragen!$D$27*0.65,4)*Basisbedragen!$I$7,2))&lt;= Basisbedragen!$I$8,MIN(MAX(ROUND(ROUND('Loonschijven_Tranches salariale'!$Q26*0.65,4)*Basisbedragen!$I$2,2),ROUND(Basisbedragen!$D$36*Basisbedragen!$I$2,2)),ROUND(ROUND(Basisbedragen!$D$27*0.65,4)*Basisbedragen!$I$2,2)),MIN(MAX(ROUND(ROUND('Loonschijven_Tranches salariale'!$Q26*0.65,4)*Basisbedragen!$I$7,2),ROUND(Basisbedragen!$D$36*Basisbedragen!$I$7,2)),ROUND(ROUND(Basisbedragen!$D$27*0.65,4)*Basisbedragen!$I$7,2))+Basisbedragen!$I$10)</f>
        <v>63.29</v>
      </c>
      <c r="J31" s="52">
        <f>IF(MIN(MAX(ROUND(ROUND('Loonschijven_Tranches salariale'!$Q26*0.6,4)*Basisbedragen!$I$7,2),ROUND(Basisbedragen!$D$36*Basisbedragen!$I$7,2)),ROUND(ROUND(Basisbedragen!$D$28*0.6,4)*Basisbedragen!$I$7,2))&lt;= Basisbedragen!$I$8,MIN(MAX(ROUND(ROUND('Loonschijven_Tranches salariale'!$Q26*0.6,4)*Basisbedragen!$I$2,2),ROUND(Basisbedragen!$D$36*Basisbedragen!$I$2,2)),ROUND(ROUND(Basisbedragen!$D$28*0.6,4)*Basisbedragen!$I$2,2)),MIN(MAX(ROUND(ROUND('Loonschijven_Tranches salariale'!$Q26*0.6,4)*Basisbedragen!$I$7,2),ROUND(Basisbedragen!$D$36*Basisbedragen!$I$7,2)),ROUND(ROUND(Basisbedragen!$D$28*0.6,4)*Basisbedragen!$I$7,2))+Basisbedragen!$I$10)</f>
        <v>63.29</v>
      </c>
      <c r="K31" s="52">
        <f>MIN(MAX(ROUND(ROUND('Loonschijven_Tranches salariale'!$Q26*0.6,4)*Basisbedragen!$I$2,2),ROUND(Basisbedragen!$D$37*Basisbedragen!$I$2,2)),ROUND(ROUND(Basisbedragen!$D$29*0.6,4)*Basisbedragen!$I$2,2))</f>
        <v>57.53</v>
      </c>
      <c r="L31" s="38"/>
      <c r="M31" s="52">
        <f t="shared" si="1"/>
        <v>57.53</v>
      </c>
      <c r="N31" s="38"/>
      <c r="O31" s="52">
        <f>IF(MIN(MAX(ROUND(ROUND('Loonschijven_Tranches salariale'!$Q26*0.65,4)*Basisbedragen!$I$7,2),ROUND(Basisbedragen!$D$38*Basisbedragen!$I$7,2)),ROUND(ROUND(Basisbedragen!$D$27*0.65,4)*Basisbedragen!$I$7,2))&lt;= Basisbedragen!$I$8,MIN(MAX(ROUND(ROUND('Loonschijven_Tranches salariale'!$Q26*0.65,4)*Basisbedragen!$I$2,2),ROUND(Basisbedragen!$D$38*Basisbedragen!$I$2,2)),ROUND(ROUND(Basisbedragen!$D$27*0.65,4)*Basisbedragen!$I$2,2)),MIN(MAX(ROUND(ROUND('Loonschijven_Tranches salariale'!$Q26*0.65,4)*Basisbedragen!$I$7,2),ROUND(Basisbedragen!$D$38*Basisbedragen!$I$7,2)),ROUND(ROUND(Basisbedragen!$D$27*0.65,4)*Basisbedragen!$I$7,2))+Basisbedragen!$I$10)</f>
        <v>60.92</v>
      </c>
      <c r="P31" s="52">
        <f>IF(MIN(MAX(ROUND(ROUND('Loonschijven_Tranches salariale'!$Q26*0.6,4)*Basisbedragen!$I$7,2),ROUND(Basisbedragen!$D$39*Basisbedragen!$I$7,2)),ROUND(ROUND(Basisbedragen!$D$28*0.6,4)*Basisbedragen!$I$7,2))&lt;= Basisbedragen!$I$8,MIN(MAX(ROUND(ROUND('Loonschijven_Tranches salariale'!$Q26*0.6,4)*Basisbedragen!$I$2,2),ROUND(Basisbedragen!$D$39*Basisbedragen!$I$2,2)),ROUND(ROUND(Basisbedragen!$D$28*0.6,4)*Basisbedragen!$I$2,2)),MIN(MAX(ROUND(ROUND('Loonschijven_Tranches salariale'!$Q26*0.6,4)*Basisbedragen!$I$7,2),ROUND(Basisbedragen!$D$39*Basisbedragen!$I$7,2)),ROUND(ROUND(Basisbedragen!$D$28*0.6,4)*Basisbedragen!$I$7,2))+Basisbedragen!$I$10)</f>
        <v>56.23</v>
      </c>
      <c r="Q31" s="52">
        <f>MIN(MAX(ROUND(ROUND('Loonschijven_Tranches salariale'!$Q26*0.6,4)*Basisbedragen!$I$2,2),ROUND(Basisbedragen!$D$40*Basisbedragen!$I$2,2)),ROUND(ROUND(Basisbedragen!$D$29*0.6,4)*Basisbedragen!$I$2,2))</f>
        <v>51.12</v>
      </c>
      <c r="R31" s="38"/>
      <c r="S31" s="52">
        <f t="shared" si="2"/>
        <v>42.37</v>
      </c>
      <c r="T31" s="52">
        <f t="shared" si="3"/>
        <v>29.85</v>
      </c>
    </row>
    <row r="32" spans="1:20" ht="15.75" hidden="1" customHeight="1" outlineLevel="1" thickBot="1">
      <c r="A32" s="47">
        <f t="shared" si="4"/>
        <v>20</v>
      </c>
      <c r="C32" s="52">
        <f>IF(MIN(MAX(ROUND(ROUND('Loonschijven_Tranches salariale'!$Q27*0.65,4)*Basisbedragen!$I$7,2),ROUND(Basisbedragen!$D$34*Basisbedragen!$I$7,2)),ROUND(ROUND(Basisbedragen!$D$27*0.65,4)*Basisbedragen!$I$7,2))&lt;= Basisbedragen!$I$8,MIN(MAX(ROUND(ROUND('Loonschijven_Tranches salariale'!$Q27*0.65,4)*Basisbedragen!$I$2,2),ROUND(Basisbedragen!$D$34*Basisbedragen!$I$2,2)),ROUND(ROUND(Basisbedragen!$D$27*0.65,4)*Basisbedragen!$I$2,2)),MIN(MAX(ROUND(ROUND('Loonschijven_Tranches salariale'!$Q27*0.65,4)*Basisbedragen!$I$7,2),ROUND(Basisbedragen!$D$34*Basisbedragen!$I$7,2)),ROUND(ROUND(Basisbedragen!$D$27*0.65,4)*Basisbedragen!$I$7,2))+Basisbedragen!$I$10)</f>
        <v>78.09</v>
      </c>
      <c r="D32" s="52">
        <f>IF(MIN(MAX(ROUND(ROUND('Loonschijven_Tranches salariale'!$Q27*0.6,4)*Basisbedragen!$I$7,2),ROUND(Basisbedragen!$D$34*Basisbedragen!$I$7,2)),ROUND(ROUND(Basisbedragen!$D$28*0.6,4)*Basisbedragen!$I$7,2))&lt;= Basisbedragen!$I$8,MIN(MAX(ROUND(ROUND('Loonschijven_Tranches salariale'!$Q27*0.6,4)*Basisbedragen!$I$2,2),ROUND(Basisbedragen!$D$34*Basisbedragen!$I$2,2)),ROUND(ROUND(Basisbedragen!$D$28*0.6,4)*Basisbedragen!$I$2,2)),MIN(MAX(ROUND(ROUND('Loonschijven_Tranches salariale'!$Q27*0.6,4)*Basisbedragen!$I$7,2),ROUND(Basisbedragen!$D$34*Basisbedragen!$I$7,2)),ROUND(ROUND(Basisbedragen!$D$28*0.6,4)*Basisbedragen!$I$7,2))+Basisbedragen!$I$10)</f>
        <v>78.09</v>
      </c>
      <c r="E32" s="52">
        <f>MIN(MAX(ROUND(ROUND('Loonschijven_Tranches salariale'!$Q27*0.6,4)*Basisbedragen!$I$2,2),ROUND(Basisbedragen!$D$35*Basisbedragen!$I$2,2)),ROUND(ROUND(Basisbedragen!$D$29*0.6,4)*Basisbedragen!$I$2,2))</f>
        <v>70.989999999999995</v>
      </c>
      <c r="F32" s="38"/>
      <c r="G32" s="52">
        <f t="shared" si="0"/>
        <v>70.989999999999995</v>
      </c>
      <c r="H32" s="38"/>
      <c r="I32" s="52">
        <f>IF(MIN(MAX(ROUND(ROUND('Loonschijven_Tranches salariale'!$Q27*0.65,4)*Basisbedragen!$I$7,2),ROUND(Basisbedragen!$D$36*Basisbedragen!$I$7,2)),ROUND(ROUND(Basisbedragen!$D$27*0.65,4)*Basisbedragen!$I$7,2))&lt;= Basisbedragen!$I$8,MIN(MAX(ROUND(ROUND('Loonschijven_Tranches salariale'!$Q27*0.65,4)*Basisbedragen!$I$2,2),ROUND(Basisbedragen!$D$36*Basisbedragen!$I$2,2)),ROUND(ROUND(Basisbedragen!$D$27*0.65,4)*Basisbedragen!$I$2,2)),MIN(MAX(ROUND(ROUND('Loonschijven_Tranches salariale'!$Q27*0.65,4)*Basisbedragen!$I$7,2),ROUND(Basisbedragen!$D$36*Basisbedragen!$I$7,2)),ROUND(ROUND(Basisbedragen!$D$27*0.65,4)*Basisbedragen!$I$7,2))+Basisbedragen!$I$10)</f>
        <v>63.29</v>
      </c>
      <c r="J32" s="52">
        <f>IF(MIN(MAX(ROUND(ROUND('Loonschijven_Tranches salariale'!$Q27*0.6,4)*Basisbedragen!$I$7,2),ROUND(Basisbedragen!$D$36*Basisbedragen!$I$7,2)),ROUND(ROUND(Basisbedragen!$D$28*0.6,4)*Basisbedragen!$I$7,2))&lt;= Basisbedragen!$I$8,MIN(MAX(ROUND(ROUND('Loonschijven_Tranches salariale'!$Q27*0.6,4)*Basisbedragen!$I$2,2),ROUND(Basisbedragen!$D$36*Basisbedragen!$I$2,2)),ROUND(ROUND(Basisbedragen!$D$28*0.6,4)*Basisbedragen!$I$2,2)),MIN(MAX(ROUND(ROUND('Loonschijven_Tranches salariale'!$Q27*0.6,4)*Basisbedragen!$I$7,2),ROUND(Basisbedragen!$D$36*Basisbedragen!$I$7,2)),ROUND(ROUND(Basisbedragen!$D$28*0.6,4)*Basisbedragen!$I$7,2))+Basisbedragen!$I$10)</f>
        <v>63.29</v>
      </c>
      <c r="K32" s="52">
        <f>MIN(MAX(ROUND(ROUND('Loonschijven_Tranches salariale'!$Q27*0.6,4)*Basisbedragen!$I$2,2),ROUND(Basisbedragen!$D$37*Basisbedragen!$I$2,2)),ROUND(ROUND(Basisbedragen!$D$29*0.6,4)*Basisbedragen!$I$2,2))</f>
        <v>57.53</v>
      </c>
      <c r="L32" s="38"/>
      <c r="M32" s="52">
        <f t="shared" si="1"/>
        <v>57.53</v>
      </c>
      <c r="N32" s="38"/>
      <c r="O32" s="52">
        <f>IF(MIN(MAX(ROUND(ROUND('Loonschijven_Tranches salariale'!$Q27*0.65,4)*Basisbedragen!$I$7,2),ROUND(Basisbedragen!$D$38*Basisbedragen!$I$7,2)),ROUND(ROUND(Basisbedragen!$D$27*0.65,4)*Basisbedragen!$I$7,2))&lt;= Basisbedragen!$I$8,MIN(MAX(ROUND(ROUND('Loonschijven_Tranches salariale'!$Q27*0.65,4)*Basisbedragen!$I$2,2),ROUND(Basisbedragen!$D$38*Basisbedragen!$I$2,2)),ROUND(ROUND(Basisbedragen!$D$27*0.65,4)*Basisbedragen!$I$2,2)),MIN(MAX(ROUND(ROUND('Loonschijven_Tranches salariale'!$Q27*0.65,4)*Basisbedragen!$I$7,2),ROUND(Basisbedragen!$D$38*Basisbedragen!$I$7,2)),ROUND(ROUND(Basisbedragen!$D$27*0.65,4)*Basisbedragen!$I$7,2))+Basisbedragen!$I$10)</f>
        <v>60.92</v>
      </c>
      <c r="P32" s="52">
        <f>IF(MIN(MAX(ROUND(ROUND('Loonschijven_Tranches salariale'!$Q27*0.6,4)*Basisbedragen!$I$7,2),ROUND(Basisbedragen!$D$39*Basisbedragen!$I$7,2)),ROUND(ROUND(Basisbedragen!$D$28*0.6,4)*Basisbedragen!$I$7,2))&lt;= Basisbedragen!$I$8,MIN(MAX(ROUND(ROUND('Loonschijven_Tranches salariale'!$Q27*0.6,4)*Basisbedragen!$I$2,2),ROUND(Basisbedragen!$D$39*Basisbedragen!$I$2,2)),ROUND(ROUND(Basisbedragen!$D$28*0.6,4)*Basisbedragen!$I$2,2)),MIN(MAX(ROUND(ROUND('Loonschijven_Tranches salariale'!$Q27*0.6,4)*Basisbedragen!$I$7,2),ROUND(Basisbedragen!$D$39*Basisbedragen!$I$7,2)),ROUND(ROUND(Basisbedragen!$D$28*0.6,4)*Basisbedragen!$I$7,2))+Basisbedragen!$I$10)</f>
        <v>56.23</v>
      </c>
      <c r="Q32" s="52">
        <f>MIN(MAX(ROUND(ROUND('Loonschijven_Tranches salariale'!$Q27*0.6,4)*Basisbedragen!$I$2,2),ROUND(Basisbedragen!$D$40*Basisbedragen!$I$2,2)),ROUND(ROUND(Basisbedragen!$D$29*0.6,4)*Basisbedragen!$I$2,2))</f>
        <v>51.12</v>
      </c>
      <c r="R32" s="38"/>
      <c r="S32" s="52">
        <f t="shared" si="2"/>
        <v>42.37</v>
      </c>
      <c r="T32" s="52">
        <f t="shared" si="3"/>
        <v>29.85</v>
      </c>
    </row>
    <row r="33" spans="1:20" ht="15.75" hidden="1" customHeight="1" outlineLevel="1" thickBot="1">
      <c r="A33" s="47">
        <f t="shared" si="4"/>
        <v>21</v>
      </c>
      <c r="C33" s="52">
        <f>IF(MIN(MAX(ROUND(ROUND('Loonschijven_Tranches salariale'!$Q28*0.65,4)*Basisbedragen!$I$7,2),ROUND(Basisbedragen!$D$34*Basisbedragen!$I$7,2)),ROUND(ROUND(Basisbedragen!$D$27*0.65,4)*Basisbedragen!$I$7,2))&lt;= Basisbedragen!$I$8,MIN(MAX(ROUND(ROUND('Loonschijven_Tranches salariale'!$Q28*0.65,4)*Basisbedragen!$I$2,2),ROUND(Basisbedragen!$D$34*Basisbedragen!$I$2,2)),ROUND(ROUND(Basisbedragen!$D$27*0.65,4)*Basisbedragen!$I$2,2)),MIN(MAX(ROUND(ROUND('Loonschijven_Tranches salariale'!$Q28*0.65,4)*Basisbedragen!$I$7,2),ROUND(Basisbedragen!$D$34*Basisbedragen!$I$7,2)),ROUND(ROUND(Basisbedragen!$D$27*0.65,4)*Basisbedragen!$I$7,2))+Basisbedragen!$I$10)</f>
        <v>78.09</v>
      </c>
      <c r="D33" s="52">
        <f>IF(MIN(MAX(ROUND(ROUND('Loonschijven_Tranches salariale'!$Q28*0.6,4)*Basisbedragen!$I$7,2),ROUND(Basisbedragen!$D$34*Basisbedragen!$I$7,2)),ROUND(ROUND(Basisbedragen!$D$28*0.6,4)*Basisbedragen!$I$7,2))&lt;= Basisbedragen!$I$8,MIN(MAX(ROUND(ROUND('Loonschijven_Tranches salariale'!$Q28*0.6,4)*Basisbedragen!$I$2,2),ROUND(Basisbedragen!$D$34*Basisbedragen!$I$2,2)),ROUND(ROUND(Basisbedragen!$D$28*0.6,4)*Basisbedragen!$I$2,2)),MIN(MAX(ROUND(ROUND('Loonschijven_Tranches salariale'!$Q28*0.6,4)*Basisbedragen!$I$7,2),ROUND(Basisbedragen!$D$34*Basisbedragen!$I$7,2)),ROUND(ROUND(Basisbedragen!$D$28*0.6,4)*Basisbedragen!$I$7,2))+Basisbedragen!$I$10)</f>
        <v>78.09</v>
      </c>
      <c r="E33" s="52">
        <f>MIN(MAX(ROUND(ROUND('Loonschijven_Tranches salariale'!$Q28*0.6,4)*Basisbedragen!$I$2,2),ROUND(Basisbedragen!$D$35*Basisbedragen!$I$2,2)),ROUND(ROUND(Basisbedragen!$D$29*0.6,4)*Basisbedragen!$I$2,2))</f>
        <v>70.989999999999995</v>
      </c>
      <c r="F33" s="38"/>
      <c r="G33" s="52">
        <f t="shared" si="0"/>
        <v>70.989999999999995</v>
      </c>
      <c r="H33" s="38"/>
      <c r="I33" s="52">
        <f>IF(MIN(MAX(ROUND(ROUND('Loonschijven_Tranches salariale'!$Q28*0.65,4)*Basisbedragen!$I$7,2),ROUND(Basisbedragen!$D$36*Basisbedragen!$I$7,2)),ROUND(ROUND(Basisbedragen!$D$27*0.65,4)*Basisbedragen!$I$7,2))&lt;= Basisbedragen!$I$8,MIN(MAX(ROUND(ROUND('Loonschijven_Tranches salariale'!$Q28*0.65,4)*Basisbedragen!$I$2,2),ROUND(Basisbedragen!$D$36*Basisbedragen!$I$2,2)),ROUND(ROUND(Basisbedragen!$D$27*0.65,4)*Basisbedragen!$I$2,2)),MIN(MAX(ROUND(ROUND('Loonschijven_Tranches salariale'!$Q28*0.65,4)*Basisbedragen!$I$7,2),ROUND(Basisbedragen!$D$36*Basisbedragen!$I$7,2)),ROUND(ROUND(Basisbedragen!$D$27*0.65,4)*Basisbedragen!$I$7,2))+Basisbedragen!$I$10)</f>
        <v>63.29</v>
      </c>
      <c r="J33" s="52">
        <f>IF(MIN(MAX(ROUND(ROUND('Loonschijven_Tranches salariale'!$Q28*0.6,4)*Basisbedragen!$I$7,2),ROUND(Basisbedragen!$D$36*Basisbedragen!$I$7,2)),ROUND(ROUND(Basisbedragen!$D$28*0.6,4)*Basisbedragen!$I$7,2))&lt;= Basisbedragen!$I$8,MIN(MAX(ROUND(ROUND('Loonschijven_Tranches salariale'!$Q28*0.6,4)*Basisbedragen!$I$2,2),ROUND(Basisbedragen!$D$36*Basisbedragen!$I$2,2)),ROUND(ROUND(Basisbedragen!$D$28*0.6,4)*Basisbedragen!$I$2,2)),MIN(MAX(ROUND(ROUND('Loonschijven_Tranches salariale'!$Q28*0.6,4)*Basisbedragen!$I$7,2),ROUND(Basisbedragen!$D$36*Basisbedragen!$I$7,2)),ROUND(ROUND(Basisbedragen!$D$28*0.6,4)*Basisbedragen!$I$7,2))+Basisbedragen!$I$10)</f>
        <v>63.29</v>
      </c>
      <c r="K33" s="52">
        <f>MIN(MAX(ROUND(ROUND('Loonschijven_Tranches salariale'!$Q28*0.6,4)*Basisbedragen!$I$2,2),ROUND(Basisbedragen!$D$37*Basisbedragen!$I$2,2)),ROUND(ROUND(Basisbedragen!$D$29*0.6,4)*Basisbedragen!$I$2,2))</f>
        <v>57.53</v>
      </c>
      <c r="L33" s="38"/>
      <c r="M33" s="52">
        <f t="shared" si="1"/>
        <v>57.53</v>
      </c>
      <c r="N33" s="38"/>
      <c r="O33" s="52">
        <f>IF(MIN(MAX(ROUND(ROUND('Loonschijven_Tranches salariale'!$Q28*0.65,4)*Basisbedragen!$I$7,2),ROUND(Basisbedragen!$D$38*Basisbedragen!$I$7,2)),ROUND(ROUND(Basisbedragen!$D$27*0.65,4)*Basisbedragen!$I$7,2))&lt;= Basisbedragen!$I$8,MIN(MAX(ROUND(ROUND('Loonschijven_Tranches salariale'!$Q28*0.65,4)*Basisbedragen!$I$2,2),ROUND(Basisbedragen!$D$38*Basisbedragen!$I$2,2)),ROUND(ROUND(Basisbedragen!$D$27*0.65,4)*Basisbedragen!$I$2,2)),MIN(MAX(ROUND(ROUND('Loonschijven_Tranches salariale'!$Q28*0.65,4)*Basisbedragen!$I$7,2),ROUND(Basisbedragen!$D$38*Basisbedragen!$I$7,2)),ROUND(ROUND(Basisbedragen!$D$27*0.65,4)*Basisbedragen!$I$7,2))+Basisbedragen!$I$10)</f>
        <v>60.92</v>
      </c>
      <c r="P33" s="52">
        <f>IF(MIN(MAX(ROUND(ROUND('Loonschijven_Tranches salariale'!$Q28*0.6,4)*Basisbedragen!$I$7,2),ROUND(Basisbedragen!$D$39*Basisbedragen!$I$7,2)),ROUND(ROUND(Basisbedragen!$D$28*0.6,4)*Basisbedragen!$I$7,2))&lt;= Basisbedragen!$I$8,MIN(MAX(ROUND(ROUND('Loonschijven_Tranches salariale'!$Q28*0.6,4)*Basisbedragen!$I$2,2),ROUND(Basisbedragen!$D$39*Basisbedragen!$I$2,2)),ROUND(ROUND(Basisbedragen!$D$28*0.6,4)*Basisbedragen!$I$2,2)),MIN(MAX(ROUND(ROUND('Loonschijven_Tranches salariale'!$Q28*0.6,4)*Basisbedragen!$I$7,2),ROUND(Basisbedragen!$D$39*Basisbedragen!$I$7,2)),ROUND(ROUND(Basisbedragen!$D$28*0.6,4)*Basisbedragen!$I$7,2))+Basisbedragen!$I$10)</f>
        <v>56.23</v>
      </c>
      <c r="Q33" s="52">
        <f>MIN(MAX(ROUND(ROUND('Loonschijven_Tranches salariale'!$Q28*0.6,4)*Basisbedragen!$I$2,2),ROUND(Basisbedragen!$D$40*Basisbedragen!$I$2,2)),ROUND(ROUND(Basisbedragen!$D$29*0.6,4)*Basisbedragen!$I$2,2))</f>
        <v>51.12</v>
      </c>
      <c r="R33" s="38"/>
      <c r="S33" s="52">
        <f t="shared" si="2"/>
        <v>42.37</v>
      </c>
      <c r="T33" s="52">
        <f t="shared" si="3"/>
        <v>29.85</v>
      </c>
    </row>
    <row r="34" spans="1:20" ht="15.75" hidden="1" customHeight="1" outlineLevel="1" thickBot="1">
      <c r="A34" s="47">
        <f t="shared" si="4"/>
        <v>22</v>
      </c>
      <c r="C34" s="52">
        <f>IF(MIN(MAX(ROUND(ROUND('Loonschijven_Tranches salariale'!$Q29*0.65,4)*Basisbedragen!$I$7,2),ROUND(Basisbedragen!$D$34*Basisbedragen!$I$7,2)),ROUND(ROUND(Basisbedragen!$D$27*0.65,4)*Basisbedragen!$I$7,2))&lt;= Basisbedragen!$I$8,MIN(MAX(ROUND(ROUND('Loonschijven_Tranches salariale'!$Q29*0.65,4)*Basisbedragen!$I$2,2),ROUND(Basisbedragen!$D$34*Basisbedragen!$I$2,2)),ROUND(ROUND(Basisbedragen!$D$27*0.65,4)*Basisbedragen!$I$2,2)),MIN(MAX(ROUND(ROUND('Loonschijven_Tranches salariale'!$Q29*0.65,4)*Basisbedragen!$I$7,2),ROUND(Basisbedragen!$D$34*Basisbedragen!$I$7,2)),ROUND(ROUND(Basisbedragen!$D$27*0.65,4)*Basisbedragen!$I$7,2))+Basisbedragen!$I$10)</f>
        <v>78.09</v>
      </c>
      <c r="D34" s="52">
        <f>IF(MIN(MAX(ROUND(ROUND('Loonschijven_Tranches salariale'!$Q29*0.6,4)*Basisbedragen!$I$7,2),ROUND(Basisbedragen!$D$34*Basisbedragen!$I$7,2)),ROUND(ROUND(Basisbedragen!$D$28*0.6,4)*Basisbedragen!$I$7,2))&lt;= Basisbedragen!$I$8,MIN(MAX(ROUND(ROUND('Loonschijven_Tranches salariale'!$Q29*0.6,4)*Basisbedragen!$I$2,2),ROUND(Basisbedragen!$D$34*Basisbedragen!$I$2,2)),ROUND(ROUND(Basisbedragen!$D$28*0.6,4)*Basisbedragen!$I$2,2)),MIN(MAX(ROUND(ROUND('Loonschijven_Tranches salariale'!$Q29*0.6,4)*Basisbedragen!$I$7,2),ROUND(Basisbedragen!$D$34*Basisbedragen!$I$7,2)),ROUND(ROUND(Basisbedragen!$D$28*0.6,4)*Basisbedragen!$I$7,2))+Basisbedragen!$I$10)</f>
        <v>78.09</v>
      </c>
      <c r="E34" s="52">
        <f>MIN(MAX(ROUND(ROUND('Loonschijven_Tranches salariale'!$Q29*0.6,4)*Basisbedragen!$I$2,2),ROUND(Basisbedragen!$D$35*Basisbedragen!$I$2,2)),ROUND(ROUND(Basisbedragen!$D$29*0.6,4)*Basisbedragen!$I$2,2))</f>
        <v>70.989999999999995</v>
      </c>
      <c r="F34" s="38"/>
      <c r="G34" s="52">
        <f t="shared" si="0"/>
        <v>70.989999999999995</v>
      </c>
      <c r="H34" s="38"/>
      <c r="I34" s="52">
        <f>IF(MIN(MAX(ROUND(ROUND('Loonschijven_Tranches salariale'!$Q29*0.65,4)*Basisbedragen!$I$7,2),ROUND(Basisbedragen!$D$36*Basisbedragen!$I$7,2)),ROUND(ROUND(Basisbedragen!$D$27*0.65,4)*Basisbedragen!$I$7,2))&lt;= Basisbedragen!$I$8,MIN(MAX(ROUND(ROUND('Loonschijven_Tranches salariale'!$Q29*0.65,4)*Basisbedragen!$I$2,2),ROUND(Basisbedragen!$D$36*Basisbedragen!$I$2,2)),ROUND(ROUND(Basisbedragen!$D$27*0.65,4)*Basisbedragen!$I$2,2)),MIN(MAX(ROUND(ROUND('Loonschijven_Tranches salariale'!$Q29*0.65,4)*Basisbedragen!$I$7,2),ROUND(Basisbedragen!$D$36*Basisbedragen!$I$7,2)),ROUND(ROUND(Basisbedragen!$D$27*0.65,4)*Basisbedragen!$I$7,2))+Basisbedragen!$I$10)</f>
        <v>63.29</v>
      </c>
      <c r="J34" s="52">
        <f>IF(MIN(MAX(ROUND(ROUND('Loonschijven_Tranches salariale'!$Q29*0.6,4)*Basisbedragen!$I$7,2),ROUND(Basisbedragen!$D$36*Basisbedragen!$I$7,2)),ROUND(ROUND(Basisbedragen!$D$28*0.6,4)*Basisbedragen!$I$7,2))&lt;= Basisbedragen!$I$8,MIN(MAX(ROUND(ROUND('Loonschijven_Tranches salariale'!$Q29*0.6,4)*Basisbedragen!$I$2,2),ROUND(Basisbedragen!$D$36*Basisbedragen!$I$2,2)),ROUND(ROUND(Basisbedragen!$D$28*0.6,4)*Basisbedragen!$I$2,2)),MIN(MAX(ROUND(ROUND('Loonschijven_Tranches salariale'!$Q29*0.6,4)*Basisbedragen!$I$7,2),ROUND(Basisbedragen!$D$36*Basisbedragen!$I$7,2)),ROUND(ROUND(Basisbedragen!$D$28*0.6,4)*Basisbedragen!$I$7,2))+Basisbedragen!$I$10)</f>
        <v>63.29</v>
      </c>
      <c r="K34" s="52">
        <f>MIN(MAX(ROUND(ROUND('Loonschijven_Tranches salariale'!$Q29*0.6,4)*Basisbedragen!$I$2,2),ROUND(Basisbedragen!$D$37*Basisbedragen!$I$2,2)),ROUND(ROUND(Basisbedragen!$D$29*0.6,4)*Basisbedragen!$I$2,2))</f>
        <v>57.53</v>
      </c>
      <c r="L34" s="38"/>
      <c r="M34" s="52">
        <f t="shared" si="1"/>
        <v>57.53</v>
      </c>
      <c r="N34" s="38"/>
      <c r="O34" s="52">
        <f>IF(MIN(MAX(ROUND(ROUND('Loonschijven_Tranches salariale'!$Q29*0.65,4)*Basisbedragen!$I$7,2),ROUND(Basisbedragen!$D$38*Basisbedragen!$I$7,2)),ROUND(ROUND(Basisbedragen!$D$27*0.65,4)*Basisbedragen!$I$7,2))&lt;= Basisbedragen!$I$8,MIN(MAX(ROUND(ROUND('Loonschijven_Tranches salariale'!$Q29*0.65,4)*Basisbedragen!$I$2,2),ROUND(Basisbedragen!$D$38*Basisbedragen!$I$2,2)),ROUND(ROUND(Basisbedragen!$D$27*0.65,4)*Basisbedragen!$I$2,2)),MIN(MAX(ROUND(ROUND('Loonschijven_Tranches salariale'!$Q29*0.65,4)*Basisbedragen!$I$7,2),ROUND(Basisbedragen!$D$38*Basisbedragen!$I$7,2)),ROUND(ROUND(Basisbedragen!$D$27*0.65,4)*Basisbedragen!$I$7,2))+Basisbedragen!$I$10)</f>
        <v>60.92</v>
      </c>
      <c r="P34" s="52">
        <f>IF(MIN(MAX(ROUND(ROUND('Loonschijven_Tranches salariale'!$Q29*0.6,4)*Basisbedragen!$I$7,2),ROUND(Basisbedragen!$D$39*Basisbedragen!$I$7,2)),ROUND(ROUND(Basisbedragen!$D$28*0.6,4)*Basisbedragen!$I$7,2))&lt;= Basisbedragen!$I$8,MIN(MAX(ROUND(ROUND('Loonschijven_Tranches salariale'!$Q29*0.6,4)*Basisbedragen!$I$2,2),ROUND(Basisbedragen!$D$39*Basisbedragen!$I$2,2)),ROUND(ROUND(Basisbedragen!$D$28*0.6,4)*Basisbedragen!$I$2,2)),MIN(MAX(ROUND(ROUND('Loonschijven_Tranches salariale'!$Q29*0.6,4)*Basisbedragen!$I$7,2),ROUND(Basisbedragen!$D$39*Basisbedragen!$I$7,2)),ROUND(ROUND(Basisbedragen!$D$28*0.6,4)*Basisbedragen!$I$7,2))+Basisbedragen!$I$10)</f>
        <v>56.23</v>
      </c>
      <c r="Q34" s="52">
        <f>MIN(MAX(ROUND(ROUND('Loonschijven_Tranches salariale'!$Q29*0.6,4)*Basisbedragen!$I$2,2),ROUND(Basisbedragen!$D$40*Basisbedragen!$I$2,2)),ROUND(ROUND(Basisbedragen!$D$29*0.6,4)*Basisbedragen!$I$2,2))</f>
        <v>51.12</v>
      </c>
      <c r="R34" s="38"/>
      <c r="S34" s="52">
        <f t="shared" si="2"/>
        <v>42.37</v>
      </c>
      <c r="T34" s="52">
        <f t="shared" si="3"/>
        <v>29.85</v>
      </c>
    </row>
    <row r="35" spans="1:20" ht="15.75" hidden="1" customHeight="1" outlineLevel="1" thickBot="1">
      <c r="A35" s="47">
        <f t="shared" si="4"/>
        <v>23</v>
      </c>
      <c r="C35" s="52">
        <f>IF(MIN(MAX(ROUND(ROUND('Loonschijven_Tranches salariale'!$Q30*0.65,4)*Basisbedragen!$I$7,2),ROUND(Basisbedragen!$D$34*Basisbedragen!$I$7,2)),ROUND(ROUND(Basisbedragen!$D$27*0.65,4)*Basisbedragen!$I$7,2))&lt;= Basisbedragen!$I$8,MIN(MAX(ROUND(ROUND('Loonschijven_Tranches salariale'!$Q30*0.65,4)*Basisbedragen!$I$2,2),ROUND(Basisbedragen!$D$34*Basisbedragen!$I$2,2)),ROUND(ROUND(Basisbedragen!$D$27*0.65,4)*Basisbedragen!$I$2,2)),MIN(MAX(ROUND(ROUND('Loonschijven_Tranches salariale'!$Q30*0.65,4)*Basisbedragen!$I$7,2),ROUND(Basisbedragen!$D$34*Basisbedragen!$I$7,2)),ROUND(ROUND(Basisbedragen!$D$27*0.65,4)*Basisbedragen!$I$7,2))+Basisbedragen!$I$10)</f>
        <v>78.09</v>
      </c>
      <c r="D35" s="52">
        <f>IF(MIN(MAX(ROUND(ROUND('Loonschijven_Tranches salariale'!$Q30*0.6,4)*Basisbedragen!$I$7,2),ROUND(Basisbedragen!$D$34*Basisbedragen!$I$7,2)),ROUND(ROUND(Basisbedragen!$D$28*0.6,4)*Basisbedragen!$I$7,2))&lt;= Basisbedragen!$I$8,MIN(MAX(ROUND(ROUND('Loonschijven_Tranches salariale'!$Q30*0.6,4)*Basisbedragen!$I$2,2),ROUND(Basisbedragen!$D$34*Basisbedragen!$I$2,2)),ROUND(ROUND(Basisbedragen!$D$28*0.6,4)*Basisbedragen!$I$2,2)),MIN(MAX(ROUND(ROUND('Loonschijven_Tranches salariale'!$Q30*0.6,4)*Basisbedragen!$I$7,2),ROUND(Basisbedragen!$D$34*Basisbedragen!$I$7,2)),ROUND(ROUND(Basisbedragen!$D$28*0.6,4)*Basisbedragen!$I$7,2))+Basisbedragen!$I$10)</f>
        <v>78.09</v>
      </c>
      <c r="E35" s="52">
        <f>MIN(MAX(ROUND(ROUND('Loonschijven_Tranches salariale'!$Q30*0.6,4)*Basisbedragen!$I$2,2),ROUND(Basisbedragen!$D$35*Basisbedragen!$I$2,2)),ROUND(ROUND(Basisbedragen!$D$29*0.6,4)*Basisbedragen!$I$2,2))</f>
        <v>70.989999999999995</v>
      </c>
      <c r="F35" s="38"/>
      <c r="G35" s="52">
        <f t="shared" si="0"/>
        <v>70.989999999999995</v>
      </c>
      <c r="H35" s="38"/>
      <c r="I35" s="52">
        <f>IF(MIN(MAX(ROUND(ROUND('Loonschijven_Tranches salariale'!$Q30*0.65,4)*Basisbedragen!$I$7,2),ROUND(Basisbedragen!$D$36*Basisbedragen!$I$7,2)),ROUND(ROUND(Basisbedragen!$D$27*0.65,4)*Basisbedragen!$I$7,2))&lt;= Basisbedragen!$I$8,MIN(MAX(ROUND(ROUND('Loonschijven_Tranches salariale'!$Q30*0.65,4)*Basisbedragen!$I$2,2),ROUND(Basisbedragen!$D$36*Basisbedragen!$I$2,2)),ROUND(ROUND(Basisbedragen!$D$27*0.65,4)*Basisbedragen!$I$2,2)),MIN(MAX(ROUND(ROUND('Loonschijven_Tranches salariale'!$Q30*0.65,4)*Basisbedragen!$I$7,2),ROUND(Basisbedragen!$D$36*Basisbedragen!$I$7,2)),ROUND(ROUND(Basisbedragen!$D$27*0.65,4)*Basisbedragen!$I$7,2))+Basisbedragen!$I$10)</f>
        <v>63.29</v>
      </c>
      <c r="J35" s="52">
        <f>IF(MIN(MAX(ROUND(ROUND('Loonschijven_Tranches salariale'!$Q30*0.6,4)*Basisbedragen!$I$7,2),ROUND(Basisbedragen!$D$36*Basisbedragen!$I$7,2)),ROUND(ROUND(Basisbedragen!$D$28*0.6,4)*Basisbedragen!$I$7,2))&lt;= Basisbedragen!$I$8,MIN(MAX(ROUND(ROUND('Loonschijven_Tranches salariale'!$Q30*0.6,4)*Basisbedragen!$I$2,2),ROUND(Basisbedragen!$D$36*Basisbedragen!$I$2,2)),ROUND(ROUND(Basisbedragen!$D$28*0.6,4)*Basisbedragen!$I$2,2)),MIN(MAX(ROUND(ROUND('Loonschijven_Tranches salariale'!$Q30*0.6,4)*Basisbedragen!$I$7,2),ROUND(Basisbedragen!$D$36*Basisbedragen!$I$7,2)),ROUND(ROUND(Basisbedragen!$D$28*0.6,4)*Basisbedragen!$I$7,2))+Basisbedragen!$I$10)</f>
        <v>63.29</v>
      </c>
      <c r="K35" s="52">
        <f>MIN(MAX(ROUND(ROUND('Loonschijven_Tranches salariale'!$Q30*0.6,4)*Basisbedragen!$I$2,2),ROUND(Basisbedragen!$D$37*Basisbedragen!$I$2,2)),ROUND(ROUND(Basisbedragen!$D$29*0.6,4)*Basisbedragen!$I$2,2))</f>
        <v>57.53</v>
      </c>
      <c r="L35" s="38"/>
      <c r="M35" s="52">
        <f t="shared" si="1"/>
        <v>57.53</v>
      </c>
      <c r="N35" s="38"/>
      <c r="O35" s="52">
        <f>IF(MIN(MAX(ROUND(ROUND('Loonschijven_Tranches salariale'!$Q30*0.65,4)*Basisbedragen!$I$7,2),ROUND(Basisbedragen!$D$38*Basisbedragen!$I$7,2)),ROUND(ROUND(Basisbedragen!$D$27*0.65,4)*Basisbedragen!$I$7,2))&lt;= Basisbedragen!$I$8,MIN(MAX(ROUND(ROUND('Loonschijven_Tranches salariale'!$Q30*0.65,4)*Basisbedragen!$I$2,2),ROUND(Basisbedragen!$D$38*Basisbedragen!$I$2,2)),ROUND(ROUND(Basisbedragen!$D$27*0.65,4)*Basisbedragen!$I$2,2)),MIN(MAX(ROUND(ROUND('Loonschijven_Tranches salariale'!$Q30*0.65,4)*Basisbedragen!$I$7,2),ROUND(Basisbedragen!$D$38*Basisbedragen!$I$7,2)),ROUND(ROUND(Basisbedragen!$D$27*0.65,4)*Basisbedragen!$I$7,2))+Basisbedragen!$I$10)</f>
        <v>60.92</v>
      </c>
      <c r="P35" s="52">
        <f>IF(MIN(MAX(ROUND(ROUND('Loonschijven_Tranches salariale'!$Q30*0.6,4)*Basisbedragen!$I$7,2),ROUND(Basisbedragen!$D$39*Basisbedragen!$I$7,2)),ROUND(ROUND(Basisbedragen!$D$28*0.6,4)*Basisbedragen!$I$7,2))&lt;= Basisbedragen!$I$8,MIN(MAX(ROUND(ROUND('Loonschijven_Tranches salariale'!$Q30*0.6,4)*Basisbedragen!$I$2,2),ROUND(Basisbedragen!$D$39*Basisbedragen!$I$2,2)),ROUND(ROUND(Basisbedragen!$D$28*0.6,4)*Basisbedragen!$I$2,2)),MIN(MAX(ROUND(ROUND('Loonschijven_Tranches salariale'!$Q30*0.6,4)*Basisbedragen!$I$7,2),ROUND(Basisbedragen!$D$39*Basisbedragen!$I$7,2)),ROUND(ROUND(Basisbedragen!$D$28*0.6,4)*Basisbedragen!$I$7,2))+Basisbedragen!$I$10)</f>
        <v>56.23</v>
      </c>
      <c r="Q35" s="52">
        <f>MIN(MAX(ROUND(ROUND('Loonschijven_Tranches salariale'!$Q30*0.6,4)*Basisbedragen!$I$2,2),ROUND(Basisbedragen!$D$40*Basisbedragen!$I$2,2)),ROUND(ROUND(Basisbedragen!$D$29*0.6,4)*Basisbedragen!$I$2,2))</f>
        <v>51.12</v>
      </c>
      <c r="R35" s="38"/>
      <c r="S35" s="52">
        <f t="shared" si="2"/>
        <v>42.37</v>
      </c>
      <c r="T35" s="52">
        <f t="shared" si="3"/>
        <v>29.85</v>
      </c>
    </row>
    <row r="36" spans="1:20" ht="15.75" hidden="1" customHeight="1" outlineLevel="1" thickBot="1">
      <c r="A36" s="47">
        <f t="shared" si="4"/>
        <v>24</v>
      </c>
      <c r="C36" s="52">
        <f>IF(MIN(MAX(ROUND(ROUND('Loonschijven_Tranches salariale'!$Q31*0.65,4)*Basisbedragen!$I$7,2),ROUND(Basisbedragen!$D$34*Basisbedragen!$I$7,2)),ROUND(ROUND(Basisbedragen!$D$27*0.65,4)*Basisbedragen!$I$7,2))&lt;= Basisbedragen!$I$8,MIN(MAX(ROUND(ROUND('Loonschijven_Tranches salariale'!$Q31*0.65,4)*Basisbedragen!$I$2,2),ROUND(Basisbedragen!$D$34*Basisbedragen!$I$2,2)),ROUND(ROUND(Basisbedragen!$D$27*0.65,4)*Basisbedragen!$I$2,2)),MIN(MAX(ROUND(ROUND('Loonschijven_Tranches salariale'!$Q31*0.65,4)*Basisbedragen!$I$7,2),ROUND(Basisbedragen!$D$34*Basisbedragen!$I$7,2)),ROUND(ROUND(Basisbedragen!$D$27*0.65,4)*Basisbedragen!$I$7,2))+Basisbedragen!$I$10)</f>
        <v>78.09</v>
      </c>
      <c r="D36" s="52">
        <f>IF(MIN(MAX(ROUND(ROUND('Loonschijven_Tranches salariale'!$Q31*0.6,4)*Basisbedragen!$I$7,2),ROUND(Basisbedragen!$D$34*Basisbedragen!$I$7,2)),ROUND(ROUND(Basisbedragen!$D$28*0.6,4)*Basisbedragen!$I$7,2))&lt;= Basisbedragen!$I$8,MIN(MAX(ROUND(ROUND('Loonschijven_Tranches salariale'!$Q31*0.6,4)*Basisbedragen!$I$2,2),ROUND(Basisbedragen!$D$34*Basisbedragen!$I$2,2)),ROUND(ROUND(Basisbedragen!$D$28*0.6,4)*Basisbedragen!$I$2,2)),MIN(MAX(ROUND(ROUND('Loonschijven_Tranches salariale'!$Q31*0.6,4)*Basisbedragen!$I$7,2),ROUND(Basisbedragen!$D$34*Basisbedragen!$I$7,2)),ROUND(ROUND(Basisbedragen!$D$28*0.6,4)*Basisbedragen!$I$7,2))+Basisbedragen!$I$10)</f>
        <v>78.09</v>
      </c>
      <c r="E36" s="52">
        <f>MIN(MAX(ROUND(ROUND('Loonschijven_Tranches salariale'!$Q31*0.6,4)*Basisbedragen!$I$2,2),ROUND(Basisbedragen!$D$35*Basisbedragen!$I$2,2)),ROUND(ROUND(Basisbedragen!$D$29*0.6,4)*Basisbedragen!$I$2,2))</f>
        <v>70.989999999999995</v>
      </c>
      <c r="F36" s="38"/>
      <c r="G36" s="52">
        <f t="shared" si="0"/>
        <v>70.989999999999995</v>
      </c>
      <c r="H36" s="38"/>
      <c r="I36" s="52">
        <f>IF(MIN(MAX(ROUND(ROUND('Loonschijven_Tranches salariale'!$Q31*0.65,4)*Basisbedragen!$I$7,2),ROUND(Basisbedragen!$D$36*Basisbedragen!$I$7,2)),ROUND(ROUND(Basisbedragen!$D$27*0.65,4)*Basisbedragen!$I$7,2))&lt;= Basisbedragen!$I$8,MIN(MAX(ROUND(ROUND('Loonschijven_Tranches salariale'!$Q31*0.65,4)*Basisbedragen!$I$2,2),ROUND(Basisbedragen!$D$36*Basisbedragen!$I$2,2)),ROUND(ROUND(Basisbedragen!$D$27*0.65,4)*Basisbedragen!$I$2,2)),MIN(MAX(ROUND(ROUND('Loonschijven_Tranches salariale'!$Q31*0.65,4)*Basisbedragen!$I$7,2),ROUND(Basisbedragen!$D$36*Basisbedragen!$I$7,2)),ROUND(ROUND(Basisbedragen!$D$27*0.65,4)*Basisbedragen!$I$7,2))+Basisbedragen!$I$10)</f>
        <v>63.29</v>
      </c>
      <c r="J36" s="52">
        <f>IF(MIN(MAX(ROUND(ROUND('Loonschijven_Tranches salariale'!$Q31*0.6,4)*Basisbedragen!$I$7,2),ROUND(Basisbedragen!$D$36*Basisbedragen!$I$7,2)),ROUND(ROUND(Basisbedragen!$D$28*0.6,4)*Basisbedragen!$I$7,2))&lt;= Basisbedragen!$I$8,MIN(MAX(ROUND(ROUND('Loonschijven_Tranches salariale'!$Q31*0.6,4)*Basisbedragen!$I$2,2),ROUND(Basisbedragen!$D$36*Basisbedragen!$I$2,2)),ROUND(ROUND(Basisbedragen!$D$28*0.6,4)*Basisbedragen!$I$2,2)),MIN(MAX(ROUND(ROUND('Loonschijven_Tranches salariale'!$Q31*0.6,4)*Basisbedragen!$I$7,2),ROUND(Basisbedragen!$D$36*Basisbedragen!$I$7,2)),ROUND(ROUND(Basisbedragen!$D$28*0.6,4)*Basisbedragen!$I$7,2))+Basisbedragen!$I$10)</f>
        <v>63.29</v>
      </c>
      <c r="K36" s="52">
        <f>MIN(MAX(ROUND(ROUND('Loonschijven_Tranches salariale'!$Q31*0.6,4)*Basisbedragen!$I$2,2),ROUND(Basisbedragen!$D$37*Basisbedragen!$I$2,2)),ROUND(ROUND(Basisbedragen!$D$29*0.6,4)*Basisbedragen!$I$2,2))</f>
        <v>57.53</v>
      </c>
      <c r="L36" s="38"/>
      <c r="M36" s="52">
        <f t="shared" si="1"/>
        <v>57.53</v>
      </c>
      <c r="N36" s="38"/>
      <c r="O36" s="52">
        <f>IF(MIN(MAX(ROUND(ROUND('Loonschijven_Tranches salariale'!$Q31*0.65,4)*Basisbedragen!$I$7,2),ROUND(Basisbedragen!$D$38*Basisbedragen!$I$7,2)),ROUND(ROUND(Basisbedragen!$D$27*0.65,4)*Basisbedragen!$I$7,2))&lt;= Basisbedragen!$I$8,MIN(MAX(ROUND(ROUND('Loonschijven_Tranches salariale'!$Q31*0.65,4)*Basisbedragen!$I$2,2),ROUND(Basisbedragen!$D$38*Basisbedragen!$I$2,2)),ROUND(ROUND(Basisbedragen!$D$27*0.65,4)*Basisbedragen!$I$2,2)),MIN(MAX(ROUND(ROUND('Loonschijven_Tranches salariale'!$Q31*0.65,4)*Basisbedragen!$I$7,2),ROUND(Basisbedragen!$D$38*Basisbedragen!$I$7,2)),ROUND(ROUND(Basisbedragen!$D$27*0.65,4)*Basisbedragen!$I$7,2))+Basisbedragen!$I$10)</f>
        <v>60.92</v>
      </c>
      <c r="P36" s="52">
        <f>IF(MIN(MAX(ROUND(ROUND('Loonschijven_Tranches salariale'!$Q31*0.6,4)*Basisbedragen!$I$7,2),ROUND(Basisbedragen!$D$39*Basisbedragen!$I$7,2)),ROUND(ROUND(Basisbedragen!$D$28*0.6,4)*Basisbedragen!$I$7,2))&lt;= Basisbedragen!$I$8,MIN(MAX(ROUND(ROUND('Loonschijven_Tranches salariale'!$Q31*0.6,4)*Basisbedragen!$I$2,2),ROUND(Basisbedragen!$D$39*Basisbedragen!$I$2,2)),ROUND(ROUND(Basisbedragen!$D$28*0.6,4)*Basisbedragen!$I$2,2)),MIN(MAX(ROUND(ROUND('Loonschijven_Tranches salariale'!$Q31*0.6,4)*Basisbedragen!$I$7,2),ROUND(Basisbedragen!$D$39*Basisbedragen!$I$7,2)),ROUND(ROUND(Basisbedragen!$D$28*0.6,4)*Basisbedragen!$I$7,2))+Basisbedragen!$I$10)</f>
        <v>56.23</v>
      </c>
      <c r="Q36" s="52">
        <f>MIN(MAX(ROUND(ROUND('Loonschijven_Tranches salariale'!$Q31*0.6,4)*Basisbedragen!$I$2,2),ROUND(Basisbedragen!$D$40*Basisbedragen!$I$2,2)),ROUND(ROUND(Basisbedragen!$D$29*0.6,4)*Basisbedragen!$I$2,2))</f>
        <v>51.12</v>
      </c>
      <c r="R36" s="38"/>
      <c r="S36" s="52">
        <f t="shared" si="2"/>
        <v>42.37</v>
      </c>
      <c r="T36" s="52">
        <f t="shared" si="3"/>
        <v>29.85</v>
      </c>
    </row>
    <row r="37" spans="1:20" ht="15.75" hidden="1" customHeight="1" outlineLevel="1" thickBot="1">
      <c r="A37" s="47">
        <f t="shared" si="4"/>
        <v>25</v>
      </c>
      <c r="C37" s="52">
        <f>IF(MIN(MAX(ROUND(ROUND('Loonschijven_Tranches salariale'!$Q32*0.65,4)*Basisbedragen!$I$7,2),ROUND(Basisbedragen!$D$34*Basisbedragen!$I$7,2)),ROUND(ROUND(Basisbedragen!$D$27*0.65,4)*Basisbedragen!$I$7,2))&lt;= Basisbedragen!$I$8,MIN(MAX(ROUND(ROUND('Loonschijven_Tranches salariale'!$Q32*0.65,4)*Basisbedragen!$I$2,2),ROUND(Basisbedragen!$D$34*Basisbedragen!$I$2,2)),ROUND(ROUND(Basisbedragen!$D$27*0.65,4)*Basisbedragen!$I$2,2)),MIN(MAX(ROUND(ROUND('Loonschijven_Tranches salariale'!$Q32*0.65,4)*Basisbedragen!$I$7,2),ROUND(Basisbedragen!$D$34*Basisbedragen!$I$7,2)),ROUND(ROUND(Basisbedragen!$D$27*0.65,4)*Basisbedragen!$I$7,2))+Basisbedragen!$I$10)</f>
        <v>78.09</v>
      </c>
      <c r="D37" s="52">
        <f>IF(MIN(MAX(ROUND(ROUND('Loonschijven_Tranches salariale'!$Q32*0.6,4)*Basisbedragen!$I$7,2),ROUND(Basisbedragen!$D$34*Basisbedragen!$I$7,2)),ROUND(ROUND(Basisbedragen!$D$28*0.6,4)*Basisbedragen!$I$7,2))&lt;= Basisbedragen!$I$8,MIN(MAX(ROUND(ROUND('Loonschijven_Tranches salariale'!$Q32*0.6,4)*Basisbedragen!$I$2,2),ROUND(Basisbedragen!$D$34*Basisbedragen!$I$2,2)),ROUND(ROUND(Basisbedragen!$D$28*0.6,4)*Basisbedragen!$I$2,2)),MIN(MAX(ROUND(ROUND('Loonschijven_Tranches salariale'!$Q32*0.6,4)*Basisbedragen!$I$7,2),ROUND(Basisbedragen!$D$34*Basisbedragen!$I$7,2)),ROUND(ROUND(Basisbedragen!$D$28*0.6,4)*Basisbedragen!$I$7,2))+Basisbedragen!$I$10)</f>
        <v>78.09</v>
      </c>
      <c r="E37" s="52">
        <f>MIN(MAX(ROUND(ROUND('Loonschijven_Tranches salariale'!$Q32*0.6,4)*Basisbedragen!$I$2,2),ROUND(Basisbedragen!$D$35*Basisbedragen!$I$2,2)),ROUND(ROUND(Basisbedragen!$D$29*0.6,4)*Basisbedragen!$I$2,2))</f>
        <v>70.989999999999995</v>
      </c>
      <c r="F37" s="38"/>
      <c r="G37" s="52">
        <f t="shared" si="0"/>
        <v>70.989999999999995</v>
      </c>
      <c r="H37" s="38"/>
      <c r="I37" s="52">
        <f>IF(MIN(MAX(ROUND(ROUND('Loonschijven_Tranches salariale'!$Q32*0.65,4)*Basisbedragen!$I$7,2),ROUND(Basisbedragen!$D$36*Basisbedragen!$I$7,2)),ROUND(ROUND(Basisbedragen!$D$27*0.65,4)*Basisbedragen!$I$7,2))&lt;= Basisbedragen!$I$8,MIN(MAX(ROUND(ROUND('Loonschijven_Tranches salariale'!$Q32*0.65,4)*Basisbedragen!$I$2,2),ROUND(Basisbedragen!$D$36*Basisbedragen!$I$2,2)),ROUND(ROUND(Basisbedragen!$D$27*0.65,4)*Basisbedragen!$I$2,2)),MIN(MAX(ROUND(ROUND('Loonschijven_Tranches salariale'!$Q32*0.65,4)*Basisbedragen!$I$7,2),ROUND(Basisbedragen!$D$36*Basisbedragen!$I$7,2)),ROUND(ROUND(Basisbedragen!$D$27*0.65,4)*Basisbedragen!$I$7,2))+Basisbedragen!$I$10)</f>
        <v>63.29</v>
      </c>
      <c r="J37" s="52">
        <f>IF(MIN(MAX(ROUND(ROUND('Loonschijven_Tranches salariale'!$Q32*0.6,4)*Basisbedragen!$I$7,2),ROUND(Basisbedragen!$D$36*Basisbedragen!$I$7,2)),ROUND(ROUND(Basisbedragen!$D$28*0.6,4)*Basisbedragen!$I$7,2))&lt;= Basisbedragen!$I$8,MIN(MAX(ROUND(ROUND('Loonschijven_Tranches salariale'!$Q32*0.6,4)*Basisbedragen!$I$2,2),ROUND(Basisbedragen!$D$36*Basisbedragen!$I$2,2)),ROUND(ROUND(Basisbedragen!$D$28*0.6,4)*Basisbedragen!$I$2,2)),MIN(MAX(ROUND(ROUND('Loonschijven_Tranches salariale'!$Q32*0.6,4)*Basisbedragen!$I$7,2),ROUND(Basisbedragen!$D$36*Basisbedragen!$I$7,2)),ROUND(ROUND(Basisbedragen!$D$28*0.6,4)*Basisbedragen!$I$7,2))+Basisbedragen!$I$10)</f>
        <v>63.29</v>
      </c>
      <c r="K37" s="52">
        <f>MIN(MAX(ROUND(ROUND('Loonschijven_Tranches salariale'!$Q32*0.6,4)*Basisbedragen!$I$2,2),ROUND(Basisbedragen!$D$37*Basisbedragen!$I$2,2)),ROUND(ROUND(Basisbedragen!$D$29*0.6,4)*Basisbedragen!$I$2,2))</f>
        <v>57.53</v>
      </c>
      <c r="L37" s="38"/>
      <c r="M37" s="52">
        <f t="shared" si="1"/>
        <v>57.53</v>
      </c>
      <c r="N37" s="38"/>
      <c r="O37" s="52">
        <f>IF(MIN(MAX(ROUND(ROUND('Loonschijven_Tranches salariale'!$Q32*0.65,4)*Basisbedragen!$I$7,2),ROUND(Basisbedragen!$D$38*Basisbedragen!$I$7,2)),ROUND(ROUND(Basisbedragen!$D$27*0.65,4)*Basisbedragen!$I$7,2))&lt;= Basisbedragen!$I$8,MIN(MAX(ROUND(ROUND('Loonschijven_Tranches salariale'!$Q32*0.65,4)*Basisbedragen!$I$2,2),ROUND(Basisbedragen!$D$38*Basisbedragen!$I$2,2)),ROUND(ROUND(Basisbedragen!$D$27*0.65,4)*Basisbedragen!$I$2,2)),MIN(MAX(ROUND(ROUND('Loonschijven_Tranches salariale'!$Q32*0.65,4)*Basisbedragen!$I$7,2),ROUND(Basisbedragen!$D$38*Basisbedragen!$I$7,2)),ROUND(ROUND(Basisbedragen!$D$27*0.65,4)*Basisbedragen!$I$7,2))+Basisbedragen!$I$10)</f>
        <v>60.92</v>
      </c>
      <c r="P37" s="52">
        <f>IF(MIN(MAX(ROUND(ROUND('Loonschijven_Tranches salariale'!$Q32*0.6,4)*Basisbedragen!$I$7,2),ROUND(Basisbedragen!$D$39*Basisbedragen!$I$7,2)),ROUND(ROUND(Basisbedragen!$D$28*0.6,4)*Basisbedragen!$I$7,2))&lt;= Basisbedragen!$I$8,MIN(MAX(ROUND(ROUND('Loonschijven_Tranches salariale'!$Q32*0.6,4)*Basisbedragen!$I$2,2),ROUND(Basisbedragen!$D$39*Basisbedragen!$I$2,2)),ROUND(ROUND(Basisbedragen!$D$28*0.6,4)*Basisbedragen!$I$2,2)),MIN(MAX(ROUND(ROUND('Loonschijven_Tranches salariale'!$Q32*0.6,4)*Basisbedragen!$I$7,2),ROUND(Basisbedragen!$D$39*Basisbedragen!$I$7,2)),ROUND(ROUND(Basisbedragen!$D$28*0.6,4)*Basisbedragen!$I$7,2))+Basisbedragen!$I$10)</f>
        <v>56.23</v>
      </c>
      <c r="Q37" s="52">
        <f>MIN(MAX(ROUND(ROUND('Loonschijven_Tranches salariale'!$Q32*0.6,4)*Basisbedragen!$I$2,2),ROUND(Basisbedragen!$D$40*Basisbedragen!$I$2,2)),ROUND(ROUND(Basisbedragen!$D$29*0.6,4)*Basisbedragen!$I$2,2))</f>
        <v>51.12</v>
      </c>
      <c r="R37" s="38"/>
      <c r="S37" s="52">
        <f t="shared" si="2"/>
        <v>42.37</v>
      </c>
      <c r="T37" s="52">
        <f t="shared" si="3"/>
        <v>29.85</v>
      </c>
    </row>
    <row r="38" spans="1:20" ht="15.75" hidden="1" customHeight="1" outlineLevel="1" thickBot="1">
      <c r="A38" s="47">
        <f t="shared" si="4"/>
        <v>26</v>
      </c>
      <c r="C38" s="52">
        <f>IF(MIN(MAX(ROUND(ROUND('Loonschijven_Tranches salariale'!$Q33*0.65,4)*Basisbedragen!$I$7,2),ROUND(Basisbedragen!$D$34*Basisbedragen!$I$7,2)),ROUND(ROUND(Basisbedragen!$D$27*0.65,4)*Basisbedragen!$I$7,2))&lt;= Basisbedragen!$I$8,MIN(MAX(ROUND(ROUND('Loonschijven_Tranches salariale'!$Q33*0.65,4)*Basisbedragen!$I$2,2),ROUND(Basisbedragen!$D$34*Basisbedragen!$I$2,2)),ROUND(ROUND(Basisbedragen!$D$27*0.65,4)*Basisbedragen!$I$2,2)),MIN(MAX(ROUND(ROUND('Loonschijven_Tranches salariale'!$Q33*0.65,4)*Basisbedragen!$I$7,2),ROUND(Basisbedragen!$D$34*Basisbedragen!$I$7,2)),ROUND(ROUND(Basisbedragen!$D$27*0.65,4)*Basisbedragen!$I$7,2))+Basisbedragen!$I$10)</f>
        <v>78.09</v>
      </c>
      <c r="D38" s="52">
        <f>IF(MIN(MAX(ROUND(ROUND('Loonschijven_Tranches salariale'!$Q33*0.6,4)*Basisbedragen!$I$7,2),ROUND(Basisbedragen!$D$34*Basisbedragen!$I$7,2)),ROUND(ROUND(Basisbedragen!$D$28*0.6,4)*Basisbedragen!$I$7,2))&lt;= Basisbedragen!$I$8,MIN(MAX(ROUND(ROUND('Loonschijven_Tranches salariale'!$Q33*0.6,4)*Basisbedragen!$I$2,2),ROUND(Basisbedragen!$D$34*Basisbedragen!$I$2,2)),ROUND(ROUND(Basisbedragen!$D$28*0.6,4)*Basisbedragen!$I$2,2)),MIN(MAX(ROUND(ROUND('Loonschijven_Tranches salariale'!$Q33*0.6,4)*Basisbedragen!$I$7,2),ROUND(Basisbedragen!$D$34*Basisbedragen!$I$7,2)),ROUND(ROUND(Basisbedragen!$D$28*0.6,4)*Basisbedragen!$I$7,2))+Basisbedragen!$I$10)</f>
        <v>78.09</v>
      </c>
      <c r="E38" s="52">
        <f>MIN(MAX(ROUND(ROUND('Loonschijven_Tranches salariale'!$Q33*0.6,4)*Basisbedragen!$I$2,2),ROUND(Basisbedragen!$D$35*Basisbedragen!$I$2,2)),ROUND(ROUND(Basisbedragen!$D$29*0.6,4)*Basisbedragen!$I$2,2))</f>
        <v>70.989999999999995</v>
      </c>
      <c r="F38" s="38"/>
      <c r="G38" s="52">
        <f t="shared" si="0"/>
        <v>70.989999999999995</v>
      </c>
      <c r="H38" s="38"/>
      <c r="I38" s="52">
        <f>IF(MIN(MAX(ROUND(ROUND('Loonschijven_Tranches salariale'!$Q33*0.65,4)*Basisbedragen!$I$7,2),ROUND(Basisbedragen!$D$36*Basisbedragen!$I$7,2)),ROUND(ROUND(Basisbedragen!$D$27*0.65,4)*Basisbedragen!$I$7,2))&lt;= Basisbedragen!$I$8,MIN(MAX(ROUND(ROUND('Loonschijven_Tranches salariale'!$Q33*0.65,4)*Basisbedragen!$I$2,2),ROUND(Basisbedragen!$D$36*Basisbedragen!$I$2,2)),ROUND(ROUND(Basisbedragen!$D$27*0.65,4)*Basisbedragen!$I$2,2)),MIN(MAX(ROUND(ROUND('Loonschijven_Tranches salariale'!$Q33*0.65,4)*Basisbedragen!$I$7,2),ROUND(Basisbedragen!$D$36*Basisbedragen!$I$7,2)),ROUND(ROUND(Basisbedragen!$D$27*0.65,4)*Basisbedragen!$I$7,2))+Basisbedragen!$I$10)</f>
        <v>63.29</v>
      </c>
      <c r="J38" s="52">
        <f>IF(MIN(MAX(ROUND(ROUND('Loonschijven_Tranches salariale'!$Q33*0.6,4)*Basisbedragen!$I$7,2),ROUND(Basisbedragen!$D$36*Basisbedragen!$I$7,2)),ROUND(ROUND(Basisbedragen!$D$28*0.6,4)*Basisbedragen!$I$7,2))&lt;= Basisbedragen!$I$8,MIN(MAX(ROUND(ROUND('Loonschijven_Tranches salariale'!$Q33*0.6,4)*Basisbedragen!$I$2,2),ROUND(Basisbedragen!$D$36*Basisbedragen!$I$2,2)),ROUND(ROUND(Basisbedragen!$D$28*0.6,4)*Basisbedragen!$I$2,2)),MIN(MAX(ROUND(ROUND('Loonschijven_Tranches salariale'!$Q33*0.6,4)*Basisbedragen!$I$7,2),ROUND(Basisbedragen!$D$36*Basisbedragen!$I$7,2)),ROUND(ROUND(Basisbedragen!$D$28*0.6,4)*Basisbedragen!$I$7,2))+Basisbedragen!$I$10)</f>
        <v>63.29</v>
      </c>
      <c r="K38" s="52">
        <f>MIN(MAX(ROUND(ROUND('Loonschijven_Tranches salariale'!$Q33*0.6,4)*Basisbedragen!$I$2,2),ROUND(Basisbedragen!$D$37*Basisbedragen!$I$2,2)),ROUND(ROUND(Basisbedragen!$D$29*0.6,4)*Basisbedragen!$I$2,2))</f>
        <v>57.53</v>
      </c>
      <c r="L38" s="38"/>
      <c r="M38" s="52">
        <f t="shared" si="1"/>
        <v>57.53</v>
      </c>
      <c r="N38" s="38"/>
      <c r="O38" s="52">
        <f>IF(MIN(MAX(ROUND(ROUND('Loonschijven_Tranches salariale'!$Q33*0.65,4)*Basisbedragen!$I$7,2),ROUND(Basisbedragen!$D$38*Basisbedragen!$I$7,2)),ROUND(ROUND(Basisbedragen!$D$27*0.65,4)*Basisbedragen!$I$7,2))&lt;= Basisbedragen!$I$8,MIN(MAX(ROUND(ROUND('Loonschijven_Tranches salariale'!$Q33*0.65,4)*Basisbedragen!$I$2,2),ROUND(Basisbedragen!$D$38*Basisbedragen!$I$2,2)),ROUND(ROUND(Basisbedragen!$D$27*0.65,4)*Basisbedragen!$I$2,2)),MIN(MAX(ROUND(ROUND('Loonschijven_Tranches salariale'!$Q33*0.65,4)*Basisbedragen!$I$7,2),ROUND(Basisbedragen!$D$38*Basisbedragen!$I$7,2)),ROUND(ROUND(Basisbedragen!$D$27*0.65,4)*Basisbedragen!$I$7,2))+Basisbedragen!$I$10)</f>
        <v>60.92</v>
      </c>
      <c r="P38" s="52">
        <f>IF(MIN(MAX(ROUND(ROUND('Loonschijven_Tranches salariale'!$Q33*0.6,4)*Basisbedragen!$I$7,2),ROUND(Basisbedragen!$D$39*Basisbedragen!$I$7,2)),ROUND(ROUND(Basisbedragen!$D$28*0.6,4)*Basisbedragen!$I$7,2))&lt;= Basisbedragen!$I$8,MIN(MAX(ROUND(ROUND('Loonschijven_Tranches salariale'!$Q33*0.6,4)*Basisbedragen!$I$2,2),ROUND(Basisbedragen!$D$39*Basisbedragen!$I$2,2)),ROUND(ROUND(Basisbedragen!$D$28*0.6,4)*Basisbedragen!$I$2,2)),MIN(MAX(ROUND(ROUND('Loonschijven_Tranches salariale'!$Q33*0.6,4)*Basisbedragen!$I$7,2),ROUND(Basisbedragen!$D$39*Basisbedragen!$I$7,2)),ROUND(ROUND(Basisbedragen!$D$28*0.6,4)*Basisbedragen!$I$7,2))+Basisbedragen!$I$10)</f>
        <v>56.23</v>
      </c>
      <c r="Q38" s="52">
        <f>MIN(MAX(ROUND(ROUND('Loonschijven_Tranches salariale'!$Q33*0.6,4)*Basisbedragen!$I$2,2),ROUND(Basisbedragen!$D$40*Basisbedragen!$I$2,2)),ROUND(ROUND(Basisbedragen!$D$29*0.6,4)*Basisbedragen!$I$2,2))</f>
        <v>51.12</v>
      </c>
      <c r="R38" s="38"/>
      <c r="S38" s="52">
        <f t="shared" si="2"/>
        <v>42.37</v>
      </c>
      <c r="T38" s="52">
        <f t="shared" si="3"/>
        <v>29.85</v>
      </c>
    </row>
    <row r="39" spans="1:20" ht="15.75" hidden="1" customHeight="1" outlineLevel="1" thickBot="1">
      <c r="A39" s="47">
        <f t="shared" si="4"/>
        <v>27</v>
      </c>
      <c r="C39" s="52">
        <f>IF(MIN(MAX(ROUND(ROUND('Loonschijven_Tranches salariale'!$Q34*0.65,4)*Basisbedragen!$I$7,2),ROUND(Basisbedragen!$D$34*Basisbedragen!$I$7,2)),ROUND(ROUND(Basisbedragen!$D$27*0.65,4)*Basisbedragen!$I$7,2))&lt;= Basisbedragen!$I$8,MIN(MAX(ROUND(ROUND('Loonschijven_Tranches salariale'!$Q34*0.65,4)*Basisbedragen!$I$2,2),ROUND(Basisbedragen!$D$34*Basisbedragen!$I$2,2)),ROUND(ROUND(Basisbedragen!$D$27*0.65,4)*Basisbedragen!$I$2,2)),MIN(MAX(ROUND(ROUND('Loonschijven_Tranches salariale'!$Q34*0.65,4)*Basisbedragen!$I$7,2),ROUND(Basisbedragen!$D$34*Basisbedragen!$I$7,2)),ROUND(ROUND(Basisbedragen!$D$27*0.65,4)*Basisbedragen!$I$7,2))+Basisbedragen!$I$10)</f>
        <v>78.09</v>
      </c>
      <c r="D39" s="52">
        <f>IF(MIN(MAX(ROUND(ROUND('Loonschijven_Tranches salariale'!$Q34*0.6,4)*Basisbedragen!$I$7,2),ROUND(Basisbedragen!$D$34*Basisbedragen!$I$7,2)),ROUND(ROUND(Basisbedragen!$D$28*0.6,4)*Basisbedragen!$I$7,2))&lt;= Basisbedragen!$I$8,MIN(MAX(ROUND(ROUND('Loonschijven_Tranches salariale'!$Q34*0.6,4)*Basisbedragen!$I$2,2),ROUND(Basisbedragen!$D$34*Basisbedragen!$I$2,2)),ROUND(ROUND(Basisbedragen!$D$28*0.6,4)*Basisbedragen!$I$2,2)),MIN(MAX(ROUND(ROUND('Loonschijven_Tranches salariale'!$Q34*0.6,4)*Basisbedragen!$I$7,2),ROUND(Basisbedragen!$D$34*Basisbedragen!$I$7,2)),ROUND(ROUND(Basisbedragen!$D$28*0.6,4)*Basisbedragen!$I$7,2))+Basisbedragen!$I$10)</f>
        <v>78.09</v>
      </c>
      <c r="E39" s="52">
        <f>MIN(MAX(ROUND(ROUND('Loonschijven_Tranches salariale'!$Q34*0.6,4)*Basisbedragen!$I$2,2),ROUND(Basisbedragen!$D$35*Basisbedragen!$I$2,2)),ROUND(ROUND(Basisbedragen!$D$29*0.6,4)*Basisbedragen!$I$2,2))</f>
        <v>70.989999999999995</v>
      </c>
      <c r="F39" s="38"/>
      <c r="G39" s="52">
        <f t="shared" si="0"/>
        <v>70.989999999999995</v>
      </c>
      <c r="H39" s="38"/>
      <c r="I39" s="52">
        <f>IF(MIN(MAX(ROUND(ROUND('Loonschijven_Tranches salariale'!$Q34*0.65,4)*Basisbedragen!$I$7,2),ROUND(Basisbedragen!$D$36*Basisbedragen!$I$7,2)),ROUND(ROUND(Basisbedragen!$D$27*0.65,4)*Basisbedragen!$I$7,2))&lt;= Basisbedragen!$I$8,MIN(MAX(ROUND(ROUND('Loonschijven_Tranches salariale'!$Q34*0.65,4)*Basisbedragen!$I$2,2),ROUND(Basisbedragen!$D$36*Basisbedragen!$I$2,2)),ROUND(ROUND(Basisbedragen!$D$27*0.65,4)*Basisbedragen!$I$2,2)),MIN(MAX(ROUND(ROUND('Loonschijven_Tranches salariale'!$Q34*0.65,4)*Basisbedragen!$I$7,2),ROUND(Basisbedragen!$D$36*Basisbedragen!$I$7,2)),ROUND(ROUND(Basisbedragen!$D$27*0.65,4)*Basisbedragen!$I$7,2))+Basisbedragen!$I$10)</f>
        <v>63.29</v>
      </c>
      <c r="J39" s="52">
        <f>IF(MIN(MAX(ROUND(ROUND('Loonschijven_Tranches salariale'!$Q34*0.6,4)*Basisbedragen!$I$7,2),ROUND(Basisbedragen!$D$36*Basisbedragen!$I$7,2)),ROUND(ROUND(Basisbedragen!$D$28*0.6,4)*Basisbedragen!$I$7,2))&lt;= Basisbedragen!$I$8,MIN(MAX(ROUND(ROUND('Loonschijven_Tranches salariale'!$Q34*0.6,4)*Basisbedragen!$I$2,2),ROUND(Basisbedragen!$D$36*Basisbedragen!$I$2,2)),ROUND(ROUND(Basisbedragen!$D$28*0.6,4)*Basisbedragen!$I$2,2)),MIN(MAX(ROUND(ROUND('Loonschijven_Tranches salariale'!$Q34*0.6,4)*Basisbedragen!$I$7,2),ROUND(Basisbedragen!$D$36*Basisbedragen!$I$7,2)),ROUND(ROUND(Basisbedragen!$D$28*0.6,4)*Basisbedragen!$I$7,2))+Basisbedragen!$I$10)</f>
        <v>63.29</v>
      </c>
      <c r="K39" s="52">
        <f>MIN(MAX(ROUND(ROUND('Loonschijven_Tranches salariale'!$Q34*0.6,4)*Basisbedragen!$I$2,2),ROUND(Basisbedragen!$D$37*Basisbedragen!$I$2,2)),ROUND(ROUND(Basisbedragen!$D$29*0.6,4)*Basisbedragen!$I$2,2))</f>
        <v>57.53</v>
      </c>
      <c r="L39" s="38"/>
      <c r="M39" s="52">
        <f t="shared" si="1"/>
        <v>57.53</v>
      </c>
      <c r="N39" s="38"/>
      <c r="O39" s="52">
        <f>IF(MIN(MAX(ROUND(ROUND('Loonschijven_Tranches salariale'!$Q34*0.65,4)*Basisbedragen!$I$7,2),ROUND(Basisbedragen!$D$38*Basisbedragen!$I$7,2)),ROUND(ROUND(Basisbedragen!$D$27*0.65,4)*Basisbedragen!$I$7,2))&lt;= Basisbedragen!$I$8,MIN(MAX(ROUND(ROUND('Loonschijven_Tranches salariale'!$Q34*0.65,4)*Basisbedragen!$I$2,2),ROUND(Basisbedragen!$D$38*Basisbedragen!$I$2,2)),ROUND(ROUND(Basisbedragen!$D$27*0.65,4)*Basisbedragen!$I$2,2)),MIN(MAX(ROUND(ROUND('Loonschijven_Tranches salariale'!$Q34*0.65,4)*Basisbedragen!$I$7,2),ROUND(Basisbedragen!$D$38*Basisbedragen!$I$7,2)),ROUND(ROUND(Basisbedragen!$D$27*0.65,4)*Basisbedragen!$I$7,2))+Basisbedragen!$I$10)</f>
        <v>60.92</v>
      </c>
      <c r="P39" s="52">
        <f>IF(MIN(MAX(ROUND(ROUND('Loonschijven_Tranches salariale'!$Q34*0.6,4)*Basisbedragen!$I$7,2),ROUND(Basisbedragen!$D$39*Basisbedragen!$I$7,2)),ROUND(ROUND(Basisbedragen!$D$28*0.6,4)*Basisbedragen!$I$7,2))&lt;= Basisbedragen!$I$8,MIN(MAX(ROUND(ROUND('Loonschijven_Tranches salariale'!$Q34*0.6,4)*Basisbedragen!$I$2,2),ROUND(Basisbedragen!$D$39*Basisbedragen!$I$2,2)),ROUND(ROUND(Basisbedragen!$D$28*0.6,4)*Basisbedragen!$I$2,2)),MIN(MAX(ROUND(ROUND('Loonschijven_Tranches salariale'!$Q34*0.6,4)*Basisbedragen!$I$7,2),ROUND(Basisbedragen!$D$39*Basisbedragen!$I$7,2)),ROUND(ROUND(Basisbedragen!$D$28*0.6,4)*Basisbedragen!$I$7,2))+Basisbedragen!$I$10)</f>
        <v>56.23</v>
      </c>
      <c r="Q39" s="52">
        <f>MIN(MAX(ROUND(ROUND('Loonschijven_Tranches salariale'!$Q34*0.6,4)*Basisbedragen!$I$2,2),ROUND(Basisbedragen!$D$40*Basisbedragen!$I$2,2)),ROUND(ROUND(Basisbedragen!$D$29*0.6,4)*Basisbedragen!$I$2,2))</f>
        <v>51.12</v>
      </c>
      <c r="R39" s="38"/>
      <c r="S39" s="52">
        <f t="shared" si="2"/>
        <v>42.37</v>
      </c>
      <c r="T39" s="52">
        <f t="shared" si="3"/>
        <v>29.85</v>
      </c>
    </row>
    <row r="40" spans="1:20" ht="15.75" hidden="1" customHeight="1" outlineLevel="1" thickBot="1">
      <c r="A40" s="47">
        <f t="shared" si="4"/>
        <v>28</v>
      </c>
      <c r="C40" s="52">
        <f>IF(MIN(MAX(ROUND(ROUND('Loonschijven_Tranches salariale'!$Q35*0.65,4)*Basisbedragen!$I$7,2),ROUND(Basisbedragen!$D$34*Basisbedragen!$I$7,2)),ROUND(ROUND(Basisbedragen!$D$27*0.65,4)*Basisbedragen!$I$7,2))&lt;= Basisbedragen!$I$8,MIN(MAX(ROUND(ROUND('Loonschijven_Tranches salariale'!$Q35*0.65,4)*Basisbedragen!$I$2,2),ROUND(Basisbedragen!$D$34*Basisbedragen!$I$2,2)),ROUND(ROUND(Basisbedragen!$D$27*0.65,4)*Basisbedragen!$I$2,2)),MIN(MAX(ROUND(ROUND('Loonschijven_Tranches salariale'!$Q35*0.65,4)*Basisbedragen!$I$7,2),ROUND(Basisbedragen!$D$34*Basisbedragen!$I$7,2)),ROUND(ROUND(Basisbedragen!$D$27*0.65,4)*Basisbedragen!$I$7,2))+Basisbedragen!$I$10)</f>
        <v>78.09</v>
      </c>
      <c r="D40" s="52">
        <f>IF(MIN(MAX(ROUND(ROUND('Loonschijven_Tranches salariale'!$Q35*0.6,4)*Basisbedragen!$I$7,2),ROUND(Basisbedragen!$D$34*Basisbedragen!$I$7,2)),ROUND(ROUND(Basisbedragen!$D$28*0.6,4)*Basisbedragen!$I$7,2))&lt;= Basisbedragen!$I$8,MIN(MAX(ROUND(ROUND('Loonschijven_Tranches salariale'!$Q35*0.6,4)*Basisbedragen!$I$2,2),ROUND(Basisbedragen!$D$34*Basisbedragen!$I$2,2)),ROUND(ROUND(Basisbedragen!$D$28*0.6,4)*Basisbedragen!$I$2,2)),MIN(MAX(ROUND(ROUND('Loonschijven_Tranches salariale'!$Q35*0.6,4)*Basisbedragen!$I$7,2),ROUND(Basisbedragen!$D$34*Basisbedragen!$I$7,2)),ROUND(ROUND(Basisbedragen!$D$28*0.6,4)*Basisbedragen!$I$7,2))+Basisbedragen!$I$10)</f>
        <v>78.09</v>
      </c>
      <c r="E40" s="52">
        <f>MIN(MAX(ROUND(ROUND('Loonschijven_Tranches salariale'!$Q35*0.6,4)*Basisbedragen!$I$2,2),ROUND(Basisbedragen!$D$35*Basisbedragen!$I$2,2)),ROUND(ROUND(Basisbedragen!$D$29*0.6,4)*Basisbedragen!$I$2,2))</f>
        <v>70.989999999999995</v>
      </c>
      <c r="F40" s="38"/>
      <c r="G40" s="52">
        <f t="shared" si="0"/>
        <v>70.989999999999995</v>
      </c>
      <c r="H40" s="38"/>
      <c r="I40" s="52">
        <f>IF(MIN(MAX(ROUND(ROUND('Loonschijven_Tranches salariale'!$Q35*0.65,4)*Basisbedragen!$I$7,2),ROUND(Basisbedragen!$D$36*Basisbedragen!$I$7,2)),ROUND(ROUND(Basisbedragen!$D$27*0.65,4)*Basisbedragen!$I$7,2))&lt;= Basisbedragen!$I$8,MIN(MAX(ROUND(ROUND('Loonschijven_Tranches salariale'!$Q35*0.65,4)*Basisbedragen!$I$2,2),ROUND(Basisbedragen!$D$36*Basisbedragen!$I$2,2)),ROUND(ROUND(Basisbedragen!$D$27*0.65,4)*Basisbedragen!$I$2,2)),MIN(MAX(ROUND(ROUND('Loonschijven_Tranches salariale'!$Q35*0.65,4)*Basisbedragen!$I$7,2),ROUND(Basisbedragen!$D$36*Basisbedragen!$I$7,2)),ROUND(ROUND(Basisbedragen!$D$27*0.65,4)*Basisbedragen!$I$7,2))+Basisbedragen!$I$10)</f>
        <v>63.29</v>
      </c>
      <c r="J40" s="52">
        <f>IF(MIN(MAX(ROUND(ROUND('Loonschijven_Tranches salariale'!$Q35*0.6,4)*Basisbedragen!$I$7,2),ROUND(Basisbedragen!$D$36*Basisbedragen!$I$7,2)),ROUND(ROUND(Basisbedragen!$D$28*0.6,4)*Basisbedragen!$I$7,2))&lt;= Basisbedragen!$I$8,MIN(MAX(ROUND(ROUND('Loonschijven_Tranches salariale'!$Q35*0.6,4)*Basisbedragen!$I$2,2),ROUND(Basisbedragen!$D$36*Basisbedragen!$I$2,2)),ROUND(ROUND(Basisbedragen!$D$28*0.6,4)*Basisbedragen!$I$2,2)),MIN(MAX(ROUND(ROUND('Loonschijven_Tranches salariale'!$Q35*0.6,4)*Basisbedragen!$I$7,2),ROUND(Basisbedragen!$D$36*Basisbedragen!$I$7,2)),ROUND(ROUND(Basisbedragen!$D$28*0.6,4)*Basisbedragen!$I$7,2))+Basisbedragen!$I$10)</f>
        <v>63.29</v>
      </c>
      <c r="K40" s="52">
        <f>MIN(MAX(ROUND(ROUND('Loonschijven_Tranches salariale'!$Q35*0.6,4)*Basisbedragen!$I$2,2),ROUND(Basisbedragen!$D$37*Basisbedragen!$I$2,2)),ROUND(ROUND(Basisbedragen!$D$29*0.6,4)*Basisbedragen!$I$2,2))</f>
        <v>57.53</v>
      </c>
      <c r="L40" s="38"/>
      <c r="M40" s="52">
        <f t="shared" si="1"/>
        <v>57.53</v>
      </c>
      <c r="N40" s="38"/>
      <c r="O40" s="52">
        <f>IF(MIN(MAX(ROUND(ROUND('Loonschijven_Tranches salariale'!$Q35*0.65,4)*Basisbedragen!$I$7,2),ROUND(Basisbedragen!$D$38*Basisbedragen!$I$7,2)),ROUND(ROUND(Basisbedragen!$D$27*0.65,4)*Basisbedragen!$I$7,2))&lt;= Basisbedragen!$I$8,MIN(MAX(ROUND(ROUND('Loonschijven_Tranches salariale'!$Q35*0.65,4)*Basisbedragen!$I$2,2),ROUND(Basisbedragen!$D$38*Basisbedragen!$I$2,2)),ROUND(ROUND(Basisbedragen!$D$27*0.65,4)*Basisbedragen!$I$2,2)),MIN(MAX(ROUND(ROUND('Loonschijven_Tranches salariale'!$Q35*0.65,4)*Basisbedragen!$I$7,2),ROUND(Basisbedragen!$D$38*Basisbedragen!$I$7,2)),ROUND(ROUND(Basisbedragen!$D$27*0.65,4)*Basisbedragen!$I$7,2))+Basisbedragen!$I$10)</f>
        <v>60.92</v>
      </c>
      <c r="P40" s="52">
        <f>IF(MIN(MAX(ROUND(ROUND('Loonschijven_Tranches salariale'!$Q35*0.6,4)*Basisbedragen!$I$7,2),ROUND(Basisbedragen!$D$39*Basisbedragen!$I$7,2)),ROUND(ROUND(Basisbedragen!$D$28*0.6,4)*Basisbedragen!$I$7,2))&lt;= Basisbedragen!$I$8,MIN(MAX(ROUND(ROUND('Loonschijven_Tranches salariale'!$Q35*0.6,4)*Basisbedragen!$I$2,2),ROUND(Basisbedragen!$D$39*Basisbedragen!$I$2,2)),ROUND(ROUND(Basisbedragen!$D$28*0.6,4)*Basisbedragen!$I$2,2)),MIN(MAX(ROUND(ROUND('Loonschijven_Tranches salariale'!$Q35*0.6,4)*Basisbedragen!$I$7,2),ROUND(Basisbedragen!$D$39*Basisbedragen!$I$7,2)),ROUND(ROUND(Basisbedragen!$D$28*0.6,4)*Basisbedragen!$I$7,2))+Basisbedragen!$I$10)</f>
        <v>56.23</v>
      </c>
      <c r="Q40" s="52">
        <f>MIN(MAX(ROUND(ROUND('Loonschijven_Tranches salariale'!$Q35*0.6,4)*Basisbedragen!$I$2,2),ROUND(Basisbedragen!$D$40*Basisbedragen!$I$2,2)),ROUND(ROUND(Basisbedragen!$D$29*0.6,4)*Basisbedragen!$I$2,2))</f>
        <v>51.12</v>
      </c>
      <c r="R40" s="38"/>
      <c r="S40" s="52">
        <f t="shared" si="2"/>
        <v>42.37</v>
      </c>
      <c r="T40" s="52">
        <f t="shared" si="3"/>
        <v>29.85</v>
      </c>
    </row>
    <row r="41" spans="1:20" ht="15.75" hidden="1" customHeight="1" outlineLevel="1" thickBot="1">
      <c r="A41" s="47">
        <f t="shared" si="4"/>
        <v>29</v>
      </c>
      <c r="C41" s="52">
        <f>IF(MIN(MAX(ROUND(ROUND('Loonschijven_Tranches salariale'!$Q36*0.65,4)*Basisbedragen!$I$7,2),ROUND(Basisbedragen!$D$34*Basisbedragen!$I$7,2)),ROUND(ROUND(Basisbedragen!$D$27*0.65,4)*Basisbedragen!$I$7,2))&lt;= Basisbedragen!$I$8,MIN(MAX(ROUND(ROUND('Loonschijven_Tranches salariale'!$Q36*0.65,4)*Basisbedragen!$I$2,2),ROUND(Basisbedragen!$D$34*Basisbedragen!$I$2,2)),ROUND(ROUND(Basisbedragen!$D$27*0.65,4)*Basisbedragen!$I$2,2)),MIN(MAX(ROUND(ROUND('Loonschijven_Tranches salariale'!$Q36*0.65,4)*Basisbedragen!$I$7,2),ROUND(Basisbedragen!$D$34*Basisbedragen!$I$7,2)),ROUND(ROUND(Basisbedragen!$D$27*0.65,4)*Basisbedragen!$I$7,2))+Basisbedragen!$I$10)</f>
        <v>78.09</v>
      </c>
      <c r="D41" s="52">
        <f>IF(MIN(MAX(ROUND(ROUND('Loonschijven_Tranches salariale'!$Q36*0.6,4)*Basisbedragen!$I$7,2),ROUND(Basisbedragen!$D$34*Basisbedragen!$I$7,2)),ROUND(ROUND(Basisbedragen!$D$28*0.6,4)*Basisbedragen!$I$7,2))&lt;= Basisbedragen!$I$8,MIN(MAX(ROUND(ROUND('Loonschijven_Tranches salariale'!$Q36*0.6,4)*Basisbedragen!$I$2,2),ROUND(Basisbedragen!$D$34*Basisbedragen!$I$2,2)),ROUND(ROUND(Basisbedragen!$D$28*0.6,4)*Basisbedragen!$I$2,2)),MIN(MAX(ROUND(ROUND('Loonschijven_Tranches salariale'!$Q36*0.6,4)*Basisbedragen!$I$7,2),ROUND(Basisbedragen!$D$34*Basisbedragen!$I$7,2)),ROUND(ROUND(Basisbedragen!$D$28*0.6,4)*Basisbedragen!$I$7,2))+Basisbedragen!$I$10)</f>
        <v>78.09</v>
      </c>
      <c r="E41" s="52">
        <f>MIN(MAX(ROUND(ROUND('Loonschijven_Tranches salariale'!$Q36*0.6,4)*Basisbedragen!$I$2,2),ROUND(Basisbedragen!$D$35*Basisbedragen!$I$2,2)),ROUND(ROUND(Basisbedragen!$D$29*0.6,4)*Basisbedragen!$I$2,2))</f>
        <v>70.989999999999995</v>
      </c>
      <c r="F41" s="38"/>
      <c r="G41" s="52">
        <f t="shared" si="0"/>
        <v>70.989999999999995</v>
      </c>
      <c r="H41" s="38"/>
      <c r="I41" s="52">
        <f>IF(MIN(MAX(ROUND(ROUND('Loonschijven_Tranches salariale'!$Q36*0.65,4)*Basisbedragen!$I$7,2),ROUND(Basisbedragen!$D$36*Basisbedragen!$I$7,2)),ROUND(ROUND(Basisbedragen!$D$27*0.65,4)*Basisbedragen!$I$7,2))&lt;= Basisbedragen!$I$8,MIN(MAX(ROUND(ROUND('Loonschijven_Tranches salariale'!$Q36*0.65,4)*Basisbedragen!$I$2,2),ROUND(Basisbedragen!$D$36*Basisbedragen!$I$2,2)),ROUND(ROUND(Basisbedragen!$D$27*0.65,4)*Basisbedragen!$I$2,2)),MIN(MAX(ROUND(ROUND('Loonschijven_Tranches salariale'!$Q36*0.65,4)*Basisbedragen!$I$7,2),ROUND(Basisbedragen!$D$36*Basisbedragen!$I$7,2)),ROUND(ROUND(Basisbedragen!$D$27*0.65,4)*Basisbedragen!$I$7,2))+Basisbedragen!$I$10)</f>
        <v>63.29</v>
      </c>
      <c r="J41" s="52">
        <f>IF(MIN(MAX(ROUND(ROUND('Loonschijven_Tranches salariale'!$Q36*0.6,4)*Basisbedragen!$I$7,2),ROUND(Basisbedragen!$D$36*Basisbedragen!$I$7,2)),ROUND(ROUND(Basisbedragen!$D$28*0.6,4)*Basisbedragen!$I$7,2))&lt;= Basisbedragen!$I$8,MIN(MAX(ROUND(ROUND('Loonschijven_Tranches salariale'!$Q36*0.6,4)*Basisbedragen!$I$2,2),ROUND(Basisbedragen!$D$36*Basisbedragen!$I$2,2)),ROUND(ROUND(Basisbedragen!$D$28*0.6,4)*Basisbedragen!$I$2,2)),MIN(MAX(ROUND(ROUND('Loonschijven_Tranches salariale'!$Q36*0.6,4)*Basisbedragen!$I$7,2),ROUND(Basisbedragen!$D$36*Basisbedragen!$I$7,2)),ROUND(ROUND(Basisbedragen!$D$28*0.6,4)*Basisbedragen!$I$7,2))+Basisbedragen!$I$10)</f>
        <v>63.29</v>
      </c>
      <c r="K41" s="52">
        <f>MIN(MAX(ROUND(ROUND('Loonschijven_Tranches salariale'!$Q36*0.6,4)*Basisbedragen!$I$2,2),ROUND(Basisbedragen!$D$37*Basisbedragen!$I$2,2)),ROUND(ROUND(Basisbedragen!$D$29*0.6,4)*Basisbedragen!$I$2,2))</f>
        <v>57.53</v>
      </c>
      <c r="L41" s="38"/>
      <c r="M41" s="52">
        <f t="shared" si="1"/>
        <v>57.53</v>
      </c>
      <c r="N41" s="38"/>
      <c r="O41" s="52">
        <f>IF(MIN(MAX(ROUND(ROUND('Loonschijven_Tranches salariale'!$Q36*0.65,4)*Basisbedragen!$I$7,2),ROUND(Basisbedragen!$D$38*Basisbedragen!$I$7,2)),ROUND(ROUND(Basisbedragen!$D$27*0.65,4)*Basisbedragen!$I$7,2))&lt;= Basisbedragen!$I$8,MIN(MAX(ROUND(ROUND('Loonschijven_Tranches salariale'!$Q36*0.65,4)*Basisbedragen!$I$2,2),ROUND(Basisbedragen!$D$38*Basisbedragen!$I$2,2)),ROUND(ROUND(Basisbedragen!$D$27*0.65,4)*Basisbedragen!$I$2,2)),MIN(MAX(ROUND(ROUND('Loonschijven_Tranches salariale'!$Q36*0.65,4)*Basisbedragen!$I$7,2),ROUND(Basisbedragen!$D$38*Basisbedragen!$I$7,2)),ROUND(ROUND(Basisbedragen!$D$27*0.65,4)*Basisbedragen!$I$7,2))+Basisbedragen!$I$10)</f>
        <v>60.92</v>
      </c>
      <c r="P41" s="52">
        <f>IF(MIN(MAX(ROUND(ROUND('Loonschijven_Tranches salariale'!$Q36*0.6,4)*Basisbedragen!$I$7,2),ROUND(Basisbedragen!$D$39*Basisbedragen!$I$7,2)),ROUND(ROUND(Basisbedragen!$D$28*0.6,4)*Basisbedragen!$I$7,2))&lt;= Basisbedragen!$I$8,MIN(MAX(ROUND(ROUND('Loonschijven_Tranches salariale'!$Q36*0.6,4)*Basisbedragen!$I$2,2),ROUND(Basisbedragen!$D$39*Basisbedragen!$I$2,2)),ROUND(ROUND(Basisbedragen!$D$28*0.6,4)*Basisbedragen!$I$2,2)),MIN(MAX(ROUND(ROUND('Loonschijven_Tranches salariale'!$Q36*0.6,4)*Basisbedragen!$I$7,2),ROUND(Basisbedragen!$D$39*Basisbedragen!$I$7,2)),ROUND(ROUND(Basisbedragen!$D$28*0.6,4)*Basisbedragen!$I$7,2))+Basisbedragen!$I$10)</f>
        <v>56.23</v>
      </c>
      <c r="Q41" s="52">
        <f>MIN(MAX(ROUND(ROUND('Loonschijven_Tranches salariale'!$Q36*0.6,4)*Basisbedragen!$I$2,2),ROUND(Basisbedragen!$D$40*Basisbedragen!$I$2,2)),ROUND(ROUND(Basisbedragen!$D$29*0.6,4)*Basisbedragen!$I$2,2))</f>
        <v>51.12</v>
      </c>
      <c r="R41" s="38"/>
      <c r="S41" s="52">
        <f t="shared" si="2"/>
        <v>42.37</v>
      </c>
      <c r="T41" s="52">
        <f t="shared" si="3"/>
        <v>29.85</v>
      </c>
    </row>
    <row r="42" spans="1:20" ht="15.75" hidden="1" customHeight="1" outlineLevel="1" thickBot="1">
      <c r="A42" s="47">
        <f t="shared" si="4"/>
        <v>30</v>
      </c>
      <c r="C42" s="52">
        <f>IF(MIN(MAX(ROUND(ROUND('Loonschijven_Tranches salariale'!$Q37*0.65,4)*Basisbedragen!$I$7,2),ROUND(Basisbedragen!$D$34*Basisbedragen!$I$7,2)),ROUND(ROUND(Basisbedragen!$D$27*0.65,4)*Basisbedragen!$I$7,2))&lt;= Basisbedragen!$I$8,MIN(MAX(ROUND(ROUND('Loonschijven_Tranches salariale'!$Q37*0.65,4)*Basisbedragen!$I$2,2),ROUND(Basisbedragen!$D$34*Basisbedragen!$I$2,2)),ROUND(ROUND(Basisbedragen!$D$27*0.65,4)*Basisbedragen!$I$2,2)),MIN(MAX(ROUND(ROUND('Loonschijven_Tranches salariale'!$Q37*0.65,4)*Basisbedragen!$I$7,2),ROUND(Basisbedragen!$D$34*Basisbedragen!$I$7,2)),ROUND(ROUND(Basisbedragen!$D$27*0.65,4)*Basisbedragen!$I$7,2))+Basisbedragen!$I$10)</f>
        <v>78.09</v>
      </c>
      <c r="D42" s="52">
        <f>IF(MIN(MAX(ROUND(ROUND('Loonschijven_Tranches salariale'!$Q37*0.6,4)*Basisbedragen!$I$7,2),ROUND(Basisbedragen!$D$34*Basisbedragen!$I$7,2)),ROUND(ROUND(Basisbedragen!$D$28*0.6,4)*Basisbedragen!$I$7,2))&lt;= Basisbedragen!$I$8,MIN(MAX(ROUND(ROUND('Loonschijven_Tranches salariale'!$Q37*0.6,4)*Basisbedragen!$I$2,2),ROUND(Basisbedragen!$D$34*Basisbedragen!$I$2,2)),ROUND(ROUND(Basisbedragen!$D$28*0.6,4)*Basisbedragen!$I$2,2)),MIN(MAX(ROUND(ROUND('Loonschijven_Tranches salariale'!$Q37*0.6,4)*Basisbedragen!$I$7,2),ROUND(Basisbedragen!$D$34*Basisbedragen!$I$7,2)),ROUND(ROUND(Basisbedragen!$D$28*0.6,4)*Basisbedragen!$I$7,2))+Basisbedragen!$I$10)</f>
        <v>78.09</v>
      </c>
      <c r="E42" s="52">
        <f>MIN(MAX(ROUND(ROUND('Loonschijven_Tranches salariale'!$Q37*0.6,4)*Basisbedragen!$I$2,2),ROUND(Basisbedragen!$D$35*Basisbedragen!$I$2,2)),ROUND(ROUND(Basisbedragen!$D$29*0.6,4)*Basisbedragen!$I$2,2))</f>
        <v>70.989999999999995</v>
      </c>
      <c r="F42" s="38"/>
      <c r="G42" s="52">
        <f t="shared" si="0"/>
        <v>70.989999999999995</v>
      </c>
      <c r="H42" s="38"/>
      <c r="I42" s="52">
        <f>IF(MIN(MAX(ROUND(ROUND('Loonschijven_Tranches salariale'!$Q37*0.65,4)*Basisbedragen!$I$7,2),ROUND(Basisbedragen!$D$36*Basisbedragen!$I$7,2)),ROUND(ROUND(Basisbedragen!$D$27*0.65,4)*Basisbedragen!$I$7,2))&lt;= Basisbedragen!$I$8,MIN(MAX(ROUND(ROUND('Loonschijven_Tranches salariale'!$Q37*0.65,4)*Basisbedragen!$I$2,2),ROUND(Basisbedragen!$D$36*Basisbedragen!$I$2,2)),ROUND(ROUND(Basisbedragen!$D$27*0.65,4)*Basisbedragen!$I$2,2)),MIN(MAX(ROUND(ROUND('Loonschijven_Tranches salariale'!$Q37*0.65,4)*Basisbedragen!$I$7,2),ROUND(Basisbedragen!$D$36*Basisbedragen!$I$7,2)),ROUND(ROUND(Basisbedragen!$D$27*0.65,4)*Basisbedragen!$I$7,2))+Basisbedragen!$I$10)</f>
        <v>63.29</v>
      </c>
      <c r="J42" s="52">
        <f>IF(MIN(MAX(ROUND(ROUND('Loonschijven_Tranches salariale'!$Q37*0.6,4)*Basisbedragen!$I$7,2),ROUND(Basisbedragen!$D$36*Basisbedragen!$I$7,2)),ROUND(ROUND(Basisbedragen!$D$28*0.6,4)*Basisbedragen!$I$7,2))&lt;= Basisbedragen!$I$8,MIN(MAX(ROUND(ROUND('Loonschijven_Tranches salariale'!$Q37*0.6,4)*Basisbedragen!$I$2,2),ROUND(Basisbedragen!$D$36*Basisbedragen!$I$2,2)),ROUND(ROUND(Basisbedragen!$D$28*0.6,4)*Basisbedragen!$I$2,2)),MIN(MAX(ROUND(ROUND('Loonschijven_Tranches salariale'!$Q37*0.6,4)*Basisbedragen!$I$7,2),ROUND(Basisbedragen!$D$36*Basisbedragen!$I$7,2)),ROUND(ROUND(Basisbedragen!$D$28*0.6,4)*Basisbedragen!$I$7,2))+Basisbedragen!$I$10)</f>
        <v>63.29</v>
      </c>
      <c r="K42" s="52">
        <f>MIN(MAX(ROUND(ROUND('Loonschijven_Tranches salariale'!$Q37*0.6,4)*Basisbedragen!$I$2,2),ROUND(Basisbedragen!$D$37*Basisbedragen!$I$2,2)),ROUND(ROUND(Basisbedragen!$D$29*0.6,4)*Basisbedragen!$I$2,2))</f>
        <v>57.53</v>
      </c>
      <c r="L42" s="38"/>
      <c r="M42" s="52">
        <f t="shared" si="1"/>
        <v>57.53</v>
      </c>
      <c r="N42" s="38"/>
      <c r="O42" s="52">
        <f>IF(MIN(MAX(ROUND(ROUND('Loonschijven_Tranches salariale'!$Q37*0.65,4)*Basisbedragen!$I$7,2),ROUND(Basisbedragen!$D$38*Basisbedragen!$I$7,2)),ROUND(ROUND(Basisbedragen!$D$27*0.65,4)*Basisbedragen!$I$7,2))&lt;= Basisbedragen!$I$8,MIN(MAX(ROUND(ROUND('Loonschijven_Tranches salariale'!$Q37*0.65,4)*Basisbedragen!$I$2,2),ROUND(Basisbedragen!$D$38*Basisbedragen!$I$2,2)),ROUND(ROUND(Basisbedragen!$D$27*0.65,4)*Basisbedragen!$I$2,2)),MIN(MAX(ROUND(ROUND('Loonschijven_Tranches salariale'!$Q37*0.65,4)*Basisbedragen!$I$7,2),ROUND(Basisbedragen!$D$38*Basisbedragen!$I$7,2)),ROUND(ROUND(Basisbedragen!$D$27*0.65,4)*Basisbedragen!$I$7,2))+Basisbedragen!$I$10)</f>
        <v>60.92</v>
      </c>
      <c r="P42" s="52">
        <f>IF(MIN(MAX(ROUND(ROUND('Loonschijven_Tranches salariale'!$Q37*0.6,4)*Basisbedragen!$I$7,2),ROUND(Basisbedragen!$D$39*Basisbedragen!$I$7,2)),ROUND(ROUND(Basisbedragen!$D$28*0.6,4)*Basisbedragen!$I$7,2))&lt;= Basisbedragen!$I$8,MIN(MAX(ROUND(ROUND('Loonschijven_Tranches salariale'!$Q37*0.6,4)*Basisbedragen!$I$2,2),ROUND(Basisbedragen!$D$39*Basisbedragen!$I$2,2)),ROUND(ROUND(Basisbedragen!$D$28*0.6,4)*Basisbedragen!$I$2,2)),MIN(MAX(ROUND(ROUND('Loonschijven_Tranches salariale'!$Q37*0.6,4)*Basisbedragen!$I$7,2),ROUND(Basisbedragen!$D$39*Basisbedragen!$I$7,2)),ROUND(ROUND(Basisbedragen!$D$28*0.6,4)*Basisbedragen!$I$7,2))+Basisbedragen!$I$10)</f>
        <v>56.23</v>
      </c>
      <c r="Q42" s="52">
        <f>MIN(MAX(ROUND(ROUND('Loonschijven_Tranches salariale'!$Q37*0.6,4)*Basisbedragen!$I$2,2),ROUND(Basisbedragen!$D$40*Basisbedragen!$I$2,2)),ROUND(ROUND(Basisbedragen!$D$29*0.6,4)*Basisbedragen!$I$2,2))</f>
        <v>51.12</v>
      </c>
      <c r="R42" s="38"/>
      <c r="S42" s="52">
        <f t="shared" si="2"/>
        <v>42.37</v>
      </c>
      <c r="T42" s="52">
        <f t="shared" si="3"/>
        <v>29.85</v>
      </c>
    </row>
    <row r="43" spans="1:20" ht="15.75" hidden="1" customHeight="1" outlineLevel="1" thickBot="1">
      <c r="A43" s="47">
        <f t="shared" si="4"/>
        <v>31</v>
      </c>
      <c r="C43" s="52">
        <f>IF(MIN(MAX(ROUND(ROUND('Loonschijven_Tranches salariale'!$Q38*0.65,4)*Basisbedragen!$I$7,2),ROUND(Basisbedragen!$D$34*Basisbedragen!$I$7,2)),ROUND(ROUND(Basisbedragen!$D$27*0.65,4)*Basisbedragen!$I$7,2))&lt;= Basisbedragen!$I$8,MIN(MAX(ROUND(ROUND('Loonschijven_Tranches salariale'!$Q38*0.65,4)*Basisbedragen!$I$2,2),ROUND(Basisbedragen!$D$34*Basisbedragen!$I$2,2)),ROUND(ROUND(Basisbedragen!$D$27*0.65,4)*Basisbedragen!$I$2,2)),MIN(MAX(ROUND(ROUND('Loonschijven_Tranches salariale'!$Q38*0.65,4)*Basisbedragen!$I$7,2),ROUND(Basisbedragen!$D$34*Basisbedragen!$I$7,2)),ROUND(ROUND(Basisbedragen!$D$27*0.65,4)*Basisbedragen!$I$7,2))+Basisbedragen!$I$10)</f>
        <v>78.09</v>
      </c>
      <c r="D43" s="52">
        <f>IF(MIN(MAX(ROUND(ROUND('Loonschijven_Tranches salariale'!$Q38*0.6,4)*Basisbedragen!$I$7,2),ROUND(Basisbedragen!$D$34*Basisbedragen!$I$7,2)),ROUND(ROUND(Basisbedragen!$D$28*0.6,4)*Basisbedragen!$I$7,2))&lt;= Basisbedragen!$I$8,MIN(MAX(ROUND(ROUND('Loonschijven_Tranches salariale'!$Q38*0.6,4)*Basisbedragen!$I$2,2),ROUND(Basisbedragen!$D$34*Basisbedragen!$I$2,2)),ROUND(ROUND(Basisbedragen!$D$28*0.6,4)*Basisbedragen!$I$2,2)),MIN(MAX(ROUND(ROUND('Loonschijven_Tranches salariale'!$Q38*0.6,4)*Basisbedragen!$I$7,2),ROUND(Basisbedragen!$D$34*Basisbedragen!$I$7,2)),ROUND(ROUND(Basisbedragen!$D$28*0.6,4)*Basisbedragen!$I$7,2))+Basisbedragen!$I$10)</f>
        <v>78.09</v>
      </c>
      <c r="E43" s="52">
        <f>MIN(MAX(ROUND(ROUND('Loonschijven_Tranches salariale'!$Q38*0.6,4)*Basisbedragen!$I$2,2),ROUND(Basisbedragen!$D$35*Basisbedragen!$I$2,2)),ROUND(ROUND(Basisbedragen!$D$29*0.6,4)*Basisbedragen!$I$2,2))</f>
        <v>70.989999999999995</v>
      </c>
      <c r="F43" s="38"/>
      <c r="G43" s="52">
        <f t="shared" si="0"/>
        <v>70.989999999999995</v>
      </c>
      <c r="H43" s="38"/>
      <c r="I43" s="52">
        <f>IF(MIN(MAX(ROUND(ROUND('Loonschijven_Tranches salariale'!$Q38*0.65,4)*Basisbedragen!$I$7,2),ROUND(Basisbedragen!$D$36*Basisbedragen!$I$7,2)),ROUND(ROUND(Basisbedragen!$D$27*0.65,4)*Basisbedragen!$I$7,2))&lt;= Basisbedragen!$I$8,MIN(MAX(ROUND(ROUND('Loonschijven_Tranches salariale'!$Q38*0.65,4)*Basisbedragen!$I$2,2),ROUND(Basisbedragen!$D$36*Basisbedragen!$I$2,2)),ROUND(ROUND(Basisbedragen!$D$27*0.65,4)*Basisbedragen!$I$2,2)),MIN(MAX(ROUND(ROUND('Loonschijven_Tranches salariale'!$Q38*0.65,4)*Basisbedragen!$I$7,2),ROUND(Basisbedragen!$D$36*Basisbedragen!$I$7,2)),ROUND(ROUND(Basisbedragen!$D$27*0.65,4)*Basisbedragen!$I$7,2))+Basisbedragen!$I$10)</f>
        <v>63.29</v>
      </c>
      <c r="J43" s="52">
        <f>IF(MIN(MAX(ROUND(ROUND('Loonschijven_Tranches salariale'!$Q38*0.6,4)*Basisbedragen!$I$7,2),ROUND(Basisbedragen!$D$36*Basisbedragen!$I$7,2)),ROUND(ROUND(Basisbedragen!$D$28*0.6,4)*Basisbedragen!$I$7,2))&lt;= Basisbedragen!$I$8,MIN(MAX(ROUND(ROUND('Loonschijven_Tranches salariale'!$Q38*0.6,4)*Basisbedragen!$I$2,2),ROUND(Basisbedragen!$D$36*Basisbedragen!$I$2,2)),ROUND(ROUND(Basisbedragen!$D$28*0.6,4)*Basisbedragen!$I$2,2)),MIN(MAX(ROUND(ROUND('Loonschijven_Tranches salariale'!$Q38*0.6,4)*Basisbedragen!$I$7,2),ROUND(Basisbedragen!$D$36*Basisbedragen!$I$7,2)),ROUND(ROUND(Basisbedragen!$D$28*0.6,4)*Basisbedragen!$I$7,2))+Basisbedragen!$I$10)</f>
        <v>63.29</v>
      </c>
      <c r="K43" s="52">
        <f>MIN(MAX(ROUND(ROUND('Loonschijven_Tranches salariale'!$Q38*0.6,4)*Basisbedragen!$I$2,2),ROUND(Basisbedragen!$D$37*Basisbedragen!$I$2,2)),ROUND(ROUND(Basisbedragen!$D$29*0.6,4)*Basisbedragen!$I$2,2))</f>
        <v>57.53</v>
      </c>
      <c r="L43" s="38"/>
      <c r="M43" s="52">
        <f t="shared" si="1"/>
        <v>57.53</v>
      </c>
      <c r="N43" s="38"/>
      <c r="O43" s="52">
        <f>IF(MIN(MAX(ROUND(ROUND('Loonschijven_Tranches salariale'!$Q38*0.65,4)*Basisbedragen!$I$7,2),ROUND(Basisbedragen!$D$38*Basisbedragen!$I$7,2)),ROUND(ROUND(Basisbedragen!$D$27*0.65,4)*Basisbedragen!$I$7,2))&lt;= Basisbedragen!$I$8,MIN(MAX(ROUND(ROUND('Loonschijven_Tranches salariale'!$Q38*0.65,4)*Basisbedragen!$I$2,2),ROUND(Basisbedragen!$D$38*Basisbedragen!$I$2,2)),ROUND(ROUND(Basisbedragen!$D$27*0.65,4)*Basisbedragen!$I$2,2)),MIN(MAX(ROUND(ROUND('Loonschijven_Tranches salariale'!$Q38*0.65,4)*Basisbedragen!$I$7,2),ROUND(Basisbedragen!$D$38*Basisbedragen!$I$7,2)),ROUND(ROUND(Basisbedragen!$D$27*0.65,4)*Basisbedragen!$I$7,2))+Basisbedragen!$I$10)</f>
        <v>60.92</v>
      </c>
      <c r="P43" s="52">
        <f>IF(MIN(MAX(ROUND(ROUND('Loonschijven_Tranches salariale'!$Q38*0.6,4)*Basisbedragen!$I$7,2),ROUND(Basisbedragen!$D$39*Basisbedragen!$I$7,2)),ROUND(ROUND(Basisbedragen!$D$28*0.6,4)*Basisbedragen!$I$7,2))&lt;= Basisbedragen!$I$8,MIN(MAX(ROUND(ROUND('Loonschijven_Tranches salariale'!$Q38*0.6,4)*Basisbedragen!$I$2,2),ROUND(Basisbedragen!$D$39*Basisbedragen!$I$2,2)),ROUND(ROUND(Basisbedragen!$D$28*0.6,4)*Basisbedragen!$I$2,2)),MIN(MAX(ROUND(ROUND('Loonschijven_Tranches salariale'!$Q38*0.6,4)*Basisbedragen!$I$7,2),ROUND(Basisbedragen!$D$39*Basisbedragen!$I$7,2)),ROUND(ROUND(Basisbedragen!$D$28*0.6,4)*Basisbedragen!$I$7,2))+Basisbedragen!$I$10)</f>
        <v>56.23</v>
      </c>
      <c r="Q43" s="52">
        <f>MIN(MAX(ROUND(ROUND('Loonschijven_Tranches salariale'!$Q38*0.6,4)*Basisbedragen!$I$2,2),ROUND(Basisbedragen!$D$40*Basisbedragen!$I$2,2)),ROUND(ROUND(Basisbedragen!$D$29*0.6,4)*Basisbedragen!$I$2,2))</f>
        <v>51.12</v>
      </c>
      <c r="R43" s="38"/>
      <c r="S43" s="52">
        <f t="shared" si="2"/>
        <v>42.37</v>
      </c>
      <c r="T43" s="52">
        <f t="shared" si="3"/>
        <v>29.85</v>
      </c>
    </row>
    <row r="44" spans="1:20" ht="15.75" hidden="1" customHeight="1" outlineLevel="1" thickBot="1">
      <c r="A44" s="47">
        <f t="shared" si="4"/>
        <v>32</v>
      </c>
      <c r="C44" s="52">
        <f>IF(MIN(MAX(ROUND(ROUND('Loonschijven_Tranches salariale'!$Q39*0.65,4)*Basisbedragen!$I$7,2),ROUND(Basisbedragen!$D$34*Basisbedragen!$I$7,2)),ROUND(ROUND(Basisbedragen!$D$27*0.65,4)*Basisbedragen!$I$7,2))&lt;= Basisbedragen!$I$8,MIN(MAX(ROUND(ROUND('Loonschijven_Tranches salariale'!$Q39*0.65,4)*Basisbedragen!$I$2,2),ROUND(Basisbedragen!$D$34*Basisbedragen!$I$2,2)),ROUND(ROUND(Basisbedragen!$D$27*0.65,4)*Basisbedragen!$I$2,2)),MIN(MAX(ROUND(ROUND('Loonschijven_Tranches salariale'!$Q39*0.65,4)*Basisbedragen!$I$7,2),ROUND(Basisbedragen!$D$34*Basisbedragen!$I$7,2)),ROUND(ROUND(Basisbedragen!$D$27*0.65,4)*Basisbedragen!$I$7,2))+Basisbedragen!$I$10)</f>
        <v>78.09</v>
      </c>
      <c r="D44" s="52">
        <f>IF(MIN(MAX(ROUND(ROUND('Loonschijven_Tranches salariale'!$Q39*0.6,4)*Basisbedragen!$I$7,2),ROUND(Basisbedragen!$D$34*Basisbedragen!$I$7,2)),ROUND(ROUND(Basisbedragen!$D$28*0.6,4)*Basisbedragen!$I$7,2))&lt;= Basisbedragen!$I$8,MIN(MAX(ROUND(ROUND('Loonschijven_Tranches salariale'!$Q39*0.6,4)*Basisbedragen!$I$2,2),ROUND(Basisbedragen!$D$34*Basisbedragen!$I$2,2)),ROUND(ROUND(Basisbedragen!$D$28*0.6,4)*Basisbedragen!$I$2,2)),MIN(MAX(ROUND(ROUND('Loonschijven_Tranches salariale'!$Q39*0.6,4)*Basisbedragen!$I$7,2),ROUND(Basisbedragen!$D$34*Basisbedragen!$I$7,2)),ROUND(ROUND(Basisbedragen!$D$28*0.6,4)*Basisbedragen!$I$7,2))+Basisbedragen!$I$10)</f>
        <v>78.09</v>
      </c>
      <c r="E44" s="52">
        <f>MIN(MAX(ROUND(ROUND('Loonschijven_Tranches salariale'!$Q39*0.6,4)*Basisbedragen!$I$2,2),ROUND(Basisbedragen!$D$35*Basisbedragen!$I$2,2)),ROUND(ROUND(Basisbedragen!$D$29*0.6,4)*Basisbedragen!$I$2,2))</f>
        <v>70.989999999999995</v>
      </c>
      <c r="F44" s="38"/>
      <c r="G44" s="52">
        <f t="shared" si="0"/>
        <v>70.989999999999995</v>
      </c>
      <c r="H44" s="38"/>
      <c r="I44" s="52">
        <f>IF(MIN(MAX(ROUND(ROUND('Loonschijven_Tranches salariale'!$Q39*0.65,4)*Basisbedragen!$I$7,2),ROUND(Basisbedragen!$D$36*Basisbedragen!$I$7,2)),ROUND(ROUND(Basisbedragen!$D$27*0.65,4)*Basisbedragen!$I$7,2))&lt;= Basisbedragen!$I$8,MIN(MAX(ROUND(ROUND('Loonschijven_Tranches salariale'!$Q39*0.65,4)*Basisbedragen!$I$2,2),ROUND(Basisbedragen!$D$36*Basisbedragen!$I$2,2)),ROUND(ROUND(Basisbedragen!$D$27*0.65,4)*Basisbedragen!$I$2,2)),MIN(MAX(ROUND(ROUND('Loonschijven_Tranches salariale'!$Q39*0.65,4)*Basisbedragen!$I$7,2),ROUND(Basisbedragen!$D$36*Basisbedragen!$I$7,2)),ROUND(ROUND(Basisbedragen!$D$27*0.65,4)*Basisbedragen!$I$7,2))+Basisbedragen!$I$10)</f>
        <v>63.29</v>
      </c>
      <c r="J44" s="52">
        <f>IF(MIN(MAX(ROUND(ROUND('Loonschijven_Tranches salariale'!$Q39*0.6,4)*Basisbedragen!$I$7,2),ROUND(Basisbedragen!$D$36*Basisbedragen!$I$7,2)),ROUND(ROUND(Basisbedragen!$D$28*0.6,4)*Basisbedragen!$I$7,2))&lt;= Basisbedragen!$I$8,MIN(MAX(ROUND(ROUND('Loonschijven_Tranches salariale'!$Q39*0.6,4)*Basisbedragen!$I$2,2),ROUND(Basisbedragen!$D$36*Basisbedragen!$I$2,2)),ROUND(ROUND(Basisbedragen!$D$28*0.6,4)*Basisbedragen!$I$2,2)),MIN(MAX(ROUND(ROUND('Loonschijven_Tranches salariale'!$Q39*0.6,4)*Basisbedragen!$I$7,2),ROUND(Basisbedragen!$D$36*Basisbedragen!$I$7,2)),ROUND(ROUND(Basisbedragen!$D$28*0.6,4)*Basisbedragen!$I$7,2))+Basisbedragen!$I$10)</f>
        <v>63.29</v>
      </c>
      <c r="K44" s="52">
        <f>MIN(MAX(ROUND(ROUND('Loonschijven_Tranches salariale'!$Q39*0.6,4)*Basisbedragen!$I$2,2),ROUND(Basisbedragen!$D$37*Basisbedragen!$I$2,2)),ROUND(ROUND(Basisbedragen!$D$29*0.6,4)*Basisbedragen!$I$2,2))</f>
        <v>57.53</v>
      </c>
      <c r="L44" s="38"/>
      <c r="M44" s="52">
        <f t="shared" si="1"/>
        <v>57.53</v>
      </c>
      <c r="N44" s="38"/>
      <c r="O44" s="52">
        <f>IF(MIN(MAX(ROUND(ROUND('Loonschijven_Tranches salariale'!$Q39*0.65,4)*Basisbedragen!$I$7,2),ROUND(Basisbedragen!$D$38*Basisbedragen!$I$7,2)),ROUND(ROUND(Basisbedragen!$D$27*0.65,4)*Basisbedragen!$I$7,2))&lt;= Basisbedragen!$I$8,MIN(MAX(ROUND(ROUND('Loonschijven_Tranches salariale'!$Q39*0.65,4)*Basisbedragen!$I$2,2),ROUND(Basisbedragen!$D$38*Basisbedragen!$I$2,2)),ROUND(ROUND(Basisbedragen!$D$27*0.65,4)*Basisbedragen!$I$2,2)),MIN(MAX(ROUND(ROUND('Loonschijven_Tranches salariale'!$Q39*0.65,4)*Basisbedragen!$I$7,2),ROUND(Basisbedragen!$D$38*Basisbedragen!$I$7,2)),ROUND(ROUND(Basisbedragen!$D$27*0.65,4)*Basisbedragen!$I$7,2))+Basisbedragen!$I$10)</f>
        <v>60.92</v>
      </c>
      <c r="P44" s="52">
        <f>IF(MIN(MAX(ROUND(ROUND('Loonschijven_Tranches salariale'!$Q39*0.6,4)*Basisbedragen!$I$7,2),ROUND(Basisbedragen!$D$39*Basisbedragen!$I$7,2)),ROUND(ROUND(Basisbedragen!$D$28*0.6,4)*Basisbedragen!$I$7,2))&lt;= Basisbedragen!$I$8,MIN(MAX(ROUND(ROUND('Loonschijven_Tranches salariale'!$Q39*0.6,4)*Basisbedragen!$I$2,2),ROUND(Basisbedragen!$D$39*Basisbedragen!$I$2,2)),ROUND(ROUND(Basisbedragen!$D$28*0.6,4)*Basisbedragen!$I$2,2)),MIN(MAX(ROUND(ROUND('Loonschijven_Tranches salariale'!$Q39*0.6,4)*Basisbedragen!$I$7,2),ROUND(Basisbedragen!$D$39*Basisbedragen!$I$7,2)),ROUND(ROUND(Basisbedragen!$D$28*0.6,4)*Basisbedragen!$I$7,2))+Basisbedragen!$I$10)</f>
        <v>56.23</v>
      </c>
      <c r="Q44" s="52">
        <f>MIN(MAX(ROUND(ROUND('Loonschijven_Tranches salariale'!$Q39*0.6,4)*Basisbedragen!$I$2,2),ROUND(Basisbedragen!$D$40*Basisbedragen!$I$2,2)),ROUND(ROUND(Basisbedragen!$D$29*0.6,4)*Basisbedragen!$I$2,2))</f>
        <v>51.12</v>
      </c>
      <c r="R44" s="38"/>
      <c r="S44" s="52">
        <f t="shared" si="2"/>
        <v>42.37</v>
      </c>
      <c r="T44" s="52">
        <f t="shared" si="3"/>
        <v>29.85</v>
      </c>
    </row>
    <row r="45" spans="1:20" ht="15.75" hidden="1" customHeight="1" outlineLevel="1" thickBot="1">
      <c r="A45" s="47">
        <f t="shared" si="4"/>
        <v>33</v>
      </c>
      <c r="C45" s="52">
        <f>IF(MIN(MAX(ROUND(ROUND('Loonschijven_Tranches salariale'!$Q40*0.65,4)*Basisbedragen!$I$7,2),ROUND(Basisbedragen!$D$34*Basisbedragen!$I$7,2)),ROUND(ROUND(Basisbedragen!$D$27*0.65,4)*Basisbedragen!$I$7,2))&lt;= Basisbedragen!$I$8,MIN(MAX(ROUND(ROUND('Loonschijven_Tranches salariale'!$Q40*0.65,4)*Basisbedragen!$I$2,2),ROUND(Basisbedragen!$D$34*Basisbedragen!$I$2,2)),ROUND(ROUND(Basisbedragen!$D$27*0.65,4)*Basisbedragen!$I$2,2)),MIN(MAX(ROUND(ROUND('Loonschijven_Tranches salariale'!$Q40*0.65,4)*Basisbedragen!$I$7,2),ROUND(Basisbedragen!$D$34*Basisbedragen!$I$7,2)),ROUND(ROUND(Basisbedragen!$D$27*0.65,4)*Basisbedragen!$I$7,2))+Basisbedragen!$I$10)</f>
        <v>78.09</v>
      </c>
      <c r="D45" s="52">
        <f>IF(MIN(MAX(ROUND(ROUND('Loonschijven_Tranches salariale'!$Q40*0.6,4)*Basisbedragen!$I$7,2),ROUND(Basisbedragen!$D$34*Basisbedragen!$I$7,2)),ROUND(ROUND(Basisbedragen!$D$28*0.6,4)*Basisbedragen!$I$7,2))&lt;= Basisbedragen!$I$8,MIN(MAX(ROUND(ROUND('Loonschijven_Tranches salariale'!$Q40*0.6,4)*Basisbedragen!$I$2,2),ROUND(Basisbedragen!$D$34*Basisbedragen!$I$2,2)),ROUND(ROUND(Basisbedragen!$D$28*0.6,4)*Basisbedragen!$I$2,2)),MIN(MAX(ROUND(ROUND('Loonschijven_Tranches salariale'!$Q40*0.6,4)*Basisbedragen!$I$7,2),ROUND(Basisbedragen!$D$34*Basisbedragen!$I$7,2)),ROUND(ROUND(Basisbedragen!$D$28*0.6,4)*Basisbedragen!$I$7,2))+Basisbedragen!$I$10)</f>
        <v>78.09</v>
      </c>
      <c r="E45" s="52">
        <f>MIN(MAX(ROUND(ROUND('Loonschijven_Tranches salariale'!$Q40*0.6,4)*Basisbedragen!$I$2,2),ROUND(Basisbedragen!$D$35*Basisbedragen!$I$2,2)),ROUND(ROUND(Basisbedragen!$D$29*0.6,4)*Basisbedragen!$I$2,2))</f>
        <v>70.989999999999995</v>
      </c>
      <c r="F45" s="38"/>
      <c r="G45" s="52">
        <f t="shared" si="0"/>
        <v>70.989999999999995</v>
      </c>
      <c r="H45" s="38"/>
      <c r="I45" s="52">
        <f>IF(MIN(MAX(ROUND(ROUND('Loonschijven_Tranches salariale'!$Q40*0.65,4)*Basisbedragen!$I$7,2),ROUND(Basisbedragen!$D$36*Basisbedragen!$I$7,2)),ROUND(ROUND(Basisbedragen!$D$27*0.65,4)*Basisbedragen!$I$7,2))&lt;= Basisbedragen!$I$8,MIN(MAX(ROUND(ROUND('Loonschijven_Tranches salariale'!$Q40*0.65,4)*Basisbedragen!$I$2,2),ROUND(Basisbedragen!$D$36*Basisbedragen!$I$2,2)),ROUND(ROUND(Basisbedragen!$D$27*0.65,4)*Basisbedragen!$I$2,2)),MIN(MAX(ROUND(ROUND('Loonschijven_Tranches salariale'!$Q40*0.65,4)*Basisbedragen!$I$7,2),ROUND(Basisbedragen!$D$36*Basisbedragen!$I$7,2)),ROUND(ROUND(Basisbedragen!$D$27*0.65,4)*Basisbedragen!$I$7,2))+Basisbedragen!$I$10)</f>
        <v>63.29</v>
      </c>
      <c r="J45" s="52">
        <f>IF(MIN(MAX(ROUND(ROUND('Loonschijven_Tranches salariale'!$Q40*0.6,4)*Basisbedragen!$I$7,2),ROUND(Basisbedragen!$D$36*Basisbedragen!$I$7,2)),ROUND(ROUND(Basisbedragen!$D$28*0.6,4)*Basisbedragen!$I$7,2))&lt;= Basisbedragen!$I$8,MIN(MAX(ROUND(ROUND('Loonschijven_Tranches salariale'!$Q40*0.6,4)*Basisbedragen!$I$2,2),ROUND(Basisbedragen!$D$36*Basisbedragen!$I$2,2)),ROUND(ROUND(Basisbedragen!$D$28*0.6,4)*Basisbedragen!$I$2,2)),MIN(MAX(ROUND(ROUND('Loonschijven_Tranches salariale'!$Q40*0.6,4)*Basisbedragen!$I$7,2),ROUND(Basisbedragen!$D$36*Basisbedragen!$I$7,2)),ROUND(ROUND(Basisbedragen!$D$28*0.6,4)*Basisbedragen!$I$7,2))+Basisbedragen!$I$10)</f>
        <v>63.29</v>
      </c>
      <c r="K45" s="52">
        <f>MIN(MAX(ROUND(ROUND('Loonschijven_Tranches salariale'!$Q40*0.6,4)*Basisbedragen!$I$2,2),ROUND(Basisbedragen!$D$37*Basisbedragen!$I$2,2)),ROUND(ROUND(Basisbedragen!$D$29*0.6,4)*Basisbedragen!$I$2,2))</f>
        <v>57.53</v>
      </c>
      <c r="L45" s="38"/>
      <c r="M45" s="52">
        <f t="shared" si="1"/>
        <v>57.53</v>
      </c>
      <c r="N45" s="38"/>
      <c r="O45" s="52">
        <f>IF(MIN(MAX(ROUND(ROUND('Loonschijven_Tranches salariale'!$Q40*0.65,4)*Basisbedragen!$I$7,2),ROUND(Basisbedragen!$D$38*Basisbedragen!$I$7,2)),ROUND(ROUND(Basisbedragen!$D$27*0.65,4)*Basisbedragen!$I$7,2))&lt;= Basisbedragen!$I$8,MIN(MAX(ROUND(ROUND('Loonschijven_Tranches salariale'!$Q40*0.65,4)*Basisbedragen!$I$2,2),ROUND(Basisbedragen!$D$38*Basisbedragen!$I$2,2)),ROUND(ROUND(Basisbedragen!$D$27*0.65,4)*Basisbedragen!$I$2,2)),MIN(MAX(ROUND(ROUND('Loonschijven_Tranches salariale'!$Q40*0.65,4)*Basisbedragen!$I$7,2),ROUND(Basisbedragen!$D$38*Basisbedragen!$I$7,2)),ROUND(ROUND(Basisbedragen!$D$27*0.65,4)*Basisbedragen!$I$7,2))+Basisbedragen!$I$10)</f>
        <v>60.92</v>
      </c>
      <c r="P45" s="52">
        <f>IF(MIN(MAX(ROUND(ROUND('Loonschijven_Tranches salariale'!$Q40*0.6,4)*Basisbedragen!$I$7,2),ROUND(Basisbedragen!$D$39*Basisbedragen!$I$7,2)),ROUND(ROUND(Basisbedragen!$D$28*0.6,4)*Basisbedragen!$I$7,2))&lt;= Basisbedragen!$I$8,MIN(MAX(ROUND(ROUND('Loonschijven_Tranches salariale'!$Q40*0.6,4)*Basisbedragen!$I$2,2),ROUND(Basisbedragen!$D$39*Basisbedragen!$I$2,2)),ROUND(ROUND(Basisbedragen!$D$28*0.6,4)*Basisbedragen!$I$2,2)),MIN(MAX(ROUND(ROUND('Loonschijven_Tranches salariale'!$Q40*0.6,4)*Basisbedragen!$I$7,2),ROUND(Basisbedragen!$D$39*Basisbedragen!$I$7,2)),ROUND(ROUND(Basisbedragen!$D$28*0.6,4)*Basisbedragen!$I$7,2))+Basisbedragen!$I$10)</f>
        <v>56.23</v>
      </c>
      <c r="Q45" s="52">
        <f>MIN(MAX(ROUND(ROUND('Loonschijven_Tranches salariale'!$Q40*0.6,4)*Basisbedragen!$I$2,2),ROUND(Basisbedragen!$D$40*Basisbedragen!$I$2,2)),ROUND(ROUND(Basisbedragen!$D$29*0.6,4)*Basisbedragen!$I$2,2))</f>
        <v>51.12</v>
      </c>
      <c r="R45" s="38"/>
      <c r="S45" s="52">
        <f t="shared" si="2"/>
        <v>42.37</v>
      </c>
      <c r="T45" s="52">
        <f t="shared" si="3"/>
        <v>29.85</v>
      </c>
    </row>
    <row r="46" spans="1:20" ht="15.75" hidden="1" customHeight="1" outlineLevel="1" thickBot="1">
      <c r="A46" s="47">
        <f t="shared" si="4"/>
        <v>34</v>
      </c>
      <c r="C46" s="52">
        <f>IF(MIN(MAX(ROUND(ROUND('Loonschijven_Tranches salariale'!$Q41*0.65,4)*Basisbedragen!$I$7,2),ROUND(Basisbedragen!$D$34*Basisbedragen!$I$7,2)),ROUND(ROUND(Basisbedragen!$D$27*0.65,4)*Basisbedragen!$I$7,2))&lt;= Basisbedragen!$I$8,MIN(MAX(ROUND(ROUND('Loonschijven_Tranches salariale'!$Q41*0.65,4)*Basisbedragen!$I$2,2),ROUND(Basisbedragen!$D$34*Basisbedragen!$I$2,2)),ROUND(ROUND(Basisbedragen!$D$27*0.65,4)*Basisbedragen!$I$2,2)),MIN(MAX(ROUND(ROUND('Loonschijven_Tranches salariale'!$Q41*0.65,4)*Basisbedragen!$I$7,2),ROUND(Basisbedragen!$D$34*Basisbedragen!$I$7,2)),ROUND(ROUND(Basisbedragen!$D$27*0.65,4)*Basisbedragen!$I$7,2))+Basisbedragen!$I$10)</f>
        <v>78.09</v>
      </c>
      <c r="D46" s="52">
        <f>IF(MIN(MAX(ROUND(ROUND('Loonschijven_Tranches salariale'!$Q41*0.6,4)*Basisbedragen!$I$7,2),ROUND(Basisbedragen!$D$34*Basisbedragen!$I$7,2)),ROUND(ROUND(Basisbedragen!$D$28*0.6,4)*Basisbedragen!$I$7,2))&lt;= Basisbedragen!$I$8,MIN(MAX(ROUND(ROUND('Loonschijven_Tranches salariale'!$Q41*0.6,4)*Basisbedragen!$I$2,2),ROUND(Basisbedragen!$D$34*Basisbedragen!$I$2,2)),ROUND(ROUND(Basisbedragen!$D$28*0.6,4)*Basisbedragen!$I$2,2)),MIN(MAX(ROUND(ROUND('Loonschijven_Tranches salariale'!$Q41*0.6,4)*Basisbedragen!$I$7,2),ROUND(Basisbedragen!$D$34*Basisbedragen!$I$7,2)),ROUND(ROUND(Basisbedragen!$D$28*0.6,4)*Basisbedragen!$I$7,2))+Basisbedragen!$I$10)</f>
        <v>78.09</v>
      </c>
      <c r="E46" s="52">
        <f>MIN(MAX(ROUND(ROUND('Loonschijven_Tranches salariale'!$Q41*0.6,4)*Basisbedragen!$I$2,2),ROUND(Basisbedragen!$D$35*Basisbedragen!$I$2,2)),ROUND(ROUND(Basisbedragen!$D$29*0.6,4)*Basisbedragen!$I$2,2))</f>
        <v>70.989999999999995</v>
      </c>
      <c r="F46" s="38"/>
      <c r="G46" s="52">
        <f t="shared" si="0"/>
        <v>70.989999999999995</v>
      </c>
      <c r="H46" s="38"/>
      <c r="I46" s="52">
        <f>IF(MIN(MAX(ROUND(ROUND('Loonschijven_Tranches salariale'!$Q41*0.65,4)*Basisbedragen!$I$7,2),ROUND(Basisbedragen!$D$36*Basisbedragen!$I$7,2)),ROUND(ROUND(Basisbedragen!$D$27*0.65,4)*Basisbedragen!$I$7,2))&lt;= Basisbedragen!$I$8,MIN(MAX(ROUND(ROUND('Loonschijven_Tranches salariale'!$Q41*0.65,4)*Basisbedragen!$I$2,2),ROUND(Basisbedragen!$D$36*Basisbedragen!$I$2,2)),ROUND(ROUND(Basisbedragen!$D$27*0.65,4)*Basisbedragen!$I$2,2)),MIN(MAX(ROUND(ROUND('Loonschijven_Tranches salariale'!$Q41*0.65,4)*Basisbedragen!$I$7,2),ROUND(Basisbedragen!$D$36*Basisbedragen!$I$7,2)),ROUND(ROUND(Basisbedragen!$D$27*0.65,4)*Basisbedragen!$I$7,2))+Basisbedragen!$I$10)</f>
        <v>63.29</v>
      </c>
      <c r="J46" s="52">
        <f>IF(MIN(MAX(ROUND(ROUND('Loonschijven_Tranches salariale'!$Q41*0.6,4)*Basisbedragen!$I$7,2),ROUND(Basisbedragen!$D$36*Basisbedragen!$I$7,2)),ROUND(ROUND(Basisbedragen!$D$28*0.6,4)*Basisbedragen!$I$7,2))&lt;= Basisbedragen!$I$8,MIN(MAX(ROUND(ROUND('Loonschijven_Tranches salariale'!$Q41*0.6,4)*Basisbedragen!$I$2,2),ROUND(Basisbedragen!$D$36*Basisbedragen!$I$2,2)),ROUND(ROUND(Basisbedragen!$D$28*0.6,4)*Basisbedragen!$I$2,2)),MIN(MAX(ROUND(ROUND('Loonschijven_Tranches salariale'!$Q41*0.6,4)*Basisbedragen!$I$7,2),ROUND(Basisbedragen!$D$36*Basisbedragen!$I$7,2)),ROUND(ROUND(Basisbedragen!$D$28*0.6,4)*Basisbedragen!$I$7,2))+Basisbedragen!$I$10)</f>
        <v>63.29</v>
      </c>
      <c r="K46" s="52">
        <f>MIN(MAX(ROUND(ROUND('Loonschijven_Tranches salariale'!$Q41*0.6,4)*Basisbedragen!$I$2,2),ROUND(Basisbedragen!$D$37*Basisbedragen!$I$2,2)),ROUND(ROUND(Basisbedragen!$D$29*0.6,4)*Basisbedragen!$I$2,2))</f>
        <v>57.53</v>
      </c>
      <c r="L46" s="38"/>
      <c r="M46" s="52">
        <f t="shared" si="1"/>
        <v>57.53</v>
      </c>
      <c r="N46" s="38"/>
      <c r="O46" s="52">
        <f>IF(MIN(MAX(ROUND(ROUND('Loonschijven_Tranches salariale'!$Q41*0.65,4)*Basisbedragen!$I$7,2),ROUND(Basisbedragen!$D$38*Basisbedragen!$I$7,2)),ROUND(ROUND(Basisbedragen!$D$27*0.65,4)*Basisbedragen!$I$7,2))&lt;= Basisbedragen!$I$8,MIN(MAX(ROUND(ROUND('Loonschijven_Tranches salariale'!$Q41*0.65,4)*Basisbedragen!$I$2,2),ROUND(Basisbedragen!$D$38*Basisbedragen!$I$2,2)),ROUND(ROUND(Basisbedragen!$D$27*0.65,4)*Basisbedragen!$I$2,2)),MIN(MAX(ROUND(ROUND('Loonschijven_Tranches salariale'!$Q41*0.65,4)*Basisbedragen!$I$7,2),ROUND(Basisbedragen!$D$38*Basisbedragen!$I$7,2)),ROUND(ROUND(Basisbedragen!$D$27*0.65,4)*Basisbedragen!$I$7,2))+Basisbedragen!$I$10)</f>
        <v>60.92</v>
      </c>
      <c r="P46" s="52">
        <f>IF(MIN(MAX(ROUND(ROUND('Loonschijven_Tranches salariale'!$Q41*0.6,4)*Basisbedragen!$I$7,2),ROUND(Basisbedragen!$D$39*Basisbedragen!$I$7,2)),ROUND(ROUND(Basisbedragen!$D$28*0.6,4)*Basisbedragen!$I$7,2))&lt;= Basisbedragen!$I$8,MIN(MAX(ROUND(ROUND('Loonschijven_Tranches salariale'!$Q41*0.6,4)*Basisbedragen!$I$2,2),ROUND(Basisbedragen!$D$39*Basisbedragen!$I$2,2)),ROUND(ROUND(Basisbedragen!$D$28*0.6,4)*Basisbedragen!$I$2,2)),MIN(MAX(ROUND(ROUND('Loonschijven_Tranches salariale'!$Q41*0.6,4)*Basisbedragen!$I$7,2),ROUND(Basisbedragen!$D$39*Basisbedragen!$I$7,2)),ROUND(ROUND(Basisbedragen!$D$28*0.6,4)*Basisbedragen!$I$7,2))+Basisbedragen!$I$10)</f>
        <v>56.23</v>
      </c>
      <c r="Q46" s="52">
        <f>MIN(MAX(ROUND(ROUND('Loonschijven_Tranches salariale'!$Q41*0.6,4)*Basisbedragen!$I$2,2),ROUND(Basisbedragen!$D$40*Basisbedragen!$I$2,2)),ROUND(ROUND(Basisbedragen!$D$29*0.6,4)*Basisbedragen!$I$2,2))</f>
        <v>51.12</v>
      </c>
      <c r="R46" s="38"/>
      <c r="S46" s="52">
        <f t="shared" si="2"/>
        <v>42.37</v>
      </c>
      <c r="T46" s="52">
        <f t="shared" si="3"/>
        <v>29.85</v>
      </c>
    </row>
    <row r="47" spans="1:20" ht="15.75" hidden="1" customHeight="1" outlineLevel="1" thickBot="1">
      <c r="A47" s="47">
        <f t="shared" si="4"/>
        <v>35</v>
      </c>
      <c r="C47" s="52">
        <f>IF(MIN(MAX(ROUND(ROUND('Loonschijven_Tranches salariale'!$Q42*0.65,4)*Basisbedragen!$I$7,2),ROUND(Basisbedragen!$D$34*Basisbedragen!$I$7,2)),ROUND(ROUND(Basisbedragen!$D$27*0.65,4)*Basisbedragen!$I$7,2))&lt;= Basisbedragen!$I$8,MIN(MAX(ROUND(ROUND('Loonschijven_Tranches salariale'!$Q42*0.65,4)*Basisbedragen!$I$2,2),ROUND(Basisbedragen!$D$34*Basisbedragen!$I$2,2)),ROUND(ROUND(Basisbedragen!$D$27*0.65,4)*Basisbedragen!$I$2,2)),MIN(MAX(ROUND(ROUND('Loonschijven_Tranches salariale'!$Q42*0.65,4)*Basisbedragen!$I$7,2),ROUND(Basisbedragen!$D$34*Basisbedragen!$I$7,2)),ROUND(ROUND(Basisbedragen!$D$27*0.65,4)*Basisbedragen!$I$7,2))+Basisbedragen!$I$10)</f>
        <v>78.09</v>
      </c>
      <c r="D47" s="52">
        <f>IF(MIN(MAX(ROUND(ROUND('Loonschijven_Tranches salariale'!$Q42*0.6,4)*Basisbedragen!$I$7,2),ROUND(Basisbedragen!$D$34*Basisbedragen!$I$7,2)),ROUND(ROUND(Basisbedragen!$D$28*0.6,4)*Basisbedragen!$I$7,2))&lt;= Basisbedragen!$I$8,MIN(MAX(ROUND(ROUND('Loonschijven_Tranches salariale'!$Q42*0.6,4)*Basisbedragen!$I$2,2),ROUND(Basisbedragen!$D$34*Basisbedragen!$I$2,2)),ROUND(ROUND(Basisbedragen!$D$28*0.6,4)*Basisbedragen!$I$2,2)),MIN(MAX(ROUND(ROUND('Loonschijven_Tranches salariale'!$Q42*0.6,4)*Basisbedragen!$I$7,2),ROUND(Basisbedragen!$D$34*Basisbedragen!$I$7,2)),ROUND(ROUND(Basisbedragen!$D$28*0.6,4)*Basisbedragen!$I$7,2))+Basisbedragen!$I$10)</f>
        <v>78.09</v>
      </c>
      <c r="E47" s="52">
        <f>MIN(MAX(ROUND(ROUND('Loonschijven_Tranches salariale'!$Q42*0.6,4)*Basisbedragen!$I$2,2),ROUND(Basisbedragen!$D$35*Basisbedragen!$I$2,2)),ROUND(ROUND(Basisbedragen!$D$29*0.6,4)*Basisbedragen!$I$2,2))</f>
        <v>70.989999999999995</v>
      </c>
      <c r="F47" s="38"/>
      <c r="G47" s="52">
        <f t="shared" si="0"/>
        <v>70.989999999999995</v>
      </c>
      <c r="H47" s="38"/>
      <c r="I47" s="52">
        <f>IF(MIN(MAX(ROUND(ROUND('Loonschijven_Tranches salariale'!$Q42*0.65,4)*Basisbedragen!$I$7,2),ROUND(Basisbedragen!$D$36*Basisbedragen!$I$7,2)),ROUND(ROUND(Basisbedragen!$D$27*0.65,4)*Basisbedragen!$I$7,2))&lt;= Basisbedragen!$I$8,MIN(MAX(ROUND(ROUND('Loonschijven_Tranches salariale'!$Q42*0.65,4)*Basisbedragen!$I$2,2),ROUND(Basisbedragen!$D$36*Basisbedragen!$I$2,2)),ROUND(ROUND(Basisbedragen!$D$27*0.65,4)*Basisbedragen!$I$2,2)),MIN(MAX(ROUND(ROUND('Loonschijven_Tranches salariale'!$Q42*0.65,4)*Basisbedragen!$I$7,2),ROUND(Basisbedragen!$D$36*Basisbedragen!$I$7,2)),ROUND(ROUND(Basisbedragen!$D$27*0.65,4)*Basisbedragen!$I$7,2))+Basisbedragen!$I$10)</f>
        <v>63.29</v>
      </c>
      <c r="J47" s="52">
        <f>IF(MIN(MAX(ROUND(ROUND('Loonschijven_Tranches salariale'!$Q42*0.6,4)*Basisbedragen!$I$7,2),ROUND(Basisbedragen!$D$36*Basisbedragen!$I$7,2)),ROUND(ROUND(Basisbedragen!$D$28*0.6,4)*Basisbedragen!$I$7,2))&lt;= Basisbedragen!$I$8,MIN(MAX(ROUND(ROUND('Loonschijven_Tranches salariale'!$Q42*0.6,4)*Basisbedragen!$I$2,2),ROUND(Basisbedragen!$D$36*Basisbedragen!$I$2,2)),ROUND(ROUND(Basisbedragen!$D$28*0.6,4)*Basisbedragen!$I$2,2)),MIN(MAX(ROUND(ROUND('Loonschijven_Tranches salariale'!$Q42*0.6,4)*Basisbedragen!$I$7,2),ROUND(Basisbedragen!$D$36*Basisbedragen!$I$7,2)),ROUND(ROUND(Basisbedragen!$D$28*0.6,4)*Basisbedragen!$I$7,2))+Basisbedragen!$I$10)</f>
        <v>63.29</v>
      </c>
      <c r="K47" s="52">
        <f>MIN(MAX(ROUND(ROUND('Loonschijven_Tranches salariale'!$Q42*0.6,4)*Basisbedragen!$I$2,2),ROUND(Basisbedragen!$D$37*Basisbedragen!$I$2,2)),ROUND(ROUND(Basisbedragen!$D$29*0.6,4)*Basisbedragen!$I$2,2))</f>
        <v>57.53</v>
      </c>
      <c r="L47" s="38"/>
      <c r="M47" s="52">
        <f t="shared" si="1"/>
        <v>57.53</v>
      </c>
      <c r="N47" s="38"/>
      <c r="O47" s="52">
        <f>IF(MIN(MAX(ROUND(ROUND('Loonschijven_Tranches salariale'!$Q42*0.65,4)*Basisbedragen!$I$7,2),ROUND(Basisbedragen!$D$38*Basisbedragen!$I$7,2)),ROUND(ROUND(Basisbedragen!$D$27*0.65,4)*Basisbedragen!$I$7,2))&lt;= Basisbedragen!$I$8,MIN(MAX(ROUND(ROUND('Loonschijven_Tranches salariale'!$Q42*0.65,4)*Basisbedragen!$I$2,2),ROUND(Basisbedragen!$D$38*Basisbedragen!$I$2,2)),ROUND(ROUND(Basisbedragen!$D$27*0.65,4)*Basisbedragen!$I$2,2)),MIN(MAX(ROUND(ROUND('Loonschijven_Tranches salariale'!$Q42*0.65,4)*Basisbedragen!$I$7,2),ROUND(Basisbedragen!$D$38*Basisbedragen!$I$7,2)),ROUND(ROUND(Basisbedragen!$D$27*0.65,4)*Basisbedragen!$I$7,2))+Basisbedragen!$I$10)</f>
        <v>60.92</v>
      </c>
      <c r="P47" s="52">
        <f>IF(MIN(MAX(ROUND(ROUND('Loonschijven_Tranches salariale'!$Q42*0.6,4)*Basisbedragen!$I$7,2),ROUND(Basisbedragen!$D$39*Basisbedragen!$I$7,2)),ROUND(ROUND(Basisbedragen!$D$28*0.6,4)*Basisbedragen!$I$7,2))&lt;= Basisbedragen!$I$8,MIN(MAX(ROUND(ROUND('Loonschijven_Tranches salariale'!$Q42*0.6,4)*Basisbedragen!$I$2,2),ROUND(Basisbedragen!$D$39*Basisbedragen!$I$2,2)),ROUND(ROUND(Basisbedragen!$D$28*0.6,4)*Basisbedragen!$I$2,2)),MIN(MAX(ROUND(ROUND('Loonschijven_Tranches salariale'!$Q42*0.6,4)*Basisbedragen!$I$7,2),ROUND(Basisbedragen!$D$39*Basisbedragen!$I$7,2)),ROUND(ROUND(Basisbedragen!$D$28*0.6,4)*Basisbedragen!$I$7,2))+Basisbedragen!$I$10)</f>
        <v>56.23</v>
      </c>
      <c r="Q47" s="52">
        <f>MIN(MAX(ROUND(ROUND('Loonschijven_Tranches salariale'!$Q42*0.6,4)*Basisbedragen!$I$2,2),ROUND(Basisbedragen!$D$40*Basisbedragen!$I$2,2)),ROUND(ROUND(Basisbedragen!$D$29*0.6,4)*Basisbedragen!$I$2,2))</f>
        <v>51.12</v>
      </c>
      <c r="R47" s="38"/>
      <c r="S47" s="52">
        <f t="shared" si="2"/>
        <v>42.37</v>
      </c>
      <c r="T47" s="52">
        <f t="shared" si="3"/>
        <v>29.85</v>
      </c>
    </row>
    <row r="48" spans="1:20" ht="15.75" hidden="1" customHeight="1" outlineLevel="1" thickBot="1">
      <c r="A48" s="47">
        <f t="shared" si="4"/>
        <v>36</v>
      </c>
      <c r="C48" s="52">
        <f>IF(MIN(MAX(ROUND(ROUND('Loonschijven_Tranches salariale'!$Q43*0.65,4)*Basisbedragen!$I$7,2),ROUND(Basisbedragen!$D$34*Basisbedragen!$I$7,2)),ROUND(ROUND(Basisbedragen!$D$27*0.65,4)*Basisbedragen!$I$7,2))&lt;= Basisbedragen!$I$8,MIN(MAX(ROUND(ROUND('Loonschijven_Tranches salariale'!$Q43*0.65,4)*Basisbedragen!$I$2,2),ROUND(Basisbedragen!$D$34*Basisbedragen!$I$2,2)),ROUND(ROUND(Basisbedragen!$D$27*0.65,4)*Basisbedragen!$I$2,2)),MIN(MAX(ROUND(ROUND('Loonschijven_Tranches salariale'!$Q43*0.65,4)*Basisbedragen!$I$7,2),ROUND(Basisbedragen!$D$34*Basisbedragen!$I$7,2)),ROUND(ROUND(Basisbedragen!$D$27*0.65,4)*Basisbedragen!$I$7,2))+Basisbedragen!$I$10)</f>
        <v>78.09</v>
      </c>
      <c r="D48" s="52">
        <f>IF(MIN(MAX(ROUND(ROUND('Loonschijven_Tranches salariale'!$Q43*0.6,4)*Basisbedragen!$I$7,2),ROUND(Basisbedragen!$D$34*Basisbedragen!$I$7,2)),ROUND(ROUND(Basisbedragen!$D$28*0.6,4)*Basisbedragen!$I$7,2))&lt;= Basisbedragen!$I$8,MIN(MAX(ROUND(ROUND('Loonschijven_Tranches salariale'!$Q43*0.6,4)*Basisbedragen!$I$2,2),ROUND(Basisbedragen!$D$34*Basisbedragen!$I$2,2)),ROUND(ROUND(Basisbedragen!$D$28*0.6,4)*Basisbedragen!$I$2,2)),MIN(MAX(ROUND(ROUND('Loonschijven_Tranches salariale'!$Q43*0.6,4)*Basisbedragen!$I$7,2),ROUND(Basisbedragen!$D$34*Basisbedragen!$I$7,2)),ROUND(ROUND(Basisbedragen!$D$28*0.6,4)*Basisbedragen!$I$7,2))+Basisbedragen!$I$10)</f>
        <v>78.09</v>
      </c>
      <c r="E48" s="52">
        <f>MIN(MAX(ROUND(ROUND('Loonschijven_Tranches salariale'!$Q43*0.6,4)*Basisbedragen!$I$2,2),ROUND(Basisbedragen!$D$35*Basisbedragen!$I$2,2)),ROUND(ROUND(Basisbedragen!$D$29*0.6,4)*Basisbedragen!$I$2,2))</f>
        <v>70.989999999999995</v>
      </c>
      <c r="F48" s="38"/>
      <c r="G48" s="52">
        <f t="shared" si="0"/>
        <v>70.989999999999995</v>
      </c>
      <c r="H48" s="38"/>
      <c r="I48" s="52">
        <f>IF(MIN(MAX(ROUND(ROUND('Loonschijven_Tranches salariale'!$Q43*0.65,4)*Basisbedragen!$I$7,2),ROUND(Basisbedragen!$D$36*Basisbedragen!$I$7,2)),ROUND(ROUND(Basisbedragen!$D$27*0.65,4)*Basisbedragen!$I$7,2))&lt;= Basisbedragen!$I$8,MIN(MAX(ROUND(ROUND('Loonschijven_Tranches salariale'!$Q43*0.65,4)*Basisbedragen!$I$2,2),ROUND(Basisbedragen!$D$36*Basisbedragen!$I$2,2)),ROUND(ROUND(Basisbedragen!$D$27*0.65,4)*Basisbedragen!$I$2,2)),MIN(MAX(ROUND(ROUND('Loonschijven_Tranches salariale'!$Q43*0.65,4)*Basisbedragen!$I$7,2),ROUND(Basisbedragen!$D$36*Basisbedragen!$I$7,2)),ROUND(ROUND(Basisbedragen!$D$27*0.65,4)*Basisbedragen!$I$7,2))+Basisbedragen!$I$10)</f>
        <v>63.29</v>
      </c>
      <c r="J48" s="52">
        <f>IF(MIN(MAX(ROUND(ROUND('Loonschijven_Tranches salariale'!$Q43*0.6,4)*Basisbedragen!$I$7,2),ROUND(Basisbedragen!$D$36*Basisbedragen!$I$7,2)),ROUND(ROUND(Basisbedragen!$D$28*0.6,4)*Basisbedragen!$I$7,2))&lt;= Basisbedragen!$I$8,MIN(MAX(ROUND(ROUND('Loonschijven_Tranches salariale'!$Q43*0.6,4)*Basisbedragen!$I$2,2),ROUND(Basisbedragen!$D$36*Basisbedragen!$I$2,2)),ROUND(ROUND(Basisbedragen!$D$28*0.6,4)*Basisbedragen!$I$2,2)),MIN(MAX(ROUND(ROUND('Loonschijven_Tranches salariale'!$Q43*0.6,4)*Basisbedragen!$I$7,2),ROUND(Basisbedragen!$D$36*Basisbedragen!$I$7,2)),ROUND(ROUND(Basisbedragen!$D$28*0.6,4)*Basisbedragen!$I$7,2))+Basisbedragen!$I$10)</f>
        <v>63.29</v>
      </c>
      <c r="K48" s="52">
        <f>MIN(MAX(ROUND(ROUND('Loonschijven_Tranches salariale'!$Q43*0.6,4)*Basisbedragen!$I$2,2),ROUND(Basisbedragen!$D$37*Basisbedragen!$I$2,2)),ROUND(ROUND(Basisbedragen!$D$29*0.6,4)*Basisbedragen!$I$2,2))</f>
        <v>57.53</v>
      </c>
      <c r="L48" s="38"/>
      <c r="M48" s="52">
        <f t="shared" si="1"/>
        <v>57.53</v>
      </c>
      <c r="N48" s="38"/>
      <c r="O48" s="52">
        <f>IF(MIN(MAX(ROUND(ROUND('Loonschijven_Tranches salariale'!$Q43*0.65,4)*Basisbedragen!$I$7,2),ROUND(Basisbedragen!$D$38*Basisbedragen!$I$7,2)),ROUND(ROUND(Basisbedragen!$D$27*0.65,4)*Basisbedragen!$I$7,2))&lt;= Basisbedragen!$I$8,MIN(MAX(ROUND(ROUND('Loonschijven_Tranches salariale'!$Q43*0.65,4)*Basisbedragen!$I$2,2),ROUND(Basisbedragen!$D$38*Basisbedragen!$I$2,2)),ROUND(ROUND(Basisbedragen!$D$27*0.65,4)*Basisbedragen!$I$2,2)),MIN(MAX(ROUND(ROUND('Loonschijven_Tranches salariale'!$Q43*0.65,4)*Basisbedragen!$I$7,2),ROUND(Basisbedragen!$D$38*Basisbedragen!$I$7,2)),ROUND(ROUND(Basisbedragen!$D$27*0.65,4)*Basisbedragen!$I$7,2))+Basisbedragen!$I$10)</f>
        <v>60.92</v>
      </c>
      <c r="P48" s="52">
        <f>IF(MIN(MAX(ROUND(ROUND('Loonschijven_Tranches salariale'!$Q43*0.6,4)*Basisbedragen!$I$7,2),ROUND(Basisbedragen!$D$39*Basisbedragen!$I$7,2)),ROUND(ROUND(Basisbedragen!$D$28*0.6,4)*Basisbedragen!$I$7,2))&lt;= Basisbedragen!$I$8,MIN(MAX(ROUND(ROUND('Loonschijven_Tranches salariale'!$Q43*0.6,4)*Basisbedragen!$I$2,2),ROUND(Basisbedragen!$D$39*Basisbedragen!$I$2,2)),ROUND(ROUND(Basisbedragen!$D$28*0.6,4)*Basisbedragen!$I$2,2)),MIN(MAX(ROUND(ROUND('Loonschijven_Tranches salariale'!$Q43*0.6,4)*Basisbedragen!$I$7,2),ROUND(Basisbedragen!$D$39*Basisbedragen!$I$7,2)),ROUND(ROUND(Basisbedragen!$D$28*0.6,4)*Basisbedragen!$I$7,2))+Basisbedragen!$I$10)</f>
        <v>56.23</v>
      </c>
      <c r="Q48" s="52">
        <f>MIN(MAX(ROUND(ROUND('Loonschijven_Tranches salariale'!$Q43*0.6,4)*Basisbedragen!$I$2,2),ROUND(Basisbedragen!$D$40*Basisbedragen!$I$2,2)),ROUND(ROUND(Basisbedragen!$D$29*0.6,4)*Basisbedragen!$I$2,2))</f>
        <v>51.12</v>
      </c>
      <c r="R48" s="38"/>
      <c r="S48" s="52">
        <f t="shared" si="2"/>
        <v>42.37</v>
      </c>
      <c r="T48" s="52">
        <f t="shared" si="3"/>
        <v>29.85</v>
      </c>
    </row>
    <row r="49" spans="1:20" ht="15.75" hidden="1" customHeight="1" outlineLevel="1" thickBot="1">
      <c r="A49" s="47">
        <f t="shared" si="4"/>
        <v>37</v>
      </c>
      <c r="C49" s="52">
        <f>IF(MIN(MAX(ROUND(ROUND('Loonschijven_Tranches salariale'!$Q44*0.65,4)*Basisbedragen!$I$7,2),ROUND(Basisbedragen!$D$34*Basisbedragen!$I$7,2)),ROUND(ROUND(Basisbedragen!$D$27*0.65,4)*Basisbedragen!$I$7,2))&lt;= Basisbedragen!$I$8,MIN(MAX(ROUND(ROUND('Loonschijven_Tranches salariale'!$Q44*0.65,4)*Basisbedragen!$I$2,2),ROUND(Basisbedragen!$D$34*Basisbedragen!$I$2,2)),ROUND(ROUND(Basisbedragen!$D$27*0.65,4)*Basisbedragen!$I$2,2)),MIN(MAX(ROUND(ROUND('Loonschijven_Tranches salariale'!$Q44*0.65,4)*Basisbedragen!$I$7,2),ROUND(Basisbedragen!$D$34*Basisbedragen!$I$7,2)),ROUND(ROUND(Basisbedragen!$D$27*0.65,4)*Basisbedragen!$I$7,2))+Basisbedragen!$I$10)</f>
        <v>78.09</v>
      </c>
      <c r="D49" s="52">
        <f>IF(MIN(MAX(ROUND(ROUND('Loonschijven_Tranches salariale'!$Q44*0.6,4)*Basisbedragen!$I$7,2),ROUND(Basisbedragen!$D$34*Basisbedragen!$I$7,2)),ROUND(ROUND(Basisbedragen!$D$28*0.6,4)*Basisbedragen!$I$7,2))&lt;= Basisbedragen!$I$8,MIN(MAX(ROUND(ROUND('Loonschijven_Tranches salariale'!$Q44*0.6,4)*Basisbedragen!$I$2,2),ROUND(Basisbedragen!$D$34*Basisbedragen!$I$2,2)),ROUND(ROUND(Basisbedragen!$D$28*0.6,4)*Basisbedragen!$I$2,2)),MIN(MAX(ROUND(ROUND('Loonschijven_Tranches salariale'!$Q44*0.6,4)*Basisbedragen!$I$7,2),ROUND(Basisbedragen!$D$34*Basisbedragen!$I$7,2)),ROUND(ROUND(Basisbedragen!$D$28*0.6,4)*Basisbedragen!$I$7,2))+Basisbedragen!$I$10)</f>
        <v>78.09</v>
      </c>
      <c r="E49" s="52">
        <f>MIN(MAX(ROUND(ROUND('Loonschijven_Tranches salariale'!$Q44*0.6,4)*Basisbedragen!$I$2,2),ROUND(Basisbedragen!$D$35*Basisbedragen!$I$2,2)),ROUND(ROUND(Basisbedragen!$D$29*0.6,4)*Basisbedragen!$I$2,2))</f>
        <v>70.989999999999995</v>
      </c>
      <c r="F49" s="38"/>
      <c r="G49" s="52">
        <f t="shared" si="0"/>
        <v>70.989999999999995</v>
      </c>
      <c r="H49" s="38"/>
      <c r="I49" s="52">
        <f>IF(MIN(MAX(ROUND(ROUND('Loonschijven_Tranches salariale'!$Q44*0.65,4)*Basisbedragen!$I$7,2),ROUND(Basisbedragen!$D$36*Basisbedragen!$I$7,2)),ROUND(ROUND(Basisbedragen!$D$27*0.65,4)*Basisbedragen!$I$7,2))&lt;= Basisbedragen!$I$8,MIN(MAX(ROUND(ROUND('Loonschijven_Tranches salariale'!$Q44*0.65,4)*Basisbedragen!$I$2,2),ROUND(Basisbedragen!$D$36*Basisbedragen!$I$2,2)),ROUND(ROUND(Basisbedragen!$D$27*0.65,4)*Basisbedragen!$I$2,2)),MIN(MAX(ROUND(ROUND('Loonschijven_Tranches salariale'!$Q44*0.65,4)*Basisbedragen!$I$7,2),ROUND(Basisbedragen!$D$36*Basisbedragen!$I$7,2)),ROUND(ROUND(Basisbedragen!$D$27*0.65,4)*Basisbedragen!$I$7,2))+Basisbedragen!$I$10)</f>
        <v>63.29</v>
      </c>
      <c r="J49" s="52">
        <f>IF(MIN(MAX(ROUND(ROUND('Loonschijven_Tranches salariale'!$Q44*0.6,4)*Basisbedragen!$I$7,2),ROUND(Basisbedragen!$D$36*Basisbedragen!$I$7,2)),ROUND(ROUND(Basisbedragen!$D$28*0.6,4)*Basisbedragen!$I$7,2))&lt;= Basisbedragen!$I$8,MIN(MAX(ROUND(ROUND('Loonschijven_Tranches salariale'!$Q44*0.6,4)*Basisbedragen!$I$2,2),ROUND(Basisbedragen!$D$36*Basisbedragen!$I$2,2)),ROUND(ROUND(Basisbedragen!$D$28*0.6,4)*Basisbedragen!$I$2,2)),MIN(MAX(ROUND(ROUND('Loonschijven_Tranches salariale'!$Q44*0.6,4)*Basisbedragen!$I$7,2),ROUND(Basisbedragen!$D$36*Basisbedragen!$I$7,2)),ROUND(ROUND(Basisbedragen!$D$28*0.6,4)*Basisbedragen!$I$7,2))+Basisbedragen!$I$10)</f>
        <v>63.29</v>
      </c>
      <c r="K49" s="52">
        <f>MIN(MAX(ROUND(ROUND('Loonschijven_Tranches salariale'!$Q44*0.6,4)*Basisbedragen!$I$2,2),ROUND(Basisbedragen!$D$37*Basisbedragen!$I$2,2)),ROUND(ROUND(Basisbedragen!$D$29*0.6,4)*Basisbedragen!$I$2,2))</f>
        <v>57.53</v>
      </c>
      <c r="L49" s="38"/>
      <c r="M49" s="52">
        <f t="shared" si="1"/>
        <v>57.53</v>
      </c>
      <c r="N49" s="38"/>
      <c r="O49" s="52">
        <f>IF(MIN(MAX(ROUND(ROUND('Loonschijven_Tranches salariale'!$Q44*0.65,4)*Basisbedragen!$I$7,2),ROUND(Basisbedragen!$D$38*Basisbedragen!$I$7,2)),ROUND(ROUND(Basisbedragen!$D$27*0.65,4)*Basisbedragen!$I$7,2))&lt;= Basisbedragen!$I$8,MIN(MAX(ROUND(ROUND('Loonschijven_Tranches salariale'!$Q44*0.65,4)*Basisbedragen!$I$2,2),ROUND(Basisbedragen!$D$38*Basisbedragen!$I$2,2)),ROUND(ROUND(Basisbedragen!$D$27*0.65,4)*Basisbedragen!$I$2,2)),MIN(MAX(ROUND(ROUND('Loonschijven_Tranches salariale'!$Q44*0.65,4)*Basisbedragen!$I$7,2),ROUND(Basisbedragen!$D$38*Basisbedragen!$I$7,2)),ROUND(ROUND(Basisbedragen!$D$27*0.65,4)*Basisbedragen!$I$7,2))+Basisbedragen!$I$10)</f>
        <v>60.92</v>
      </c>
      <c r="P49" s="52">
        <f>IF(MIN(MAX(ROUND(ROUND('Loonschijven_Tranches salariale'!$Q44*0.6,4)*Basisbedragen!$I$7,2),ROUND(Basisbedragen!$D$39*Basisbedragen!$I$7,2)),ROUND(ROUND(Basisbedragen!$D$28*0.6,4)*Basisbedragen!$I$7,2))&lt;= Basisbedragen!$I$8,MIN(MAX(ROUND(ROUND('Loonschijven_Tranches salariale'!$Q44*0.6,4)*Basisbedragen!$I$2,2),ROUND(Basisbedragen!$D$39*Basisbedragen!$I$2,2)),ROUND(ROUND(Basisbedragen!$D$28*0.6,4)*Basisbedragen!$I$2,2)),MIN(MAX(ROUND(ROUND('Loonschijven_Tranches salariale'!$Q44*0.6,4)*Basisbedragen!$I$7,2),ROUND(Basisbedragen!$D$39*Basisbedragen!$I$7,2)),ROUND(ROUND(Basisbedragen!$D$28*0.6,4)*Basisbedragen!$I$7,2))+Basisbedragen!$I$10)</f>
        <v>56.23</v>
      </c>
      <c r="Q49" s="52">
        <f>MIN(MAX(ROUND(ROUND('Loonschijven_Tranches salariale'!$Q44*0.6,4)*Basisbedragen!$I$2,2),ROUND(Basisbedragen!$D$40*Basisbedragen!$I$2,2)),ROUND(ROUND(Basisbedragen!$D$29*0.6,4)*Basisbedragen!$I$2,2))</f>
        <v>51.12</v>
      </c>
      <c r="R49" s="38"/>
      <c r="S49" s="52">
        <f t="shared" si="2"/>
        <v>42.37</v>
      </c>
      <c r="T49" s="52">
        <f t="shared" si="3"/>
        <v>29.85</v>
      </c>
    </row>
    <row r="50" spans="1:20" ht="15.75" hidden="1" customHeight="1" outlineLevel="1" thickBot="1">
      <c r="A50" s="47">
        <f t="shared" si="4"/>
        <v>38</v>
      </c>
      <c r="C50" s="52">
        <f>IF(MIN(MAX(ROUND(ROUND('Loonschijven_Tranches salariale'!$Q45*0.65,4)*Basisbedragen!$I$7,2),ROUND(Basisbedragen!$D$34*Basisbedragen!$I$7,2)),ROUND(ROUND(Basisbedragen!$D$27*0.65,4)*Basisbedragen!$I$7,2))&lt;= Basisbedragen!$I$8,MIN(MAX(ROUND(ROUND('Loonschijven_Tranches salariale'!$Q45*0.65,4)*Basisbedragen!$I$2,2),ROUND(Basisbedragen!$D$34*Basisbedragen!$I$2,2)),ROUND(ROUND(Basisbedragen!$D$27*0.65,4)*Basisbedragen!$I$2,2)),MIN(MAX(ROUND(ROUND('Loonschijven_Tranches salariale'!$Q45*0.65,4)*Basisbedragen!$I$7,2),ROUND(Basisbedragen!$D$34*Basisbedragen!$I$7,2)),ROUND(ROUND(Basisbedragen!$D$27*0.65,4)*Basisbedragen!$I$7,2))+Basisbedragen!$I$10)</f>
        <v>78.09</v>
      </c>
      <c r="D50" s="52">
        <f>IF(MIN(MAX(ROUND(ROUND('Loonschijven_Tranches salariale'!$Q45*0.6,4)*Basisbedragen!$I$7,2),ROUND(Basisbedragen!$D$34*Basisbedragen!$I$7,2)),ROUND(ROUND(Basisbedragen!$D$28*0.6,4)*Basisbedragen!$I$7,2))&lt;= Basisbedragen!$I$8,MIN(MAX(ROUND(ROUND('Loonschijven_Tranches salariale'!$Q45*0.6,4)*Basisbedragen!$I$2,2),ROUND(Basisbedragen!$D$34*Basisbedragen!$I$2,2)),ROUND(ROUND(Basisbedragen!$D$28*0.6,4)*Basisbedragen!$I$2,2)),MIN(MAX(ROUND(ROUND('Loonschijven_Tranches salariale'!$Q45*0.6,4)*Basisbedragen!$I$7,2),ROUND(Basisbedragen!$D$34*Basisbedragen!$I$7,2)),ROUND(ROUND(Basisbedragen!$D$28*0.6,4)*Basisbedragen!$I$7,2))+Basisbedragen!$I$10)</f>
        <v>78.09</v>
      </c>
      <c r="E50" s="52">
        <f>MIN(MAX(ROUND(ROUND('Loonschijven_Tranches salariale'!$Q45*0.6,4)*Basisbedragen!$I$2,2),ROUND(Basisbedragen!$D$35*Basisbedragen!$I$2,2)),ROUND(ROUND(Basisbedragen!$D$29*0.6,4)*Basisbedragen!$I$2,2))</f>
        <v>70.989999999999995</v>
      </c>
      <c r="F50" s="38"/>
      <c r="G50" s="52">
        <f t="shared" si="0"/>
        <v>70.989999999999995</v>
      </c>
      <c r="H50" s="38"/>
      <c r="I50" s="52">
        <f>IF(MIN(MAX(ROUND(ROUND('Loonschijven_Tranches salariale'!$Q45*0.65,4)*Basisbedragen!$I$7,2),ROUND(Basisbedragen!$D$36*Basisbedragen!$I$7,2)),ROUND(ROUND(Basisbedragen!$D$27*0.65,4)*Basisbedragen!$I$7,2))&lt;= Basisbedragen!$I$8,MIN(MAX(ROUND(ROUND('Loonschijven_Tranches salariale'!$Q45*0.65,4)*Basisbedragen!$I$2,2),ROUND(Basisbedragen!$D$36*Basisbedragen!$I$2,2)),ROUND(ROUND(Basisbedragen!$D$27*0.65,4)*Basisbedragen!$I$2,2)),MIN(MAX(ROUND(ROUND('Loonschijven_Tranches salariale'!$Q45*0.65,4)*Basisbedragen!$I$7,2),ROUND(Basisbedragen!$D$36*Basisbedragen!$I$7,2)),ROUND(ROUND(Basisbedragen!$D$27*0.65,4)*Basisbedragen!$I$7,2))+Basisbedragen!$I$10)</f>
        <v>63.29</v>
      </c>
      <c r="J50" s="52">
        <f>IF(MIN(MAX(ROUND(ROUND('Loonschijven_Tranches salariale'!$Q45*0.6,4)*Basisbedragen!$I$7,2),ROUND(Basisbedragen!$D$36*Basisbedragen!$I$7,2)),ROUND(ROUND(Basisbedragen!$D$28*0.6,4)*Basisbedragen!$I$7,2))&lt;= Basisbedragen!$I$8,MIN(MAX(ROUND(ROUND('Loonschijven_Tranches salariale'!$Q45*0.6,4)*Basisbedragen!$I$2,2),ROUND(Basisbedragen!$D$36*Basisbedragen!$I$2,2)),ROUND(ROUND(Basisbedragen!$D$28*0.6,4)*Basisbedragen!$I$2,2)),MIN(MAX(ROUND(ROUND('Loonschijven_Tranches salariale'!$Q45*0.6,4)*Basisbedragen!$I$7,2),ROUND(Basisbedragen!$D$36*Basisbedragen!$I$7,2)),ROUND(ROUND(Basisbedragen!$D$28*0.6,4)*Basisbedragen!$I$7,2))+Basisbedragen!$I$10)</f>
        <v>63.29</v>
      </c>
      <c r="K50" s="52">
        <f>MIN(MAX(ROUND(ROUND('Loonschijven_Tranches salariale'!$Q45*0.6,4)*Basisbedragen!$I$2,2),ROUND(Basisbedragen!$D$37*Basisbedragen!$I$2,2)),ROUND(ROUND(Basisbedragen!$D$29*0.6,4)*Basisbedragen!$I$2,2))</f>
        <v>57.53</v>
      </c>
      <c r="L50" s="38"/>
      <c r="M50" s="52">
        <f t="shared" si="1"/>
        <v>57.53</v>
      </c>
      <c r="N50" s="38"/>
      <c r="O50" s="52">
        <f>IF(MIN(MAX(ROUND(ROUND('Loonschijven_Tranches salariale'!$Q45*0.65,4)*Basisbedragen!$I$7,2),ROUND(Basisbedragen!$D$38*Basisbedragen!$I$7,2)),ROUND(ROUND(Basisbedragen!$D$27*0.65,4)*Basisbedragen!$I$7,2))&lt;= Basisbedragen!$I$8,MIN(MAX(ROUND(ROUND('Loonschijven_Tranches salariale'!$Q45*0.65,4)*Basisbedragen!$I$2,2),ROUND(Basisbedragen!$D$38*Basisbedragen!$I$2,2)),ROUND(ROUND(Basisbedragen!$D$27*0.65,4)*Basisbedragen!$I$2,2)),MIN(MAX(ROUND(ROUND('Loonschijven_Tranches salariale'!$Q45*0.65,4)*Basisbedragen!$I$7,2),ROUND(Basisbedragen!$D$38*Basisbedragen!$I$7,2)),ROUND(ROUND(Basisbedragen!$D$27*0.65,4)*Basisbedragen!$I$7,2))+Basisbedragen!$I$10)</f>
        <v>60.92</v>
      </c>
      <c r="P50" s="52">
        <f>IF(MIN(MAX(ROUND(ROUND('Loonschijven_Tranches salariale'!$Q45*0.6,4)*Basisbedragen!$I$7,2),ROUND(Basisbedragen!$D$39*Basisbedragen!$I$7,2)),ROUND(ROUND(Basisbedragen!$D$28*0.6,4)*Basisbedragen!$I$7,2))&lt;= Basisbedragen!$I$8,MIN(MAX(ROUND(ROUND('Loonschijven_Tranches salariale'!$Q45*0.6,4)*Basisbedragen!$I$2,2),ROUND(Basisbedragen!$D$39*Basisbedragen!$I$2,2)),ROUND(ROUND(Basisbedragen!$D$28*0.6,4)*Basisbedragen!$I$2,2)),MIN(MAX(ROUND(ROUND('Loonschijven_Tranches salariale'!$Q45*0.6,4)*Basisbedragen!$I$7,2),ROUND(Basisbedragen!$D$39*Basisbedragen!$I$7,2)),ROUND(ROUND(Basisbedragen!$D$28*0.6,4)*Basisbedragen!$I$7,2))+Basisbedragen!$I$10)</f>
        <v>56.23</v>
      </c>
      <c r="Q50" s="52">
        <f>MIN(MAX(ROUND(ROUND('Loonschijven_Tranches salariale'!$Q45*0.6,4)*Basisbedragen!$I$2,2),ROUND(Basisbedragen!$D$40*Basisbedragen!$I$2,2)),ROUND(ROUND(Basisbedragen!$D$29*0.6,4)*Basisbedragen!$I$2,2))</f>
        <v>51.12</v>
      </c>
      <c r="R50" s="38"/>
      <c r="S50" s="52">
        <f t="shared" si="2"/>
        <v>42.37</v>
      </c>
      <c r="T50" s="52">
        <f t="shared" si="3"/>
        <v>29.85</v>
      </c>
    </row>
    <row r="51" spans="1:20" ht="15.75" hidden="1" customHeight="1" outlineLevel="1" thickBot="1">
      <c r="A51" s="47">
        <f t="shared" si="4"/>
        <v>39</v>
      </c>
      <c r="C51" s="52">
        <f>IF(MIN(MAX(ROUND(ROUND('Loonschijven_Tranches salariale'!$Q46*0.65,4)*Basisbedragen!$I$7,2),ROUND(Basisbedragen!$D$34*Basisbedragen!$I$7,2)),ROUND(ROUND(Basisbedragen!$D$27*0.65,4)*Basisbedragen!$I$7,2))&lt;= Basisbedragen!$I$8,MIN(MAX(ROUND(ROUND('Loonschijven_Tranches salariale'!$Q46*0.65,4)*Basisbedragen!$I$2,2),ROUND(Basisbedragen!$D$34*Basisbedragen!$I$2,2)),ROUND(ROUND(Basisbedragen!$D$27*0.65,4)*Basisbedragen!$I$2,2)),MIN(MAX(ROUND(ROUND('Loonschijven_Tranches salariale'!$Q46*0.65,4)*Basisbedragen!$I$7,2),ROUND(Basisbedragen!$D$34*Basisbedragen!$I$7,2)),ROUND(ROUND(Basisbedragen!$D$27*0.65,4)*Basisbedragen!$I$7,2))+Basisbedragen!$I$10)</f>
        <v>78.09</v>
      </c>
      <c r="D51" s="52">
        <f>IF(MIN(MAX(ROUND(ROUND('Loonschijven_Tranches salariale'!$Q46*0.6,4)*Basisbedragen!$I$7,2),ROUND(Basisbedragen!$D$34*Basisbedragen!$I$7,2)),ROUND(ROUND(Basisbedragen!$D$28*0.6,4)*Basisbedragen!$I$7,2))&lt;= Basisbedragen!$I$8,MIN(MAX(ROUND(ROUND('Loonschijven_Tranches salariale'!$Q46*0.6,4)*Basisbedragen!$I$2,2),ROUND(Basisbedragen!$D$34*Basisbedragen!$I$2,2)),ROUND(ROUND(Basisbedragen!$D$28*0.6,4)*Basisbedragen!$I$2,2)),MIN(MAX(ROUND(ROUND('Loonschijven_Tranches salariale'!$Q46*0.6,4)*Basisbedragen!$I$7,2),ROUND(Basisbedragen!$D$34*Basisbedragen!$I$7,2)),ROUND(ROUND(Basisbedragen!$D$28*0.6,4)*Basisbedragen!$I$7,2))+Basisbedragen!$I$10)</f>
        <v>78.09</v>
      </c>
      <c r="E51" s="52">
        <f>MIN(MAX(ROUND(ROUND('Loonschijven_Tranches salariale'!$Q46*0.6,4)*Basisbedragen!$I$2,2),ROUND(Basisbedragen!$D$35*Basisbedragen!$I$2,2)),ROUND(ROUND(Basisbedragen!$D$29*0.6,4)*Basisbedragen!$I$2,2))</f>
        <v>70.989999999999995</v>
      </c>
      <c r="F51" s="38"/>
      <c r="G51" s="52">
        <f t="shared" si="0"/>
        <v>70.989999999999995</v>
      </c>
      <c r="H51" s="38"/>
      <c r="I51" s="52">
        <f>IF(MIN(MAX(ROUND(ROUND('Loonschijven_Tranches salariale'!$Q46*0.65,4)*Basisbedragen!$I$7,2),ROUND(Basisbedragen!$D$36*Basisbedragen!$I$7,2)),ROUND(ROUND(Basisbedragen!$D$27*0.65,4)*Basisbedragen!$I$7,2))&lt;= Basisbedragen!$I$8,MIN(MAX(ROUND(ROUND('Loonschijven_Tranches salariale'!$Q46*0.65,4)*Basisbedragen!$I$2,2),ROUND(Basisbedragen!$D$36*Basisbedragen!$I$2,2)),ROUND(ROUND(Basisbedragen!$D$27*0.65,4)*Basisbedragen!$I$2,2)),MIN(MAX(ROUND(ROUND('Loonschijven_Tranches salariale'!$Q46*0.65,4)*Basisbedragen!$I$7,2),ROUND(Basisbedragen!$D$36*Basisbedragen!$I$7,2)),ROUND(ROUND(Basisbedragen!$D$27*0.65,4)*Basisbedragen!$I$7,2))+Basisbedragen!$I$10)</f>
        <v>63.29</v>
      </c>
      <c r="J51" s="52">
        <f>IF(MIN(MAX(ROUND(ROUND('Loonschijven_Tranches salariale'!$Q46*0.6,4)*Basisbedragen!$I$7,2),ROUND(Basisbedragen!$D$36*Basisbedragen!$I$7,2)),ROUND(ROUND(Basisbedragen!$D$28*0.6,4)*Basisbedragen!$I$7,2))&lt;= Basisbedragen!$I$8,MIN(MAX(ROUND(ROUND('Loonschijven_Tranches salariale'!$Q46*0.6,4)*Basisbedragen!$I$2,2),ROUND(Basisbedragen!$D$36*Basisbedragen!$I$2,2)),ROUND(ROUND(Basisbedragen!$D$28*0.6,4)*Basisbedragen!$I$2,2)),MIN(MAX(ROUND(ROUND('Loonschijven_Tranches salariale'!$Q46*0.6,4)*Basisbedragen!$I$7,2),ROUND(Basisbedragen!$D$36*Basisbedragen!$I$7,2)),ROUND(ROUND(Basisbedragen!$D$28*0.6,4)*Basisbedragen!$I$7,2))+Basisbedragen!$I$10)</f>
        <v>63.29</v>
      </c>
      <c r="K51" s="52">
        <f>MIN(MAX(ROUND(ROUND('Loonschijven_Tranches salariale'!$Q46*0.6,4)*Basisbedragen!$I$2,2),ROUND(Basisbedragen!$D$37*Basisbedragen!$I$2,2)),ROUND(ROUND(Basisbedragen!$D$29*0.6,4)*Basisbedragen!$I$2,2))</f>
        <v>57.53</v>
      </c>
      <c r="L51" s="38"/>
      <c r="M51" s="52">
        <f t="shared" si="1"/>
        <v>57.53</v>
      </c>
      <c r="N51" s="38"/>
      <c r="O51" s="52">
        <f>IF(MIN(MAX(ROUND(ROUND('Loonschijven_Tranches salariale'!$Q46*0.65,4)*Basisbedragen!$I$7,2),ROUND(Basisbedragen!$D$38*Basisbedragen!$I$7,2)),ROUND(ROUND(Basisbedragen!$D$27*0.65,4)*Basisbedragen!$I$7,2))&lt;= Basisbedragen!$I$8,MIN(MAX(ROUND(ROUND('Loonschijven_Tranches salariale'!$Q46*0.65,4)*Basisbedragen!$I$2,2),ROUND(Basisbedragen!$D$38*Basisbedragen!$I$2,2)),ROUND(ROUND(Basisbedragen!$D$27*0.65,4)*Basisbedragen!$I$2,2)),MIN(MAX(ROUND(ROUND('Loonschijven_Tranches salariale'!$Q46*0.65,4)*Basisbedragen!$I$7,2),ROUND(Basisbedragen!$D$38*Basisbedragen!$I$7,2)),ROUND(ROUND(Basisbedragen!$D$27*0.65,4)*Basisbedragen!$I$7,2))+Basisbedragen!$I$10)</f>
        <v>60.92</v>
      </c>
      <c r="P51" s="52">
        <f>IF(MIN(MAX(ROUND(ROUND('Loonschijven_Tranches salariale'!$Q46*0.6,4)*Basisbedragen!$I$7,2),ROUND(Basisbedragen!$D$39*Basisbedragen!$I$7,2)),ROUND(ROUND(Basisbedragen!$D$28*0.6,4)*Basisbedragen!$I$7,2))&lt;= Basisbedragen!$I$8,MIN(MAX(ROUND(ROUND('Loonschijven_Tranches salariale'!$Q46*0.6,4)*Basisbedragen!$I$2,2),ROUND(Basisbedragen!$D$39*Basisbedragen!$I$2,2)),ROUND(ROUND(Basisbedragen!$D$28*0.6,4)*Basisbedragen!$I$2,2)),MIN(MAX(ROUND(ROUND('Loonschijven_Tranches salariale'!$Q46*0.6,4)*Basisbedragen!$I$7,2),ROUND(Basisbedragen!$D$39*Basisbedragen!$I$7,2)),ROUND(ROUND(Basisbedragen!$D$28*0.6,4)*Basisbedragen!$I$7,2))+Basisbedragen!$I$10)</f>
        <v>56.23</v>
      </c>
      <c r="Q51" s="52">
        <f>MIN(MAX(ROUND(ROUND('Loonschijven_Tranches salariale'!$Q46*0.6,4)*Basisbedragen!$I$2,2),ROUND(Basisbedragen!$D$40*Basisbedragen!$I$2,2)),ROUND(ROUND(Basisbedragen!$D$29*0.6,4)*Basisbedragen!$I$2,2))</f>
        <v>51.12</v>
      </c>
      <c r="R51" s="38"/>
      <c r="S51" s="52">
        <f t="shared" si="2"/>
        <v>42.37</v>
      </c>
      <c r="T51" s="52">
        <f t="shared" si="3"/>
        <v>29.85</v>
      </c>
    </row>
    <row r="52" spans="1:20" ht="15.75" hidden="1" customHeight="1" outlineLevel="1" thickBot="1">
      <c r="A52" s="47">
        <f t="shared" si="4"/>
        <v>40</v>
      </c>
      <c r="C52" s="52">
        <f>IF(MIN(MAX(ROUND(ROUND('Loonschijven_Tranches salariale'!$Q47*0.65,4)*Basisbedragen!$I$7,2),ROUND(Basisbedragen!$D$34*Basisbedragen!$I$7,2)),ROUND(ROUND(Basisbedragen!$D$27*0.65,4)*Basisbedragen!$I$7,2))&lt;= Basisbedragen!$I$8,MIN(MAX(ROUND(ROUND('Loonschijven_Tranches salariale'!$Q47*0.65,4)*Basisbedragen!$I$2,2),ROUND(Basisbedragen!$D$34*Basisbedragen!$I$2,2)),ROUND(ROUND(Basisbedragen!$D$27*0.65,4)*Basisbedragen!$I$2,2)),MIN(MAX(ROUND(ROUND('Loonschijven_Tranches salariale'!$Q47*0.65,4)*Basisbedragen!$I$7,2),ROUND(Basisbedragen!$D$34*Basisbedragen!$I$7,2)),ROUND(ROUND(Basisbedragen!$D$27*0.65,4)*Basisbedragen!$I$7,2))+Basisbedragen!$I$10)</f>
        <v>78.09</v>
      </c>
      <c r="D52" s="52">
        <f>IF(MIN(MAX(ROUND(ROUND('Loonschijven_Tranches salariale'!$Q47*0.6,4)*Basisbedragen!$I$7,2),ROUND(Basisbedragen!$D$34*Basisbedragen!$I$7,2)),ROUND(ROUND(Basisbedragen!$D$28*0.6,4)*Basisbedragen!$I$7,2))&lt;= Basisbedragen!$I$8,MIN(MAX(ROUND(ROUND('Loonschijven_Tranches salariale'!$Q47*0.6,4)*Basisbedragen!$I$2,2),ROUND(Basisbedragen!$D$34*Basisbedragen!$I$2,2)),ROUND(ROUND(Basisbedragen!$D$28*0.6,4)*Basisbedragen!$I$2,2)),MIN(MAX(ROUND(ROUND('Loonschijven_Tranches salariale'!$Q47*0.6,4)*Basisbedragen!$I$7,2),ROUND(Basisbedragen!$D$34*Basisbedragen!$I$7,2)),ROUND(ROUND(Basisbedragen!$D$28*0.6,4)*Basisbedragen!$I$7,2))+Basisbedragen!$I$10)</f>
        <v>78.09</v>
      </c>
      <c r="E52" s="52">
        <f>MIN(MAX(ROUND(ROUND('Loonschijven_Tranches salariale'!$Q47*0.6,4)*Basisbedragen!$I$2,2),ROUND(Basisbedragen!$D$35*Basisbedragen!$I$2,2)),ROUND(ROUND(Basisbedragen!$D$29*0.6,4)*Basisbedragen!$I$2,2))</f>
        <v>70.989999999999995</v>
      </c>
      <c r="F52" s="38"/>
      <c r="G52" s="52">
        <f t="shared" si="0"/>
        <v>70.989999999999995</v>
      </c>
      <c r="H52" s="38"/>
      <c r="I52" s="52">
        <f>IF(MIN(MAX(ROUND(ROUND('Loonschijven_Tranches salariale'!$Q47*0.65,4)*Basisbedragen!$I$7,2),ROUND(Basisbedragen!$D$36*Basisbedragen!$I$7,2)),ROUND(ROUND(Basisbedragen!$D$27*0.65,4)*Basisbedragen!$I$7,2))&lt;= Basisbedragen!$I$8,MIN(MAX(ROUND(ROUND('Loonschijven_Tranches salariale'!$Q47*0.65,4)*Basisbedragen!$I$2,2),ROUND(Basisbedragen!$D$36*Basisbedragen!$I$2,2)),ROUND(ROUND(Basisbedragen!$D$27*0.65,4)*Basisbedragen!$I$2,2)),MIN(MAX(ROUND(ROUND('Loonschijven_Tranches salariale'!$Q47*0.65,4)*Basisbedragen!$I$7,2),ROUND(Basisbedragen!$D$36*Basisbedragen!$I$7,2)),ROUND(ROUND(Basisbedragen!$D$27*0.65,4)*Basisbedragen!$I$7,2))+Basisbedragen!$I$10)</f>
        <v>63.29</v>
      </c>
      <c r="J52" s="52">
        <f>IF(MIN(MAX(ROUND(ROUND('Loonschijven_Tranches salariale'!$Q47*0.6,4)*Basisbedragen!$I$7,2),ROUND(Basisbedragen!$D$36*Basisbedragen!$I$7,2)),ROUND(ROUND(Basisbedragen!$D$28*0.6,4)*Basisbedragen!$I$7,2))&lt;= Basisbedragen!$I$8,MIN(MAX(ROUND(ROUND('Loonschijven_Tranches salariale'!$Q47*0.6,4)*Basisbedragen!$I$2,2),ROUND(Basisbedragen!$D$36*Basisbedragen!$I$2,2)),ROUND(ROUND(Basisbedragen!$D$28*0.6,4)*Basisbedragen!$I$2,2)),MIN(MAX(ROUND(ROUND('Loonschijven_Tranches salariale'!$Q47*0.6,4)*Basisbedragen!$I$7,2),ROUND(Basisbedragen!$D$36*Basisbedragen!$I$7,2)),ROUND(ROUND(Basisbedragen!$D$28*0.6,4)*Basisbedragen!$I$7,2))+Basisbedragen!$I$10)</f>
        <v>63.29</v>
      </c>
      <c r="K52" s="52">
        <f>MIN(MAX(ROUND(ROUND('Loonschijven_Tranches salariale'!$Q47*0.6,4)*Basisbedragen!$I$2,2),ROUND(Basisbedragen!$D$37*Basisbedragen!$I$2,2)),ROUND(ROUND(Basisbedragen!$D$29*0.6,4)*Basisbedragen!$I$2,2))</f>
        <v>57.53</v>
      </c>
      <c r="L52" s="38"/>
      <c r="M52" s="52">
        <f t="shared" si="1"/>
        <v>57.53</v>
      </c>
      <c r="N52" s="38"/>
      <c r="O52" s="52">
        <f>IF(MIN(MAX(ROUND(ROUND('Loonschijven_Tranches salariale'!$Q47*0.65,4)*Basisbedragen!$I$7,2),ROUND(Basisbedragen!$D$38*Basisbedragen!$I$7,2)),ROUND(ROUND(Basisbedragen!$D$27*0.65,4)*Basisbedragen!$I$7,2))&lt;= Basisbedragen!$I$8,MIN(MAX(ROUND(ROUND('Loonschijven_Tranches salariale'!$Q47*0.65,4)*Basisbedragen!$I$2,2),ROUND(Basisbedragen!$D$38*Basisbedragen!$I$2,2)),ROUND(ROUND(Basisbedragen!$D$27*0.65,4)*Basisbedragen!$I$2,2)),MIN(MAX(ROUND(ROUND('Loonschijven_Tranches salariale'!$Q47*0.65,4)*Basisbedragen!$I$7,2),ROUND(Basisbedragen!$D$38*Basisbedragen!$I$7,2)),ROUND(ROUND(Basisbedragen!$D$27*0.65,4)*Basisbedragen!$I$7,2))+Basisbedragen!$I$10)</f>
        <v>60.92</v>
      </c>
      <c r="P52" s="52">
        <f>IF(MIN(MAX(ROUND(ROUND('Loonschijven_Tranches salariale'!$Q47*0.6,4)*Basisbedragen!$I$7,2),ROUND(Basisbedragen!$D$39*Basisbedragen!$I$7,2)),ROUND(ROUND(Basisbedragen!$D$28*0.6,4)*Basisbedragen!$I$7,2))&lt;= Basisbedragen!$I$8,MIN(MAX(ROUND(ROUND('Loonschijven_Tranches salariale'!$Q47*0.6,4)*Basisbedragen!$I$2,2),ROUND(Basisbedragen!$D$39*Basisbedragen!$I$2,2)),ROUND(ROUND(Basisbedragen!$D$28*0.6,4)*Basisbedragen!$I$2,2)),MIN(MAX(ROUND(ROUND('Loonschijven_Tranches salariale'!$Q47*0.6,4)*Basisbedragen!$I$7,2),ROUND(Basisbedragen!$D$39*Basisbedragen!$I$7,2)),ROUND(ROUND(Basisbedragen!$D$28*0.6,4)*Basisbedragen!$I$7,2))+Basisbedragen!$I$10)</f>
        <v>56.23</v>
      </c>
      <c r="Q52" s="52">
        <f>MIN(MAX(ROUND(ROUND('Loonschijven_Tranches salariale'!$Q47*0.6,4)*Basisbedragen!$I$2,2),ROUND(Basisbedragen!$D$40*Basisbedragen!$I$2,2)),ROUND(ROUND(Basisbedragen!$D$29*0.6,4)*Basisbedragen!$I$2,2))</f>
        <v>51.12</v>
      </c>
      <c r="R52" s="38"/>
      <c r="S52" s="52">
        <f t="shared" si="2"/>
        <v>42.37</v>
      </c>
      <c r="T52" s="52">
        <f t="shared" si="3"/>
        <v>29.85</v>
      </c>
    </row>
    <row r="53" spans="1:20" ht="15.75" hidden="1" customHeight="1" outlineLevel="1" thickBot="1">
      <c r="A53" s="47">
        <f t="shared" si="4"/>
        <v>41</v>
      </c>
      <c r="C53" s="52">
        <f>IF(MIN(MAX(ROUND(ROUND('Loonschijven_Tranches salariale'!$Q48*0.65,4)*Basisbedragen!$I$7,2),ROUND(Basisbedragen!$D$34*Basisbedragen!$I$7,2)),ROUND(ROUND(Basisbedragen!$D$27*0.65,4)*Basisbedragen!$I$7,2))&lt;= Basisbedragen!$I$8,MIN(MAX(ROUND(ROUND('Loonschijven_Tranches salariale'!$Q48*0.65,4)*Basisbedragen!$I$2,2),ROUND(Basisbedragen!$D$34*Basisbedragen!$I$2,2)),ROUND(ROUND(Basisbedragen!$D$27*0.65,4)*Basisbedragen!$I$2,2)),MIN(MAX(ROUND(ROUND('Loonschijven_Tranches salariale'!$Q48*0.65,4)*Basisbedragen!$I$7,2),ROUND(Basisbedragen!$D$34*Basisbedragen!$I$7,2)),ROUND(ROUND(Basisbedragen!$D$27*0.65,4)*Basisbedragen!$I$7,2))+Basisbedragen!$I$10)</f>
        <v>78.09</v>
      </c>
      <c r="D53" s="52">
        <f>IF(MIN(MAX(ROUND(ROUND('Loonschijven_Tranches salariale'!$Q48*0.6,4)*Basisbedragen!$I$7,2),ROUND(Basisbedragen!$D$34*Basisbedragen!$I$7,2)),ROUND(ROUND(Basisbedragen!$D$28*0.6,4)*Basisbedragen!$I$7,2))&lt;= Basisbedragen!$I$8,MIN(MAX(ROUND(ROUND('Loonschijven_Tranches salariale'!$Q48*0.6,4)*Basisbedragen!$I$2,2),ROUND(Basisbedragen!$D$34*Basisbedragen!$I$2,2)),ROUND(ROUND(Basisbedragen!$D$28*0.6,4)*Basisbedragen!$I$2,2)),MIN(MAX(ROUND(ROUND('Loonschijven_Tranches salariale'!$Q48*0.6,4)*Basisbedragen!$I$7,2),ROUND(Basisbedragen!$D$34*Basisbedragen!$I$7,2)),ROUND(ROUND(Basisbedragen!$D$28*0.6,4)*Basisbedragen!$I$7,2))+Basisbedragen!$I$10)</f>
        <v>78.09</v>
      </c>
      <c r="E53" s="52">
        <f>MIN(MAX(ROUND(ROUND('Loonschijven_Tranches salariale'!$Q48*0.6,4)*Basisbedragen!$I$2,2),ROUND(Basisbedragen!$D$35*Basisbedragen!$I$2,2)),ROUND(ROUND(Basisbedragen!$D$29*0.6,4)*Basisbedragen!$I$2,2))</f>
        <v>70.989999999999995</v>
      </c>
      <c r="F53" s="38"/>
      <c r="G53" s="52">
        <f t="shared" si="0"/>
        <v>70.989999999999995</v>
      </c>
      <c r="H53" s="38"/>
      <c r="I53" s="52">
        <f>IF(MIN(MAX(ROUND(ROUND('Loonschijven_Tranches salariale'!$Q48*0.65,4)*Basisbedragen!$I$7,2),ROUND(Basisbedragen!$D$36*Basisbedragen!$I$7,2)),ROUND(ROUND(Basisbedragen!$D$27*0.65,4)*Basisbedragen!$I$7,2))&lt;= Basisbedragen!$I$8,MIN(MAX(ROUND(ROUND('Loonschijven_Tranches salariale'!$Q48*0.65,4)*Basisbedragen!$I$2,2),ROUND(Basisbedragen!$D$36*Basisbedragen!$I$2,2)),ROUND(ROUND(Basisbedragen!$D$27*0.65,4)*Basisbedragen!$I$2,2)),MIN(MAX(ROUND(ROUND('Loonschijven_Tranches salariale'!$Q48*0.65,4)*Basisbedragen!$I$7,2),ROUND(Basisbedragen!$D$36*Basisbedragen!$I$7,2)),ROUND(ROUND(Basisbedragen!$D$27*0.65,4)*Basisbedragen!$I$7,2))+Basisbedragen!$I$10)</f>
        <v>63.29</v>
      </c>
      <c r="J53" s="52">
        <f>IF(MIN(MAX(ROUND(ROUND('Loonschijven_Tranches salariale'!$Q48*0.6,4)*Basisbedragen!$I$7,2),ROUND(Basisbedragen!$D$36*Basisbedragen!$I$7,2)),ROUND(ROUND(Basisbedragen!$D$28*0.6,4)*Basisbedragen!$I$7,2))&lt;= Basisbedragen!$I$8,MIN(MAX(ROUND(ROUND('Loonschijven_Tranches salariale'!$Q48*0.6,4)*Basisbedragen!$I$2,2),ROUND(Basisbedragen!$D$36*Basisbedragen!$I$2,2)),ROUND(ROUND(Basisbedragen!$D$28*0.6,4)*Basisbedragen!$I$2,2)),MIN(MAX(ROUND(ROUND('Loonschijven_Tranches salariale'!$Q48*0.6,4)*Basisbedragen!$I$7,2),ROUND(Basisbedragen!$D$36*Basisbedragen!$I$7,2)),ROUND(ROUND(Basisbedragen!$D$28*0.6,4)*Basisbedragen!$I$7,2))+Basisbedragen!$I$10)</f>
        <v>63.29</v>
      </c>
      <c r="K53" s="52">
        <f>MIN(MAX(ROUND(ROUND('Loonschijven_Tranches salariale'!$Q48*0.6,4)*Basisbedragen!$I$2,2),ROUND(Basisbedragen!$D$37*Basisbedragen!$I$2,2)),ROUND(ROUND(Basisbedragen!$D$29*0.6,4)*Basisbedragen!$I$2,2))</f>
        <v>57.53</v>
      </c>
      <c r="L53" s="38"/>
      <c r="M53" s="52">
        <f t="shared" si="1"/>
        <v>57.53</v>
      </c>
      <c r="N53" s="38"/>
      <c r="O53" s="52">
        <f>IF(MIN(MAX(ROUND(ROUND('Loonschijven_Tranches salariale'!$Q48*0.65,4)*Basisbedragen!$I$7,2),ROUND(Basisbedragen!$D$38*Basisbedragen!$I$7,2)),ROUND(ROUND(Basisbedragen!$D$27*0.65,4)*Basisbedragen!$I$7,2))&lt;= Basisbedragen!$I$8,MIN(MAX(ROUND(ROUND('Loonschijven_Tranches salariale'!$Q48*0.65,4)*Basisbedragen!$I$2,2),ROUND(Basisbedragen!$D$38*Basisbedragen!$I$2,2)),ROUND(ROUND(Basisbedragen!$D$27*0.65,4)*Basisbedragen!$I$2,2)),MIN(MAX(ROUND(ROUND('Loonschijven_Tranches salariale'!$Q48*0.65,4)*Basisbedragen!$I$7,2),ROUND(Basisbedragen!$D$38*Basisbedragen!$I$7,2)),ROUND(ROUND(Basisbedragen!$D$27*0.65,4)*Basisbedragen!$I$7,2))+Basisbedragen!$I$10)</f>
        <v>60.92</v>
      </c>
      <c r="P53" s="52">
        <f>IF(MIN(MAX(ROUND(ROUND('Loonschijven_Tranches salariale'!$Q48*0.6,4)*Basisbedragen!$I$7,2),ROUND(Basisbedragen!$D$39*Basisbedragen!$I$7,2)),ROUND(ROUND(Basisbedragen!$D$28*0.6,4)*Basisbedragen!$I$7,2))&lt;= Basisbedragen!$I$8,MIN(MAX(ROUND(ROUND('Loonschijven_Tranches salariale'!$Q48*0.6,4)*Basisbedragen!$I$2,2),ROUND(Basisbedragen!$D$39*Basisbedragen!$I$2,2)),ROUND(ROUND(Basisbedragen!$D$28*0.6,4)*Basisbedragen!$I$2,2)),MIN(MAX(ROUND(ROUND('Loonschijven_Tranches salariale'!$Q48*0.6,4)*Basisbedragen!$I$7,2),ROUND(Basisbedragen!$D$39*Basisbedragen!$I$7,2)),ROUND(ROUND(Basisbedragen!$D$28*0.6,4)*Basisbedragen!$I$7,2))+Basisbedragen!$I$10)</f>
        <v>56.23</v>
      </c>
      <c r="Q53" s="52">
        <f>MIN(MAX(ROUND(ROUND('Loonschijven_Tranches salariale'!$Q48*0.6,4)*Basisbedragen!$I$2,2),ROUND(Basisbedragen!$D$40*Basisbedragen!$I$2,2)),ROUND(ROUND(Basisbedragen!$D$29*0.6,4)*Basisbedragen!$I$2,2))</f>
        <v>51.12</v>
      </c>
      <c r="R53" s="38"/>
      <c r="S53" s="52">
        <f t="shared" si="2"/>
        <v>42.37</v>
      </c>
      <c r="T53" s="52">
        <f t="shared" si="3"/>
        <v>29.85</v>
      </c>
    </row>
    <row r="54" spans="1:20" ht="15.75" customHeight="1" collapsed="1" thickBot="1">
      <c r="A54" s="47">
        <f t="shared" si="4"/>
        <v>42</v>
      </c>
      <c r="C54" s="52">
        <f>IF(MIN(MAX(ROUND(ROUND('Loonschijven_Tranches salariale'!$Q49*0.65,4)*Basisbedragen!$I$7,2),ROUND(Basisbedragen!$D$34*Basisbedragen!$I$7,2)),ROUND(ROUND(Basisbedragen!$D$27*0.65,4)*Basisbedragen!$I$7,2))&lt;= Basisbedragen!$I$8,MIN(MAX(ROUND(ROUND('Loonschijven_Tranches salariale'!$Q49*0.65,4)*Basisbedragen!$I$2,2),ROUND(Basisbedragen!$D$34*Basisbedragen!$I$2,2)),ROUND(ROUND(Basisbedragen!$D$27*0.65,4)*Basisbedragen!$I$2,2)),MIN(MAX(ROUND(ROUND('Loonschijven_Tranches salariale'!$Q49*0.65,4)*Basisbedragen!$I$7,2),ROUND(Basisbedragen!$D$34*Basisbedragen!$I$7,2)),ROUND(ROUND(Basisbedragen!$D$27*0.65,4)*Basisbedragen!$I$7,2))+Basisbedragen!$I$10)</f>
        <v>78.09</v>
      </c>
      <c r="D54" s="52">
        <f>IF(MIN(MAX(ROUND(ROUND('Loonschijven_Tranches salariale'!$Q49*0.6,4)*Basisbedragen!$I$7,2),ROUND(Basisbedragen!$D$34*Basisbedragen!$I$7,2)),ROUND(ROUND(Basisbedragen!$D$28*0.6,4)*Basisbedragen!$I$7,2))&lt;= Basisbedragen!$I$8,MIN(MAX(ROUND(ROUND('Loonschijven_Tranches salariale'!$Q49*0.6,4)*Basisbedragen!$I$2,2),ROUND(Basisbedragen!$D$34*Basisbedragen!$I$2,2)),ROUND(ROUND(Basisbedragen!$D$28*0.6,4)*Basisbedragen!$I$2,2)),MIN(MAX(ROUND(ROUND('Loonschijven_Tranches salariale'!$Q49*0.6,4)*Basisbedragen!$I$7,2),ROUND(Basisbedragen!$D$34*Basisbedragen!$I$7,2)),ROUND(ROUND(Basisbedragen!$D$28*0.6,4)*Basisbedragen!$I$7,2))+Basisbedragen!$I$10)</f>
        <v>78.09</v>
      </c>
      <c r="E54" s="52">
        <f>MIN(MAX(ROUND(ROUND('Loonschijven_Tranches salariale'!$Q49*0.6,4)*Basisbedragen!$I$2,2),ROUND(Basisbedragen!$D$35*Basisbedragen!$I$2,2)),ROUND(ROUND(Basisbedragen!$D$29*0.6,4)*Basisbedragen!$I$2,2))</f>
        <v>70.989999999999995</v>
      </c>
      <c r="F54" s="38"/>
      <c r="G54" s="52">
        <f t="shared" si="0"/>
        <v>70.989999999999995</v>
      </c>
      <c r="H54" s="38"/>
      <c r="I54" s="52">
        <f>IF(MIN(MAX(ROUND(ROUND('Loonschijven_Tranches salariale'!$Q49*0.65,4)*Basisbedragen!$I$7,2),ROUND(Basisbedragen!$D$36*Basisbedragen!$I$7,2)),ROUND(ROUND(Basisbedragen!$D$27*0.65,4)*Basisbedragen!$I$7,2))&lt;= Basisbedragen!$I$8,MIN(MAX(ROUND(ROUND('Loonschijven_Tranches salariale'!$Q49*0.65,4)*Basisbedragen!$I$2,2),ROUND(Basisbedragen!$D$36*Basisbedragen!$I$2,2)),ROUND(ROUND(Basisbedragen!$D$27*0.65,4)*Basisbedragen!$I$2,2)),MIN(MAX(ROUND(ROUND('Loonschijven_Tranches salariale'!$Q49*0.65,4)*Basisbedragen!$I$7,2),ROUND(Basisbedragen!$D$36*Basisbedragen!$I$7,2)),ROUND(ROUND(Basisbedragen!$D$27*0.65,4)*Basisbedragen!$I$7,2))+Basisbedragen!$I$10)</f>
        <v>63.29</v>
      </c>
      <c r="J54" s="52">
        <f>IF(MIN(MAX(ROUND(ROUND('Loonschijven_Tranches salariale'!$Q49*0.6,4)*Basisbedragen!$I$7,2),ROUND(Basisbedragen!$D$36*Basisbedragen!$I$7,2)),ROUND(ROUND(Basisbedragen!$D$28*0.6,4)*Basisbedragen!$I$7,2))&lt;= Basisbedragen!$I$8,MIN(MAX(ROUND(ROUND('Loonschijven_Tranches salariale'!$Q49*0.6,4)*Basisbedragen!$I$2,2),ROUND(Basisbedragen!$D$36*Basisbedragen!$I$2,2)),ROUND(ROUND(Basisbedragen!$D$28*0.6,4)*Basisbedragen!$I$2,2)),MIN(MAX(ROUND(ROUND('Loonschijven_Tranches salariale'!$Q49*0.6,4)*Basisbedragen!$I$7,2),ROUND(Basisbedragen!$D$36*Basisbedragen!$I$7,2)),ROUND(ROUND(Basisbedragen!$D$28*0.6,4)*Basisbedragen!$I$7,2))+Basisbedragen!$I$10)</f>
        <v>63.29</v>
      </c>
      <c r="K54" s="52">
        <f>MIN(MAX(ROUND(ROUND('Loonschijven_Tranches salariale'!$Q49*0.6,4)*Basisbedragen!$I$2,2),ROUND(Basisbedragen!$D$37*Basisbedragen!$I$2,2)),ROUND(ROUND(Basisbedragen!$D$29*0.6,4)*Basisbedragen!$I$2,2))</f>
        <v>57.53</v>
      </c>
      <c r="L54" s="38"/>
      <c r="M54" s="52">
        <f t="shared" si="1"/>
        <v>57.53</v>
      </c>
      <c r="N54" s="38"/>
      <c r="O54" s="52">
        <f>IF(MIN(MAX(ROUND(ROUND('Loonschijven_Tranches salariale'!$Q49*0.65,4)*Basisbedragen!$I$7,2),ROUND(Basisbedragen!$D$38*Basisbedragen!$I$7,2)),ROUND(ROUND(Basisbedragen!$D$27*0.65,4)*Basisbedragen!$I$7,2))&lt;= Basisbedragen!$I$8,MIN(MAX(ROUND(ROUND('Loonschijven_Tranches salariale'!$Q49*0.65,4)*Basisbedragen!$I$2,2),ROUND(Basisbedragen!$D$38*Basisbedragen!$I$2,2)),ROUND(ROUND(Basisbedragen!$D$27*0.65,4)*Basisbedragen!$I$2,2)),MIN(MAX(ROUND(ROUND('Loonschijven_Tranches salariale'!$Q49*0.65,4)*Basisbedragen!$I$7,2),ROUND(Basisbedragen!$D$38*Basisbedragen!$I$7,2)),ROUND(ROUND(Basisbedragen!$D$27*0.65,4)*Basisbedragen!$I$7,2))+Basisbedragen!$I$10)</f>
        <v>60.92</v>
      </c>
      <c r="P54" s="52">
        <f>IF(MIN(MAX(ROUND(ROUND('Loonschijven_Tranches salariale'!$Q49*0.6,4)*Basisbedragen!$I$7,2),ROUND(Basisbedragen!$D$39*Basisbedragen!$I$7,2)),ROUND(ROUND(Basisbedragen!$D$28*0.6,4)*Basisbedragen!$I$7,2))&lt;= Basisbedragen!$I$8,MIN(MAX(ROUND(ROUND('Loonschijven_Tranches salariale'!$Q49*0.6,4)*Basisbedragen!$I$2,2),ROUND(Basisbedragen!$D$39*Basisbedragen!$I$2,2)),ROUND(ROUND(Basisbedragen!$D$28*0.6,4)*Basisbedragen!$I$2,2)),MIN(MAX(ROUND(ROUND('Loonschijven_Tranches salariale'!$Q49*0.6,4)*Basisbedragen!$I$7,2),ROUND(Basisbedragen!$D$39*Basisbedragen!$I$7,2)),ROUND(ROUND(Basisbedragen!$D$28*0.6,4)*Basisbedragen!$I$7,2))+Basisbedragen!$I$10)</f>
        <v>56.23</v>
      </c>
      <c r="Q54" s="52">
        <f>MIN(MAX(ROUND(ROUND('Loonschijven_Tranches salariale'!$Q49*0.6,4)*Basisbedragen!$I$2,2),ROUND(Basisbedragen!$D$40*Basisbedragen!$I$2,2)),ROUND(ROUND(Basisbedragen!$D$29*0.6,4)*Basisbedragen!$I$2,2))</f>
        <v>51.12</v>
      </c>
      <c r="R54" s="38"/>
      <c r="S54" s="52">
        <f t="shared" si="2"/>
        <v>42.37</v>
      </c>
      <c r="T54" s="52">
        <f t="shared" si="3"/>
        <v>29.85</v>
      </c>
    </row>
    <row r="55" spans="1:20" ht="15.75" customHeight="1" thickBot="1">
      <c r="A55" s="47">
        <f t="shared" si="4"/>
        <v>43</v>
      </c>
      <c r="C55" s="52">
        <f>IF(MIN(MAX(ROUND(ROUND('Loonschijven_Tranches salariale'!$Q50*0.65,4)*Basisbedragen!$I$7,2),ROUND(Basisbedragen!$D$34*Basisbedragen!$I$7,2)),ROUND(ROUND(Basisbedragen!$D$27*0.65,4)*Basisbedragen!$I$7,2))&lt;= Basisbedragen!$I$8,MIN(MAX(ROUND(ROUND('Loonschijven_Tranches salariale'!$Q50*0.65,4)*Basisbedragen!$I$2,2),ROUND(Basisbedragen!$D$34*Basisbedragen!$I$2,2)),ROUND(ROUND(Basisbedragen!$D$27*0.65,4)*Basisbedragen!$I$2,2)),MIN(MAX(ROUND(ROUND('Loonschijven_Tranches salariale'!$Q50*0.65,4)*Basisbedragen!$I$7,2),ROUND(Basisbedragen!$D$34*Basisbedragen!$I$7,2)),ROUND(ROUND(Basisbedragen!$D$27*0.65,4)*Basisbedragen!$I$7,2))+Basisbedragen!$I$10)</f>
        <v>78.09</v>
      </c>
      <c r="D55" s="52">
        <f>IF(MIN(MAX(ROUND(ROUND('Loonschijven_Tranches salariale'!$Q50*0.6,4)*Basisbedragen!$I$7,2),ROUND(Basisbedragen!$D$34*Basisbedragen!$I$7,2)),ROUND(ROUND(Basisbedragen!$D$28*0.6,4)*Basisbedragen!$I$7,2))&lt;= Basisbedragen!$I$8,MIN(MAX(ROUND(ROUND('Loonschijven_Tranches salariale'!$Q50*0.6,4)*Basisbedragen!$I$2,2),ROUND(Basisbedragen!$D$34*Basisbedragen!$I$2,2)),ROUND(ROUND(Basisbedragen!$D$28*0.6,4)*Basisbedragen!$I$2,2)),MIN(MAX(ROUND(ROUND('Loonschijven_Tranches salariale'!$Q50*0.6,4)*Basisbedragen!$I$7,2),ROUND(Basisbedragen!$D$34*Basisbedragen!$I$7,2)),ROUND(ROUND(Basisbedragen!$D$28*0.6,4)*Basisbedragen!$I$7,2))+Basisbedragen!$I$10)</f>
        <v>78.09</v>
      </c>
      <c r="E55" s="52">
        <f>MIN(MAX(ROUND(ROUND('Loonschijven_Tranches salariale'!$Q50*0.6,4)*Basisbedragen!$I$2,2),ROUND(Basisbedragen!$D$35*Basisbedragen!$I$2,2)),ROUND(ROUND(Basisbedragen!$D$29*0.6,4)*Basisbedragen!$I$2,2))</f>
        <v>70.989999999999995</v>
      </c>
      <c r="F55" s="38"/>
      <c r="G55" s="52">
        <f t="shared" si="0"/>
        <v>70.989999999999995</v>
      </c>
      <c r="H55" s="38"/>
      <c r="I55" s="52">
        <f>IF(MIN(MAX(ROUND(ROUND('Loonschijven_Tranches salariale'!$Q50*0.65,4)*Basisbedragen!$I$7,2),ROUND(Basisbedragen!$D$36*Basisbedragen!$I$7,2)),ROUND(ROUND(Basisbedragen!$D$27*0.65,4)*Basisbedragen!$I$7,2))&lt;= Basisbedragen!$I$8,MIN(MAX(ROUND(ROUND('Loonschijven_Tranches salariale'!$Q50*0.65,4)*Basisbedragen!$I$2,2),ROUND(Basisbedragen!$D$36*Basisbedragen!$I$2,2)),ROUND(ROUND(Basisbedragen!$D$27*0.65,4)*Basisbedragen!$I$2,2)),MIN(MAX(ROUND(ROUND('Loonschijven_Tranches salariale'!$Q50*0.65,4)*Basisbedragen!$I$7,2),ROUND(Basisbedragen!$D$36*Basisbedragen!$I$7,2)),ROUND(ROUND(Basisbedragen!$D$27*0.65,4)*Basisbedragen!$I$7,2))+Basisbedragen!$I$10)</f>
        <v>63.29</v>
      </c>
      <c r="J55" s="52">
        <f>IF(MIN(MAX(ROUND(ROUND('Loonschijven_Tranches salariale'!$Q50*0.6,4)*Basisbedragen!$I$7,2),ROUND(Basisbedragen!$D$36*Basisbedragen!$I$7,2)),ROUND(ROUND(Basisbedragen!$D$28*0.6,4)*Basisbedragen!$I$7,2))&lt;= Basisbedragen!$I$8,MIN(MAX(ROUND(ROUND('Loonschijven_Tranches salariale'!$Q50*0.6,4)*Basisbedragen!$I$2,2),ROUND(Basisbedragen!$D$36*Basisbedragen!$I$2,2)),ROUND(ROUND(Basisbedragen!$D$28*0.6,4)*Basisbedragen!$I$2,2)),MIN(MAX(ROUND(ROUND('Loonschijven_Tranches salariale'!$Q50*0.6,4)*Basisbedragen!$I$7,2),ROUND(Basisbedragen!$D$36*Basisbedragen!$I$7,2)),ROUND(ROUND(Basisbedragen!$D$28*0.6,4)*Basisbedragen!$I$7,2))+Basisbedragen!$I$10)</f>
        <v>63.29</v>
      </c>
      <c r="K55" s="52">
        <f>MIN(MAX(ROUND(ROUND('Loonschijven_Tranches salariale'!$Q50*0.6,4)*Basisbedragen!$I$2,2),ROUND(Basisbedragen!$D$37*Basisbedragen!$I$2,2)),ROUND(ROUND(Basisbedragen!$D$29*0.6,4)*Basisbedragen!$I$2,2))</f>
        <v>57.53</v>
      </c>
      <c r="L55" s="38"/>
      <c r="M55" s="52">
        <f t="shared" si="1"/>
        <v>57.53</v>
      </c>
      <c r="N55" s="38"/>
      <c r="O55" s="52">
        <f>IF(MIN(MAX(ROUND(ROUND('Loonschijven_Tranches salariale'!$Q50*0.65,4)*Basisbedragen!$I$7,2),ROUND(Basisbedragen!$D$38*Basisbedragen!$I$7,2)),ROUND(ROUND(Basisbedragen!$D$27*0.65,4)*Basisbedragen!$I$7,2))&lt;= Basisbedragen!$I$8,MIN(MAX(ROUND(ROUND('Loonschijven_Tranches salariale'!$Q50*0.65,4)*Basisbedragen!$I$2,2),ROUND(Basisbedragen!$D$38*Basisbedragen!$I$2,2)),ROUND(ROUND(Basisbedragen!$D$27*0.65,4)*Basisbedragen!$I$2,2)),MIN(MAX(ROUND(ROUND('Loonschijven_Tranches salariale'!$Q50*0.65,4)*Basisbedragen!$I$7,2),ROUND(Basisbedragen!$D$38*Basisbedragen!$I$7,2)),ROUND(ROUND(Basisbedragen!$D$27*0.65,4)*Basisbedragen!$I$7,2))+Basisbedragen!$I$10)</f>
        <v>60.92</v>
      </c>
      <c r="P55" s="52">
        <f>IF(MIN(MAX(ROUND(ROUND('Loonschijven_Tranches salariale'!$Q50*0.6,4)*Basisbedragen!$I$7,2),ROUND(Basisbedragen!$D$39*Basisbedragen!$I$7,2)),ROUND(ROUND(Basisbedragen!$D$28*0.6,4)*Basisbedragen!$I$7,2))&lt;= Basisbedragen!$I$8,MIN(MAX(ROUND(ROUND('Loonschijven_Tranches salariale'!$Q50*0.6,4)*Basisbedragen!$I$2,2),ROUND(Basisbedragen!$D$39*Basisbedragen!$I$2,2)),ROUND(ROUND(Basisbedragen!$D$28*0.6,4)*Basisbedragen!$I$2,2)),MIN(MAX(ROUND(ROUND('Loonschijven_Tranches salariale'!$Q50*0.6,4)*Basisbedragen!$I$7,2),ROUND(Basisbedragen!$D$39*Basisbedragen!$I$7,2)),ROUND(ROUND(Basisbedragen!$D$28*0.6,4)*Basisbedragen!$I$7,2))+Basisbedragen!$I$10)</f>
        <v>56.23</v>
      </c>
      <c r="Q55" s="52">
        <f>MIN(MAX(ROUND(ROUND('Loonschijven_Tranches salariale'!$Q50*0.6,4)*Basisbedragen!$I$2,2),ROUND(Basisbedragen!$D$40*Basisbedragen!$I$2,2)),ROUND(ROUND(Basisbedragen!$D$29*0.6,4)*Basisbedragen!$I$2,2))</f>
        <v>51.6</v>
      </c>
      <c r="R55" s="38"/>
      <c r="S55" s="52">
        <f t="shared" si="2"/>
        <v>42.37</v>
      </c>
      <c r="T55" s="52">
        <f t="shared" si="3"/>
        <v>29.85</v>
      </c>
    </row>
    <row r="56" spans="1:20" ht="15.75" customHeight="1" thickBot="1">
      <c r="A56" s="47">
        <f t="shared" si="4"/>
        <v>44</v>
      </c>
      <c r="C56" s="52">
        <f>IF(MIN(MAX(ROUND(ROUND('Loonschijven_Tranches salariale'!$Q51*0.65,4)*Basisbedragen!$I$7,2),ROUND(Basisbedragen!$D$34*Basisbedragen!$I$7,2)),ROUND(ROUND(Basisbedragen!$D$27*0.65,4)*Basisbedragen!$I$7,2))&lt;= Basisbedragen!$I$8,MIN(MAX(ROUND(ROUND('Loonschijven_Tranches salariale'!$Q51*0.65,4)*Basisbedragen!$I$2,2),ROUND(Basisbedragen!$D$34*Basisbedragen!$I$2,2)),ROUND(ROUND(Basisbedragen!$D$27*0.65,4)*Basisbedragen!$I$2,2)),MIN(MAX(ROUND(ROUND('Loonschijven_Tranches salariale'!$Q51*0.65,4)*Basisbedragen!$I$7,2),ROUND(Basisbedragen!$D$34*Basisbedragen!$I$7,2)),ROUND(ROUND(Basisbedragen!$D$27*0.65,4)*Basisbedragen!$I$7,2))+Basisbedragen!$I$10)</f>
        <v>78.09</v>
      </c>
      <c r="D56" s="52">
        <f>IF(MIN(MAX(ROUND(ROUND('Loonschijven_Tranches salariale'!$Q51*0.6,4)*Basisbedragen!$I$7,2),ROUND(Basisbedragen!$D$34*Basisbedragen!$I$7,2)),ROUND(ROUND(Basisbedragen!$D$28*0.6,4)*Basisbedragen!$I$7,2))&lt;= Basisbedragen!$I$8,MIN(MAX(ROUND(ROUND('Loonschijven_Tranches salariale'!$Q51*0.6,4)*Basisbedragen!$I$2,2),ROUND(Basisbedragen!$D$34*Basisbedragen!$I$2,2)),ROUND(ROUND(Basisbedragen!$D$28*0.6,4)*Basisbedragen!$I$2,2)),MIN(MAX(ROUND(ROUND('Loonschijven_Tranches salariale'!$Q51*0.6,4)*Basisbedragen!$I$7,2),ROUND(Basisbedragen!$D$34*Basisbedragen!$I$7,2)),ROUND(ROUND(Basisbedragen!$D$28*0.6,4)*Basisbedragen!$I$7,2))+Basisbedragen!$I$10)</f>
        <v>78.09</v>
      </c>
      <c r="E56" s="52">
        <f>MIN(MAX(ROUND(ROUND('Loonschijven_Tranches salariale'!$Q51*0.6,4)*Basisbedragen!$I$2,2),ROUND(Basisbedragen!$D$35*Basisbedragen!$I$2,2)),ROUND(ROUND(Basisbedragen!$D$29*0.6,4)*Basisbedragen!$I$2,2))</f>
        <v>70.989999999999995</v>
      </c>
      <c r="F56" s="38"/>
      <c r="G56" s="52">
        <f t="shared" si="0"/>
        <v>70.989999999999995</v>
      </c>
      <c r="H56" s="38"/>
      <c r="I56" s="52">
        <f>IF(MIN(MAX(ROUND(ROUND('Loonschijven_Tranches salariale'!$Q51*0.65,4)*Basisbedragen!$I$7,2),ROUND(Basisbedragen!$D$36*Basisbedragen!$I$7,2)),ROUND(ROUND(Basisbedragen!$D$27*0.65,4)*Basisbedragen!$I$7,2))&lt;= Basisbedragen!$I$8,MIN(MAX(ROUND(ROUND('Loonschijven_Tranches salariale'!$Q51*0.65,4)*Basisbedragen!$I$2,2),ROUND(Basisbedragen!$D$36*Basisbedragen!$I$2,2)),ROUND(ROUND(Basisbedragen!$D$27*0.65,4)*Basisbedragen!$I$2,2)),MIN(MAX(ROUND(ROUND('Loonschijven_Tranches salariale'!$Q51*0.65,4)*Basisbedragen!$I$7,2),ROUND(Basisbedragen!$D$36*Basisbedragen!$I$7,2)),ROUND(ROUND(Basisbedragen!$D$27*0.65,4)*Basisbedragen!$I$7,2))+Basisbedragen!$I$10)</f>
        <v>63.29</v>
      </c>
      <c r="J56" s="52">
        <f>IF(MIN(MAX(ROUND(ROUND('Loonschijven_Tranches salariale'!$Q51*0.6,4)*Basisbedragen!$I$7,2),ROUND(Basisbedragen!$D$36*Basisbedragen!$I$7,2)),ROUND(ROUND(Basisbedragen!$D$28*0.6,4)*Basisbedragen!$I$7,2))&lt;= Basisbedragen!$I$8,MIN(MAX(ROUND(ROUND('Loonschijven_Tranches salariale'!$Q51*0.6,4)*Basisbedragen!$I$2,2),ROUND(Basisbedragen!$D$36*Basisbedragen!$I$2,2)),ROUND(ROUND(Basisbedragen!$D$28*0.6,4)*Basisbedragen!$I$2,2)),MIN(MAX(ROUND(ROUND('Loonschijven_Tranches salariale'!$Q51*0.6,4)*Basisbedragen!$I$7,2),ROUND(Basisbedragen!$D$36*Basisbedragen!$I$7,2)),ROUND(ROUND(Basisbedragen!$D$28*0.6,4)*Basisbedragen!$I$7,2))+Basisbedragen!$I$10)</f>
        <v>63.29</v>
      </c>
      <c r="K56" s="52">
        <f>MIN(MAX(ROUND(ROUND('Loonschijven_Tranches salariale'!$Q51*0.6,4)*Basisbedragen!$I$2,2),ROUND(Basisbedragen!$D$37*Basisbedragen!$I$2,2)),ROUND(ROUND(Basisbedragen!$D$29*0.6,4)*Basisbedragen!$I$2,2))</f>
        <v>57.53</v>
      </c>
      <c r="L56" s="38"/>
      <c r="M56" s="52">
        <f t="shared" si="1"/>
        <v>57.53</v>
      </c>
      <c r="N56" s="38"/>
      <c r="O56" s="52">
        <f>IF(MIN(MAX(ROUND(ROUND('Loonschijven_Tranches salariale'!$Q51*0.65,4)*Basisbedragen!$I$7,2),ROUND(Basisbedragen!$D$38*Basisbedragen!$I$7,2)),ROUND(ROUND(Basisbedragen!$D$27*0.65,4)*Basisbedragen!$I$7,2))&lt;= Basisbedragen!$I$8,MIN(MAX(ROUND(ROUND('Loonschijven_Tranches salariale'!$Q51*0.65,4)*Basisbedragen!$I$2,2),ROUND(Basisbedragen!$D$38*Basisbedragen!$I$2,2)),ROUND(ROUND(Basisbedragen!$D$27*0.65,4)*Basisbedragen!$I$2,2)),MIN(MAX(ROUND(ROUND('Loonschijven_Tranches salariale'!$Q51*0.65,4)*Basisbedragen!$I$7,2),ROUND(Basisbedragen!$D$38*Basisbedragen!$I$7,2)),ROUND(ROUND(Basisbedragen!$D$27*0.65,4)*Basisbedragen!$I$7,2))+Basisbedragen!$I$10)</f>
        <v>60.92</v>
      </c>
      <c r="P56" s="52">
        <f>IF(MIN(MAX(ROUND(ROUND('Loonschijven_Tranches salariale'!$Q51*0.6,4)*Basisbedragen!$I$7,2),ROUND(Basisbedragen!$D$39*Basisbedragen!$I$7,2)),ROUND(ROUND(Basisbedragen!$D$28*0.6,4)*Basisbedragen!$I$7,2))&lt;= Basisbedragen!$I$8,MIN(MAX(ROUND(ROUND('Loonschijven_Tranches salariale'!$Q51*0.6,4)*Basisbedragen!$I$2,2),ROUND(Basisbedragen!$D$39*Basisbedragen!$I$2,2)),ROUND(ROUND(Basisbedragen!$D$28*0.6,4)*Basisbedragen!$I$2,2)),MIN(MAX(ROUND(ROUND('Loonschijven_Tranches salariale'!$Q51*0.6,4)*Basisbedragen!$I$7,2),ROUND(Basisbedragen!$D$39*Basisbedragen!$I$7,2)),ROUND(ROUND(Basisbedragen!$D$28*0.6,4)*Basisbedragen!$I$7,2))+Basisbedragen!$I$10)</f>
        <v>56.23</v>
      </c>
      <c r="Q56" s="52">
        <f>MIN(MAX(ROUND(ROUND('Loonschijven_Tranches salariale'!$Q51*0.6,4)*Basisbedragen!$I$2,2),ROUND(Basisbedragen!$D$40*Basisbedragen!$I$2,2)),ROUND(ROUND(Basisbedragen!$D$29*0.6,4)*Basisbedragen!$I$2,2))</f>
        <v>52.53</v>
      </c>
      <c r="R56" s="38"/>
      <c r="S56" s="52">
        <f t="shared" si="2"/>
        <v>42.37</v>
      </c>
      <c r="T56" s="52">
        <f t="shared" si="3"/>
        <v>29.85</v>
      </c>
    </row>
    <row r="57" spans="1:20" ht="15.75" customHeight="1" thickBot="1">
      <c r="A57" s="47">
        <f t="shared" si="4"/>
        <v>45</v>
      </c>
      <c r="C57" s="52">
        <f>IF(MIN(MAX(ROUND(ROUND('Loonschijven_Tranches salariale'!$Q52*0.65,4)*Basisbedragen!$I$7,2),ROUND(Basisbedragen!$D$34*Basisbedragen!$I$7,2)),ROUND(ROUND(Basisbedragen!$D$27*0.65,4)*Basisbedragen!$I$7,2))&lt;= Basisbedragen!$I$8,MIN(MAX(ROUND(ROUND('Loonschijven_Tranches salariale'!$Q52*0.65,4)*Basisbedragen!$I$2,2),ROUND(Basisbedragen!$D$34*Basisbedragen!$I$2,2)),ROUND(ROUND(Basisbedragen!$D$27*0.65,4)*Basisbedragen!$I$2,2)),MIN(MAX(ROUND(ROUND('Loonschijven_Tranches salariale'!$Q52*0.65,4)*Basisbedragen!$I$7,2),ROUND(Basisbedragen!$D$34*Basisbedragen!$I$7,2)),ROUND(ROUND(Basisbedragen!$D$27*0.65,4)*Basisbedragen!$I$7,2))+Basisbedragen!$I$10)</f>
        <v>78.09</v>
      </c>
      <c r="D57" s="52">
        <f>IF(MIN(MAX(ROUND(ROUND('Loonschijven_Tranches salariale'!$Q52*0.6,4)*Basisbedragen!$I$7,2),ROUND(Basisbedragen!$D$34*Basisbedragen!$I$7,2)),ROUND(ROUND(Basisbedragen!$D$28*0.6,4)*Basisbedragen!$I$7,2))&lt;= Basisbedragen!$I$8,MIN(MAX(ROUND(ROUND('Loonschijven_Tranches salariale'!$Q52*0.6,4)*Basisbedragen!$I$2,2),ROUND(Basisbedragen!$D$34*Basisbedragen!$I$2,2)),ROUND(ROUND(Basisbedragen!$D$28*0.6,4)*Basisbedragen!$I$2,2)),MIN(MAX(ROUND(ROUND('Loonschijven_Tranches salariale'!$Q52*0.6,4)*Basisbedragen!$I$7,2),ROUND(Basisbedragen!$D$34*Basisbedragen!$I$7,2)),ROUND(ROUND(Basisbedragen!$D$28*0.6,4)*Basisbedragen!$I$7,2))+Basisbedragen!$I$10)</f>
        <v>78.09</v>
      </c>
      <c r="E57" s="52">
        <f>MIN(MAX(ROUND(ROUND('Loonschijven_Tranches salariale'!$Q52*0.6,4)*Basisbedragen!$I$2,2),ROUND(Basisbedragen!$D$35*Basisbedragen!$I$2,2)),ROUND(ROUND(Basisbedragen!$D$29*0.6,4)*Basisbedragen!$I$2,2))</f>
        <v>70.989999999999995</v>
      </c>
      <c r="F57" s="38"/>
      <c r="G57" s="52">
        <f t="shared" si="0"/>
        <v>70.989999999999995</v>
      </c>
      <c r="H57" s="38"/>
      <c r="I57" s="52">
        <f>IF(MIN(MAX(ROUND(ROUND('Loonschijven_Tranches salariale'!$Q52*0.65,4)*Basisbedragen!$I$7,2),ROUND(Basisbedragen!$D$36*Basisbedragen!$I$7,2)),ROUND(ROUND(Basisbedragen!$D$27*0.65,4)*Basisbedragen!$I$7,2))&lt;= Basisbedragen!$I$8,MIN(MAX(ROUND(ROUND('Loonschijven_Tranches salariale'!$Q52*0.65,4)*Basisbedragen!$I$2,2),ROUND(Basisbedragen!$D$36*Basisbedragen!$I$2,2)),ROUND(ROUND(Basisbedragen!$D$27*0.65,4)*Basisbedragen!$I$2,2)),MIN(MAX(ROUND(ROUND('Loonschijven_Tranches salariale'!$Q52*0.65,4)*Basisbedragen!$I$7,2),ROUND(Basisbedragen!$D$36*Basisbedragen!$I$7,2)),ROUND(ROUND(Basisbedragen!$D$27*0.65,4)*Basisbedragen!$I$7,2))+Basisbedragen!$I$10)</f>
        <v>63.29</v>
      </c>
      <c r="J57" s="52">
        <f>IF(MIN(MAX(ROUND(ROUND('Loonschijven_Tranches salariale'!$Q52*0.6,4)*Basisbedragen!$I$7,2),ROUND(Basisbedragen!$D$36*Basisbedragen!$I$7,2)),ROUND(ROUND(Basisbedragen!$D$28*0.6,4)*Basisbedragen!$I$7,2))&lt;= Basisbedragen!$I$8,MIN(MAX(ROUND(ROUND('Loonschijven_Tranches salariale'!$Q52*0.6,4)*Basisbedragen!$I$2,2),ROUND(Basisbedragen!$D$36*Basisbedragen!$I$2,2)),ROUND(ROUND(Basisbedragen!$D$28*0.6,4)*Basisbedragen!$I$2,2)),MIN(MAX(ROUND(ROUND('Loonschijven_Tranches salariale'!$Q52*0.6,4)*Basisbedragen!$I$7,2),ROUND(Basisbedragen!$D$36*Basisbedragen!$I$7,2)),ROUND(ROUND(Basisbedragen!$D$28*0.6,4)*Basisbedragen!$I$7,2))+Basisbedragen!$I$10)</f>
        <v>63.29</v>
      </c>
      <c r="K57" s="52">
        <f>MIN(MAX(ROUND(ROUND('Loonschijven_Tranches salariale'!$Q52*0.6,4)*Basisbedragen!$I$2,2),ROUND(Basisbedragen!$D$37*Basisbedragen!$I$2,2)),ROUND(ROUND(Basisbedragen!$D$29*0.6,4)*Basisbedragen!$I$2,2))</f>
        <v>57.53</v>
      </c>
      <c r="L57" s="38"/>
      <c r="M57" s="52">
        <f t="shared" si="1"/>
        <v>57.53</v>
      </c>
      <c r="N57" s="38"/>
      <c r="O57" s="52">
        <f>IF(MIN(MAX(ROUND(ROUND('Loonschijven_Tranches salariale'!$Q52*0.65,4)*Basisbedragen!$I$7,2),ROUND(Basisbedragen!$D$38*Basisbedragen!$I$7,2)),ROUND(ROUND(Basisbedragen!$D$27*0.65,4)*Basisbedragen!$I$7,2))&lt;= Basisbedragen!$I$8,MIN(MAX(ROUND(ROUND('Loonschijven_Tranches salariale'!$Q52*0.65,4)*Basisbedragen!$I$2,2),ROUND(Basisbedragen!$D$38*Basisbedragen!$I$2,2)),ROUND(ROUND(Basisbedragen!$D$27*0.65,4)*Basisbedragen!$I$2,2)),MIN(MAX(ROUND(ROUND('Loonschijven_Tranches salariale'!$Q52*0.65,4)*Basisbedragen!$I$7,2),ROUND(Basisbedragen!$D$38*Basisbedragen!$I$7,2)),ROUND(ROUND(Basisbedragen!$D$27*0.65,4)*Basisbedragen!$I$7,2))+Basisbedragen!$I$10)</f>
        <v>60.92</v>
      </c>
      <c r="P57" s="52">
        <f>IF(MIN(MAX(ROUND(ROUND('Loonschijven_Tranches salariale'!$Q52*0.6,4)*Basisbedragen!$I$7,2),ROUND(Basisbedragen!$D$39*Basisbedragen!$I$7,2)),ROUND(ROUND(Basisbedragen!$D$28*0.6,4)*Basisbedragen!$I$7,2))&lt;= Basisbedragen!$I$8,MIN(MAX(ROUND(ROUND('Loonschijven_Tranches salariale'!$Q52*0.6,4)*Basisbedragen!$I$2,2),ROUND(Basisbedragen!$D$39*Basisbedragen!$I$2,2)),ROUND(ROUND(Basisbedragen!$D$28*0.6,4)*Basisbedragen!$I$2,2)),MIN(MAX(ROUND(ROUND('Loonschijven_Tranches salariale'!$Q52*0.6,4)*Basisbedragen!$I$7,2),ROUND(Basisbedragen!$D$39*Basisbedragen!$I$7,2)),ROUND(ROUND(Basisbedragen!$D$28*0.6,4)*Basisbedragen!$I$7,2))+Basisbedragen!$I$10)</f>
        <v>56.23</v>
      </c>
      <c r="Q57" s="52">
        <f>MIN(MAX(ROUND(ROUND('Loonschijven_Tranches salariale'!$Q52*0.6,4)*Basisbedragen!$I$2,2),ROUND(Basisbedragen!$D$40*Basisbedragen!$I$2,2)),ROUND(ROUND(Basisbedragen!$D$29*0.6,4)*Basisbedragen!$I$2,2))</f>
        <v>53.47</v>
      </c>
      <c r="R57" s="38"/>
      <c r="S57" s="52">
        <f t="shared" si="2"/>
        <v>42.37</v>
      </c>
      <c r="T57" s="52">
        <f t="shared" si="3"/>
        <v>29.85</v>
      </c>
    </row>
    <row r="58" spans="1:20" ht="15" thickBot="1">
      <c r="A58" s="47">
        <f t="shared" si="4"/>
        <v>46</v>
      </c>
      <c r="C58" s="52">
        <f>IF(MIN(MAX(ROUND(ROUND('Loonschijven_Tranches salariale'!$Q53*0.65,4)*Basisbedragen!$I$7,2),ROUND(Basisbedragen!$D$34*Basisbedragen!$I$7,2)),ROUND(ROUND(Basisbedragen!$D$27*0.65,4)*Basisbedragen!$I$7,2))&lt;= Basisbedragen!$I$8,MIN(MAX(ROUND(ROUND('Loonschijven_Tranches salariale'!$Q53*0.65,4)*Basisbedragen!$I$2,2),ROUND(Basisbedragen!$D$34*Basisbedragen!$I$2,2)),ROUND(ROUND(Basisbedragen!$D$27*0.65,4)*Basisbedragen!$I$2,2)),MIN(MAX(ROUND(ROUND('Loonschijven_Tranches salariale'!$Q53*0.65,4)*Basisbedragen!$I$7,2),ROUND(Basisbedragen!$D$34*Basisbedragen!$I$7,2)),ROUND(ROUND(Basisbedragen!$D$27*0.65,4)*Basisbedragen!$I$7,2))+Basisbedragen!$I$10)</f>
        <v>78.09</v>
      </c>
      <c r="D58" s="52">
        <f>IF(MIN(MAX(ROUND(ROUND('Loonschijven_Tranches salariale'!$Q53*0.6,4)*Basisbedragen!$I$7,2),ROUND(Basisbedragen!$D$34*Basisbedragen!$I$7,2)),ROUND(ROUND(Basisbedragen!$D$28*0.6,4)*Basisbedragen!$I$7,2))&lt;= Basisbedragen!$I$8,MIN(MAX(ROUND(ROUND('Loonschijven_Tranches salariale'!$Q53*0.6,4)*Basisbedragen!$I$2,2),ROUND(Basisbedragen!$D$34*Basisbedragen!$I$2,2)),ROUND(ROUND(Basisbedragen!$D$28*0.6,4)*Basisbedragen!$I$2,2)),MIN(MAX(ROUND(ROUND('Loonschijven_Tranches salariale'!$Q53*0.6,4)*Basisbedragen!$I$7,2),ROUND(Basisbedragen!$D$34*Basisbedragen!$I$7,2)),ROUND(ROUND(Basisbedragen!$D$28*0.6,4)*Basisbedragen!$I$7,2))+Basisbedragen!$I$10)</f>
        <v>78.09</v>
      </c>
      <c r="E58" s="52">
        <f>MIN(MAX(ROUND(ROUND('Loonschijven_Tranches salariale'!$Q53*0.6,4)*Basisbedragen!$I$2,2),ROUND(Basisbedragen!$D$35*Basisbedragen!$I$2,2)),ROUND(ROUND(Basisbedragen!$D$29*0.6,4)*Basisbedragen!$I$2,2))</f>
        <v>70.989999999999995</v>
      </c>
      <c r="F58" s="38"/>
      <c r="G58" s="52">
        <f t="shared" si="0"/>
        <v>70.989999999999995</v>
      </c>
      <c r="H58" s="38"/>
      <c r="I58" s="52">
        <f>IF(MIN(MAX(ROUND(ROUND('Loonschijven_Tranches salariale'!$Q53*0.65,4)*Basisbedragen!$I$7,2),ROUND(Basisbedragen!$D$36*Basisbedragen!$I$7,2)),ROUND(ROUND(Basisbedragen!$D$27*0.65,4)*Basisbedragen!$I$7,2))&lt;= Basisbedragen!$I$8,MIN(MAX(ROUND(ROUND('Loonschijven_Tranches salariale'!$Q53*0.65,4)*Basisbedragen!$I$2,2),ROUND(Basisbedragen!$D$36*Basisbedragen!$I$2,2)),ROUND(ROUND(Basisbedragen!$D$27*0.65,4)*Basisbedragen!$I$2,2)),MIN(MAX(ROUND(ROUND('Loonschijven_Tranches salariale'!$Q53*0.65,4)*Basisbedragen!$I$7,2),ROUND(Basisbedragen!$D$36*Basisbedragen!$I$7,2)),ROUND(ROUND(Basisbedragen!$D$27*0.65,4)*Basisbedragen!$I$7,2))+Basisbedragen!$I$10)</f>
        <v>63.29</v>
      </c>
      <c r="J58" s="52">
        <f>IF(MIN(MAX(ROUND(ROUND('Loonschijven_Tranches salariale'!$Q53*0.6,4)*Basisbedragen!$I$7,2),ROUND(Basisbedragen!$D$36*Basisbedragen!$I$7,2)),ROUND(ROUND(Basisbedragen!$D$28*0.6,4)*Basisbedragen!$I$7,2))&lt;= Basisbedragen!$I$8,MIN(MAX(ROUND(ROUND('Loonschijven_Tranches salariale'!$Q53*0.6,4)*Basisbedragen!$I$2,2),ROUND(Basisbedragen!$D$36*Basisbedragen!$I$2,2)),ROUND(ROUND(Basisbedragen!$D$28*0.6,4)*Basisbedragen!$I$2,2)),MIN(MAX(ROUND(ROUND('Loonschijven_Tranches salariale'!$Q53*0.6,4)*Basisbedragen!$I$7,2),ROUND(Basisbedragen!$D$36*Basisbedragen!$I$7,2)),ROUND(ROUND(Basisbedragen!$D$28*0.6,4)*Basisbedragen!$I$7,2))+Basisbedragen!$I$10)</f>
        <v>63.29</v>
      </c>
      <c r="K58" s="52">
        <f>MIN(MAX(ROUND(ROUND('Loonschijven_Tranches salariale'!$Q53*0.6,4)*Basisbedragen!$I$2,2),ROUND(Basisbedragen!$D$37*Basisbedragen!$I$2,2)),ROUND(ROUND(Basisbedragen!$D$29*0.6,4)*Basisbedragen!$I$2,2))</f>
        <v>57.53</v>
      </c>
      <c r="L58" s="38"/>
      <c r="M58" s="52">
        <f t="shared" si="1"/>
        <v>57.53</v>
      </c>
      <c r="N58" s="38"/>
      <c r="O58" s="52">
        <f>IF(MIN(MAX(ROUND(ROUND('Loonschijven_Tranches salariale'!$Q53*0.65,4)*Basisbedragen!$I$7,2),ROUND(Basisbedragen!$D$38*Basisbedragen!$I$7,2)),ROUND(ROUND(Basisbedragen!$D$27*0.65,4)*Basisbedragen!$I$7,2))&lt;= Basisbedragen!$I$8,MIN(MAX(ROUND(ROUND('Loonschijven_Tranches salariale'!$Q53*0.65,4)*Basisbedragen!$I$2,2),ROUND(Basisbedragen!$D$38*Basisbedragen!$I$2,2)),ROUND(ROUND(Basisbedragen!$D$27*0.65,4)*Basisbedragen!$I$2,2)),MIN(MAX(ROUND(ROUND('Loonschijven_Tranches salariale'!$Q53*0.65,4)*Basisbedragen!$I$7,2),ROUND(Basisbedragen!$D$38*Basisbedragen!$I$7,2)),ROUND(ROUND(Basisbedragen!$D$27*0.65,4)*Basisbedragen!$I$7,2))+Basisbedragen!$I$10)</f>
        <v>60.92</v>
      </c>
      <c r="P58" s="52">
        <f>IF(MIN(MAX(ROUND(ROUND('Loonschijven_Tranches salariale'!$Q53*0.6,4)*Basisbedragen!$I$7,2),ROUND(Basisbedragen!$D$39*Basisbedragen!$I$7,2)),ROUND(ROUND(Basisbedragen!$D$28*0.6,4)*Basisbedragen!$I$7,2))&lt;= Basisbedragen!$I$8,MIN(MAX(ROUND(ROUND('Loonschijven_Tranches salariale'!$Q53*0.6,4)*Basisbedragen!$I$2,2),ROUND(Basisbedragen!$D$39*Basisbedragen!$I$2,2)),ROUND(ROUND(Basisbedragen!$D$28*0.6,4)*Basisbedragen!$I$2,2)),MIN(MAX(ROUND(ROUND('Loonschijven_Tranches salariale'!$Q53*0.6,4)*Basisbedragen!$I$7,2),ROUND(Basisbedragen!$D$39*Basisbedragen!$I$7,2)),ROUND(ROUND(Basisbedragen!$D$28*0.6,4)*Basisbedragen!$I$7,2))+Basisbedragen!$I$10)</f>
        <v>56.23</v>
      </c>
      <c r="Q58" s="52">
        <f>MIN(MAX(ROUND(ROUND('Loonschijven_Tranches salariale'!$Q53*0.6,4)*Basisbedragen!$I$2,2),ROUND(Basisbedragen!$D$40*Basisbedragen!$I$2,2)),ROUND(ROUND(Basisbedragen!$D$29*0.6,4)*Basisbedragen!$I$2,2))</f>
        <v>54.41</v>
      </c>
      <c r="R58" s="38"/>
      <c r="S58" s="52">
        <f t="shared" si="2"/>
        <v>42.37</v>
      </c>
      <c r="T58" s="52">
        <f t="shared" si="3"/>
        <v>29.85</v>
      </c>
    </row>
    <row r="59" spans="1:20" ht="15" thickBot="1">
      <c r="A59" s="47">
        <f t="shared" si="4"/>
        <v>47</v>
      </c>
      <c r="C59" s="52">
        <f>IF(MIN(MAX(ROUND(ROUND('Loonschijven_Tranches salariale'!$Q54*0.65,4)*Basisbedragen!$I$7,2),ROUND(Basisbedragen!$D$34*Basisbedragen!$I$7,2)),ROUND(ROUND(Basisbedragen!$D$27*0.65,4)*Basisbedragen!$I$7,2))&lt;= Basisbedragen!$I$8,MIN(MAX(ROUND(ROUND('Loonschijven_Tranches salariale'!$Q54*0.65,4)*Basisbedragen!$I$2,2),ROUND(Basisbedragen!$D$34*Basisbedragen!$I$2,2)),ROUND(ROUND(Basisbedragen!$D$27*0.65,4)*Basisbedragen!$I$2,2)),MIN(MAX(ROUND(ROUND('Loonschijven_Tranches salariale'!$Q54*0.65,4)*Basisbedragen!$I$7,2),ROUND(Basisbedragen!$D$34*Basisbedragen!$I$7,2)),ROUND(ROUND(Basisbedragen!$D$27*0.65,4)*Basisbedragen!$I$7,2))+Basisbedragen!$I$10)</f>
        <v>78.09</v>
      </c>
      <c r="D59" s="52">
        <f>IF(MIN(MAX(ROUND(ROUND('Loonschijven_Tranches salariale'!$Q54*0.6,4)*Basisbedragen!$I$7,2),ROUND(Basisbedragen!$D$34*Basisbedragen!$I$7,2)),ROUND(ROUND(Basisbedragen!$D$28*0.6,4)*Basisbedragen!$I$7,2))&lt;= Basisbedragen!$I$8,MIN(MAX(ROUND(ROUND('Loonschijven_Tranches salariale'!$Q54*0.6,4)*Basisbedragen!$I$2,2),ROUND(Basisbedragen!$D$34*Basisbedragen!$I$2,2)),ROUND(ROUND(Basisbedragen!$D$28*0.6,4)*Basisbedragen!$I$2,2)),MIN(MAX(ROUND(ROUND('Loonschijven_Tranches salariale'!$Q54*0.6,4)*Basisbedragen!$I$7,2),ROUND(Basisbedragen!$D$34*Basisbedragen!$I$7,2)),ROUND(ROUND(Basisbedragen!$D$28*0.6,4)*Basisbedragen!$I$7,2))+Basisbedragen!$I$10)</f>
        <v>78.09</v>
      </c>
      <c r="E59" s="52">
        <f>MIN(MAX(ROUND(ROUND('Loonschijven_Tranches salariale'!$Q54*0.6,4)*Basisbedragen!$I$2,2),ROUND(Basisbedragen!$D$35*Basisbedragen!$I$2,2)),ROUND(ROUND(Basisbedragen!$D$29*0.6,4)*Basisbedragen!$I$2,2))</f>
        <v>70.989999999999995</v>
      </c>
      <c r="F59" s="38"/>
      <c r="G59" s="52">
        <f t="shared" si="0"/>
        <v>70.989999999999995</v>
      </c>
      <c r="H59" s="38"/>
      <c r="I59" s="52">
        <f>IF(MIN(MAX(ROUND(ROUND('Loonschijven_Tranches salariale'!$Q54*0.65,4)*Basisbedragen!$I$7,2),ROUND(Basisbedragen!$D$36*Basisbedragen!$I$7,2)),ROUND(ROUND(Basisbedragen!$D$27*0.65,4)*Basisbedragen!$I$7,2))&lt;= Basisbedragen!$I$8,MIN(MAX(ROUND(ROUND('Loonschijven_Tranches salariale'!$Q54*0.65,4)*Basisbedragen!$I$2,2),ROUND(Basisbedragen!$D$36*Basisbedragen!$I$2,2)),ROUND(ROUND(Basisbedragen!$D$27*0.65,4)*Basisbedragen!$I$2,2)),MIN(MAX(ROUND(ROUND('Loonschijven_Tranches salariale'!$Q54*0.65,4)*Basisbedragen!$I$7,2),ROUND(Basisbedragen!$D$36*Basisbedragen!$I$7,2)),ROUND(ROUND(Basisbedragen!$D$27*0.65,4)*Basisbedragen!$I$7,2))+Basisbedragen!$I$10)</f>
        <v>63.29</v>
      </c>
      <c r="J59" s="52">
        <f>IF(MIN(MAX(ROUND(ROUND('Loonschijven_Tranches salariale'!$Q54*0.6,4)*Basisbedragen!$I$7,2),ROUND(Basisbedragen!$D$36*Basisbedragen!$I$7,2)),ROUND(ROUND(Basisbedragen!$D$28*0.6,4)*Basisbedragen!$I$7,2))&lt;= Basisbedragen!$I$8,MIN(MAX(ROUND(ROUND('Loonschijven_Tranches salariale'!$Q54*0.6,4)*Basisbedragen!$I$2,2),ROUND(Basisbedragen!$D$36*Basisbedragen!$I$2,2)),ROUND(ROUND(Basisbedragen!$D$28*0.6,4)*Basisbedragen!$I$2,2)),MIN(MAX(ROUND(ROUND('Loonschijven_Tranches salariale'!$Q54*0.6,4)*Basisbedragen!$I$7,2),ROUND(Basisbedragen!$D$36*Basisbedragen!$I$7,2)),ROUND(ROUND(Basisbedragen!$D$28*0.6,4)*Basisbedragen!$I$7,2))+Basisbedragen!$I$10)</f>
        <v>63.29</v>
      </c>
      <c r="K59" s="52">
        <f>MIN(MAX(ROUND(ROUND('Loonschijven_Tranches salariale'!$Q54*0.6,4)*Basisbedragen!$I$2,2),ROUND(Basisbedragen!$D$37*Basisbedragen!$I$2,2)),ROUND(ROUND(Basisbedragen!$D$29*0.6,4)*Basisbedragen!$I$2,2))</f>
        <v>57.53</v>
      </c>
      <c r="L59" s="38"/>
      <c r="M59" s="52">
        <f t="shared" si="1"/>
        <v>57.53</v>
      </c>
      <c r="N59" s="38"/>
      <c r="O59" s="52">
        <f>IF(MIN(MAX(ROUND(ROUND('Loonschijven_Tranches salariale'!$Q54*0.65,4)*Basisbedragen!$I$7,2),ROUND(Basisbedragen!$D$38*Basisbedragen!$I$7,2)),ROUND(ROUND(Basisbedragen!$D$27*0.65,4)*Basisbedragen!$I$7,2))&lt;= Basisbedragen!$I$8,MIN(MAX(ROUND(ROUND('Loonschijven_Tranches salariale'!$Q54*0.65,4)*Basisbedragen!$I$2,2),ROUND(Basisbedragen!$D$38*Basisbedragen!$I$2,2)),ROUND(ROUND(Basisbedragen!$D$27*0.65,4)*Basisbedragen!$I$2,2)),MIN(MAX(ROUND(ROUND('Loonschijven_Tranches salariale'!$Q54*0.65,4)*Basisbedragen!$I$7,2),ROUND(Basisbedragen!$D$38*Basisbedragen!$I$7,2)),ROUND(ROUND(Basisbedragen!$D$27*0.65,4)*Basisbedragen!$I$7,2))+Basisbedragen!$I$10)</f>
        <v>60.92</v>
      </c>
      <c r="P59" s="52">
        <f>IF(MIN(MAX(ROUND(ROUND('Loonschijven_Tranches salariale'!$Q54*0.6,4)*Basisbedragen!$I$7,2),ROUND(Basisbedragen!$D$39*Basisbedragen!$I$7,2)),ROUND(ROUND(Basisbedragen!$D$28*0.6,4)*Basisbedragen!$I$7,2))&lt;= Basisbedragen!$I$8,MIN(MAX(ROUND(ROUND('Loonschijven_Tranches salariale'!$Q54*0.6,4)*Basisbedragen!$I$2,2),ROUND(Basisbedragen!$D$39*Basisbedragen!$I$2,2)),ROUND(ROUND(Basisbedragen!$D$28*0.6,4)*Basisbedragen!$I$2,2)),MIN(MAX(ROUND(ROUND('Loonschijven_Tranches salariale'!$Q54*0.6,4)*Basisbedragen!$I$7,2),ROUND(Basisbedragen!$D$39*Basisbedragen!$I$7,2)),ROUND(ROUND(Basisbedragen!$D$28*0.6,4)*Basisbedragen!$I$7,2))+Basisbedragen!$I$10)</f>
        <v>56.23</v>
      </c>
      <c r="Q59" s="52">
        <f>MIN(MAX(ROUND(ROUND('Loonschijven_Tranches salariale'!$Q54*0.6,4)*Basisbedragen!$I$2,2),ROUND(Basisbedragen!$D$40*Basisbedragen!$I$2,2)),ROUND(ROUND(Basisbedragen!$D$29*0.6,4)*Basisbedragen!$I$2,2))</f>
        <v>55.35</v>
      </c>
      <c r="R59" s="38"/>
      <c r="S59" s="52">
        <f t="shared" si="2"/>
        <v>42.37</v>
      </c>
      <c r="T59" s="52">
        <f t="shared" si="3"/>
        <v>29.85</v>
      </c>
    </row>
    <row r="60" spans="1:20" ht="15" thickBot="1">
      <c r="A60" s="47">
        <f t="shared" si="4"/>
        <v>48</v>
      </c>
      <c r="C60" s="52">
        <f>IF(MIN(MAX(ROUND(ROUND('Loonschijven_Tranches salariale'!$Q55*0.65,4)*Basisbedragen!$I$7,2),ROUND(Basisbedragen!$D$34*Basisbedragen!$I$7,2)),ROUND(ROUND(Basisbedragen!$D$27*0.65,4)*Basisbedragen!$I$7,2))&lt;= Basisbedragen!$I$8,MIN(MAX(ROUND(ROUND('Loonschijven_Tranches salariale'!$Q55*0.65,4)*Basisbedragen!$I$2,2),ROUND(Basisbedragen!$D$34*Basisbedragen!$I$2,2)),ROUND(ROUND(Basisbedragen!$D$27*0.65,4)*Basisbedragen!$I$2,2)),MIN(MAX(ROUND(ROUND('Loonschijven_Tranches salariale'!$Q55*0.65,4)*Basisbedragen!$I$7,2),ROUND(Basisbedragen!$D$34*Basisbedragen!$I$7,2)),ROUND(ROUND(Basisbedragen!$D$27*0.65,4)*Basisbedragen!$I$7,2))+Basisbedragen!$I$10)</f>
        <v>78.09</v>
      </c>
      <c r="D60" s="52">
        <f>IF(MIN(MAX(ROUND(ROUND('Loonschijven_Tranches salariale'!$Q55*0.6,4)*Basisbedragen!$I$7,2),ROUND(Basisbedragen!$D$34*Basisbedragen!$I$7,2)),ROUND(ROUND(Basisbedragen!$D$28*0.6,4)*Basisbedragen!$I$7,2))&lt;= Basisbedragen!$I$8,MIN(MAX(ROUND(ROUND('Loonschijven_Tranches salariale'!$Q55*0.6,4)*Basisbedragen!$I$2,2),ROUND(Basisbedragen!$D$34*Basisbedragen!$I$2,2)),ROUND(ROUND(Basisbedragen!$D$28*0.6,4)*Basisbedragen!$I$2,2)),MIN(MAX(ROUND(ROUND('Loonschijven_Tranches salariale'!$Q55*0.6,4)*Basisbedragen!$I$7,2),ROUND(Basisbedragen!$D$34*Basisbedragen!$I$7,2)),ROUND(ROUND(Basisbedragen!$D$28*0.6,4)*Basisbedragen!$I$7,2))+Basisbedragen!$I$10)</f>
        <v>78.09</v>
      </c>
      <c r="E60" s="52">
        <f>MIN(MAX(ROUND(ROUND('Loonschijven_Tranches salariale'!$Q55*0.6,4)*Basisbedragen!$I$2,2),ROUND(Basisbedragen!$D$35*Basisbedragen!$I$2,2)),ROUND(ROUND(Basisbedragen!$D$29*0.6,4)*Basisbedragen!$I$2,2))</f>
        <v>70.989999999999995</v>
      </c>
      <c r="F60" s="38"/>
      <c r="G60" s="52">
        <f t="shared" si="0"/>
        <v>70.989999999999995</v>
      </c>
      <c r="H60" s="38"/>
      <c r="I60" s="52">
        <f>IF(MIN(MAX(ROUND(ROUND('Loonschijven_Tranches salariale'!$Q55*0.65,4)*Basisbedragen!$I$7,2),ROUND(Basisbedragen!$D$36*Basisbedragen!$I$7,2)),ROUND(ROUND(Basisbedragen!$D$27*0.65,4)*Basisbedragen!$I$7,2))&lt;= Basisbedragen!$I$8,MIN(MAX(ROUND(ROUND('Loonschijven_Tranches salariale'!$Q55*0.65,4)*Basisbedragen!$I$2,2),ROUND(Basisbedragen!$D$36*Basisbedragen!$I$2,2)),ROUND(ROUND(Basisbedragen!$D$27*0.65,4)*Basisbedragen!$I$2,2)),MIN(MAX(ROUND(ROUND('Loonschijven_Tranches salariale'!$Q55*0.65,4)*Basisbedragen!$I$7,2),ROUND(Basisbedragen!$D$36*Basisbedragen!$I$7,2)),ROUND(ROUND(Basisbedragen!$D$27*0.65,4)*Basisbedragen!$I$7,2))+Basisbedragen!$I$10)</f>
        <v>63.29</v>
      </c>
      <c r="J60" s="52">
        <f>IF(MIN(MAX(ROUND(ROUND('Loonschijven_Tranches salariale'!$Q55*0.6,4)*Basisbedragen!$I$7,2),ROUND(Basisbedragen!$D$36*Basisbedragen!$I$7,2)),ROUND(ROUND(Basisbedragen!$D$28*0.6,4)*Basisbedragen!$I$7,2))&lt;= Basisbedragen!$I$8,MIN(MAX(ROUND(ROUND('Loonschijven_Tranches salariale'!$Q55*0.6,4)*Basisbedragen!$I$2,2),ROUND(Basisbedragen!$D$36*Basisbedragen!$I$2,2)),ROUND(ROUND(Basisbedragen!$D$28*0.6,4)*Basisbedragen!$I$2,2)),MIN(MAX(ROUND(ROUND('Loonschijven_Tranches salariale'!$Q55*0.6,4)*Basisbedragen!$I$7,2),ROUND(Basisbedragen!$D$36*Basisbedragen!$I$7,2)),ROUND(ROUND(Basisbedragen!$D$28*0.6,4)*Basisbedragen!$I$7,2))+Basisbedragen!$I$10)</f>
        <v>63.29</v>
      </c>
      <c r="K60" s="52">
        <f>MIN(MAX(ROUND(ROUND('Loonschijven_Tranches salariale'!$Q55*0.6,4)*Basisbedragen!$I$2,2),ROUND(Basisbedragen!$D$37*Basisbedragen!$I$2,2)),ROUND(ROUND(Basisbedragen!$D$29*0.6,4)*Basisbedragen!$I$2,2))</f>
        <v>57.53</v>
      </c>
      <c r="L60" s="38"/>
      <c r="M60" s="52">
        <f t="shared" si="1"/>
        <v>57.53</v>
      </c>
      <c r="N60" s="38"/>
      <c r="O60" s="52">
        <f>IF(MIN(MAX(ROUND(ROUND('Loonschijven_Tranches salariale'!$Q55*0.65,4)*Basisbedragen!$I$7,2),ROUND(Basisbedragen!$D$38*Basisbedragen!$I$7,2)),ROUND(ROUND(Basisbedragen!$D$27*0.65,4)*Basisbedragen!$I$7,2))&lt;= Basisbedragen!$I$8,MIN(MAX(ROUND(ROUND('Loonschijven_Tranches salariale'!$Q55*0.65,4)*Basisbedragen!$I$2,2),ROUND(Basisbedragen!$D$38*Basisbedragen!$I$2,2)),ROUND(ROUND(Basisbedragen!$D$27*0.65,4)*Basisbedragen!$I$2,2)),MIN(MAX(ROUND(ROUND('Loonschijven_Tranches salariale'!$Q55*0.65,4)*Basisbedragen!$I$7,2),ROUND(Basisbedragen!$D$38*Basisbedragen!$I$7,2)),ROUND(ROUND(Basisbedragen!$D$27*0.65,4)*Basisbedragen!$I$7,2))+Basisbedragen!$I$10)</f>
        <v>60.98</v>
      </c>
      <c r="P60" s="52">
        <f>IF(MIN(MAX(ROUND(ROUND('Loonschijven_Tranches salariale'!$Q55*0.6,4)*Basisbedragen!$I$7,2),ROUND(Basisbedragen!$D$39*Basisbedragen!$I$7,2)),ROUND(ROUND(Basisbedragen!$D$28*0.6,4)*Basisbedragen!$I$7,2))&lt;= Basisbedragen!$I$8,MIN(MAX(ROUND(ROUND('Loonschijven_Tranches salariale'!$Q55*0.6,4)*Basisbedragen!$I$2,2),ROUND(Basisbedragen!$D$39*Basisbedragen!$I$2,2)),ROUND(ROUND(Basisbedragen!$D$28*0.6,4)*Basisbedragen!$I$2,2)),MIN(MAX(ROUND(ROUND('Loonschijven_Tranches salariale'!$Q55*0.6,4)*Basisbedragen!$I$7,2),ROUND(Basisbedragen!$D$39*Basisbedragen!$I$7,2)),ROUND(ROUND(Basisbedragen!$D$28*0.6,4)*Basisbedragen!$I$7,2))+Basisbedragen!$I$10)</f>
        <v>56.29</v>
      </c>
      <c r="Q60" s="52">
        <f>MIN(MAX(ROUND(ROUND('Loonschijven_Tranches salariale'!$Q55*0.6,4)*Basisbedragen!$I$2,2),ROUND(Basisbedragen!$D$40*Basisbedragen!$I$2,2)),ROUND(ROUND(Basisbedragen!$D$29*0.6,4)*Basisbedragen!$I$2,2))</f>
        <v>56.29</v>
      </c>
      <c r="R60" s="38"/>
      <c r="S60" s="52">
        <f t="shared" si="2"/>
        <v>42.37</v>
      </c>
      <c r="T60" s="52">
        <f t="shared" si="3"/>
        <v>29.85</v>
      </c>
    </row>
    <row r="61" spans="1:20" ht="15" thickBot="1">
      <c r="A61" s="47">
        <f t="shared" si="4"/>
        <v>49</v>
      </c>
      <c r="C61" s="52">
        <f>IF(MIN(MAX(ROUND(ROUND('Loonschijven_Tranches salariale'!$Q56*0.65,4)*Basisbedragen!$I$7,2),ROUND(Basisbedragen!$D$34*Basisbedragen!$I$7,2)),ROUND(ROUND(Basisbedragen!$D$27*0.65,4)*Basisbedragen!$I$7,2))&lt;= Basisbedragen!$I$8,MIN(MAX(ROUND(ROUND('Loonschijven_Tranches salariale'!$Q56*0.65,4)*Basisbedragen!$I$2,2),ROUND(Basisbedragen!$D$34*Basisbedragen!$I$2,2)),ROUND(ROUND(Basisbedragen!$D$27*0.65,4)*Basisbedragen!$I$2,2)),MIN(MAX(ROUND(ROUND('Loonschijven_Tranches salariale'!$Q56*0.65,4)*Basisbedragen!$I$7,2),ROUND(Basisbedragen!$D$34*Basisbedragen!$I$7,2)),ROUND(ROUND(Basisbedragen!$D$27*0.65,4)*Basisbedragen!$I$7,2))+Basisbedragen!$I$10)</f>
        <v>78.09</v>
      </c>
      <c r="D61" s="52">
        <f>IF(MIN(MAX(ROUND(ROUND('Loonschijven_Tranches salariale'!$Q56*0.6,4)*Basisbedragen!$I$7,2),ROUND(Basisbedragen!$D$34*Basisbedragen!$I$7,2)),ROUND(ROUND(Basisbedragen!$D$28*0.6,4)*Basisbedragen!$I$7,2))&lt;= Basisbedragen!$I$8,MIN(MAX(ROUND(ROUND('Loonschijven_Tranches salariale'!$Q56*0.6,4)*Basisbedragen!$I$2,2),ROUND(Basisbedragen!$D$34*Basisbedragen!$I$2,2)),ROUND(ROUND(Basisbedragen!$D$28*0.6,4)*Basisbedragen!$I$2,2)),MIN(MAX(ROUND(ROUND('Loonschijven_Tranches salariale'!$Q56*0.6,4)*Basisbedragen!$I$7,2),ROUND(Basisbedragen!$D$34*Basisbedragen!$I$7,2)),ROUND(ROUND(Basisbedragen!$D$28*0.6,4)*Basisbedragen!$I$7,2))+Basisbedragen!$I$10)</f>
        <v>78.09</v>
      </c>
      <c r="E61" s="52">
        <f>MIN(MAX(ROUND(ROUND('Loonschijven_Tranches salariale'!$Q56*0.6,4)*Basisbedragen!$I$2,2),ROUND(Basisbedragen!$D$35*Basisbedragen!$I$2,2)),ROUND(ROUND(Basisbedragen!$D$29*0.6,4)*Basisbedragen!$I$2,2))</f>
        <v>70.989999999999995</v>
      </c>
      <c r="F61" s="38"/>
      <c r="G61" s="52">
        <f t="shared" si="0"/>
        <v>70.989999999999995</v>
      </c>
      <c r="H61" s="38"/>
      <c r="I61" s="52">
        <f>IF(MIN(MAX(ROUND(ROUND('Loonschijven_Tranches salariale'!$Q56*0.65,4)*Basisbedragen!$I$7,2),ROUND(Basisbedragen!$D$36*Basisbedragen!$I$7,2)),ROUND(ROUND(Basisbedragen!$D$27*0.65,4)*Basisbedragen!$I$7,2))&lt;= Basisbedragen!$I$8,MIN(MAX(ROUND(ROUND('Loonschijven_Tranches salariale'!$Q56*0.65,4)*Basisbedragen!$I$2,2),ROUND(Basisbedragen!$D$36*Basisbedragen!$I$2,2)),ROUND(ROUND(Basisbedragen!$D$27*0.65,4)*Basisbedragen!$I$2,2)),MIN(MAX(ROUND(ROUND('Loonschijven_Tranches salariale'!$Q56*0.65,4)*Basisbedragen!$I$7,2),ROUND(Basisbedragen!$D$36*Basisbedragen!$I$7,2)),ROUND(ROUND(Basisbedragen!$D$27*0.65,4)*Basisbedragen!$I$7,2))+Basisbedragen!$I$10)</f>
        <v>63.29</v>
      </c>
      <c r="J61" s="52">
        <f>IF(MIN(MAX(ROUND(ROUND('Loonschijven_Tranches salariale'!$Q56*0.6,4)*Basisbedragen!$I$7,2),ROUND(Basisbedragen!$D$36*Basisbedragen!$I$7,2)),ROUND(ROUND(Basisbedragen!$D$28*0.6,4)*Basisbedragen!$I$7,2))&lt;= Basisbedragen!$I$8,MIN(MAX(ROUND(ROUND('Loonschijven_Tranches salariale'!$Q56*0.6,4)*Basisbedragen!$I$2,2),ROUND(Basisbedragen!$D$36*Basisbedragen!$I$2,2)),ROUND(ROUND(Basisbedragen!$D$28*0.6,4)*Basisbedragen!$I$2,2)),MIN(MAX(ROUND(ROUND('Loonschijven_Tranches salariale'!$Q56*0.6,4)*Basisbedragen!$I$7,2),ROUND(Basisbedragen!$D$36*Basisbedragen!$I$7,2)),ROUND(ROUND(Basisbedragen!$D$28*0.6,4)*Basisbedragen!$I$7,2))+Basisbedragen!$I$10)</f>
        <v>63.29</v>
      </c>
      <c r="K61" s="52">
        <f>MIN(MAX(ROUND(ROUND('Loonschijven_Tranches salariale'!$Q56*0.6,4)*Basisbedragen!$I$2,2),ROUND(Basisbedragen!$D$37*Basisbedragen!$I$2,2)),ROUND(ROUND(Basisbedragen!$D$29*0.6,4)*Basisbedragen!$I$2,2))</f>
        <v>57.53</v>
      </c>
      <c r="L61" s="38"/>
      <c r="M61" s="52">
        <f t="shared" si="1"/>
        <v>57.53</v>
      </c>
      <c r="N61" s="38"/>
      <c r="O61" s="52">
        <f>IF(MIN(MAX(ROUND(ROUND('Loonschijven_Tranches salariale'!$Q56*0.65,4)*Basisbedragen!$I$7,2),ROUND(Basisbedragen!$D$38*Basisbedragen!$I$7,2)),ROUND(ROUND(Basisbedragen!$D$27*0.65,4)*Basisbedragen!$I$7,2))&lt;= Basisbedragen!$I$8,MIN(MAX(ROUND(ROUND('Loonschijven_Tranches salariale'!$Q56*0.65,4)*Basisbedragen!$I$2,2),ROUND(Basisbedragen!$D$38*Basisbedragen!$I$2,2)),ROUND(ROUND(Basisbedragen!$D$27*0.65,4)*Basisbedragen!$I$2,2)),MIN(MAX(ROUND(ROUND('Loonschijven_Tranches salariale'!$Q56*0.65,4)*Basisbedragen!$I$7,2),ROUND(Basisbedragen!$D$38*Basisbedragen!$I$7,2)),ROUND(ROUND(Basisbedragen!$D$27*0.65,4)*Basisbedragen!$I$7,2))+Basisbedragen!$I$10)</f>
        <v>61.99</v>
      </c>
      <c r="P61" s="52">
        <f>IF(MIN(MAX(ROUND(ROUND('Loonschijven_Tranches salariale'!$Q56*0.6,4)*Basisbedragen!$I$7,2),ROUND(Basisbedragen!$D$39*Basisbedragen!$I$7,2)),ROUND(ROUND(Basisbedragen!$D$28*0.6,4)*Basisbedragen!$I$7,2))&lt;= Basisbedragen!$I$8,MIN(MAX(ROUND(ROUND('Loonschijven_Tranches salariale'!$Q56*0.6,4)*Basisbedragen!$I$2,2),ROUND(Basisbedragen!$D$39*Basisbedragen!$I$2,2)),ROUND(ROUND(Basisbedragen!$D$28*0.6,4)*Basisbedragen!$I$2,2)),MIN(MAX(ROUND(ROUND('Loonschijven_Tranches salariale'!$Q56*0.6,4)*Basisbedragen!$I$7,2),ROUND(Basisbedragen!$D$39*Basisbedragen!$I$7,2)),ROUND(ROUND(Basisbedragen!$D$28*0.6,4)*Basisbedragen!$I$7,2))+Basisbedragen!$I$10)</f>
        <v>57.22</v>
      </c>
      <c r="Q61" s="52">
        <f>MIN(MAX(ROUND(ROUND('Loonschijven_Tranches salariale'!$Q56*0.6,4)*Basisbedragen!$I$2,2),ROUND(Basisbedragen!$D$40*Basisbedragen!$I$2,2)),ROUND(ROUND(Basisbedragen!$D$29*0.6,4)*Basisbedragen!$I$2,2))</f>
        <v>57.22</v>
      </c>
      <c r="R61" s="38"/>
      <c r="S61" s="52">
        <f t="shared" si="2"/>
        <v>42.37</v>
      </c>
      <c r="T61" s="52">
        <f t="shared" si="3"/>
        <v>29.85</v>
      </c>
    </row>
    <row r="62" spans="1:20" ht="15" thickBot="1">
      <c r="A62" s="47">
        <f t="shared" si="4"/>
        <v>50</v>
      </c>
      <c r="C62" s="52">
        <f>IF(MIN(MAX(ROUND(ROUND('Loonschijven_Tranches salariale'!$Q57*0.65,4)*Basisbedragen!$I$7,2),ROUND(Basisbedragen!$D$34*Basisbedragen!$I$7,2)),ROUND(ROUND(Basisbedragen!$D$27*0.65,4)*Basisbedragen!$I$7,2))&lt;= Basisbedragen!$I$8,MIN(MAX(ROUND(ROUND('Loonschijven_Tranches salariale'!$Q57*0.65,4)*Basisbedragen!$I$2,2),ROUND(Basisbedragen!$D$34*Basisbedragen!$I$2,2)),ROUND(ROUND(Basisbedragen!$D$27*0.65,4)*Basisbedragen!$I$2,2)),MIN(MAX(ROUND(ROUND('Loonschijven_Tranches salariale'!$Q57*0.65,4)*Basisbedragen!$I$7,2),ROUND(Basisbedragen!$D$34*Basisbedragen!$I$7,2)),ROUND(ROUND(Basisbedragen!$D$27*0.65,4)*Basisbedragen!$I$7,2))+Basisbedragen!$I$10)</f>
        <v>78.09</v>
      </c>
      <c r="D62" s="52">
        <f>IF(MIN(MAX(ROUND(ROUND('Loonschijven_Tranches salariale'!$Q57*0.6,4)*Basisbedragen!$I$7,2),ROUND(Basisbedragen!$D$34*Basisbedragen!$I$7,2)),ROUND(ROUND(Basisbedragen!$D$28*0.6,4)*Basisbedragen!$I$7,2))&lt;= Basisbedragen!$I$8,MIN(MAX(ROUND(ROUND('Loonschijven_Tranches salariale'!$Q57*0.6,4)*Basisbedragen!$I$2,2),ROUND(Basisbedragen!$D$34*Basisbedragen!$I$2,2)),ROUND(ROUND(Basisbedragen!$D$28*0.6,4)*Basisbedragen!$I$2,2)),MIN(MAX(ROUND(ROUND('Loonschijven_Tranches salariale'!$Q57*0.6,4)*Basisbedragen!$I$7,2),ROUND(Basisbedragen!$D$34*Basisbedragen!$I$7,2)),ROUND(ROUND(Basisbedragen!$D$28*0.6,4)*Basisbedragen!$I$7,2))+Basisbedragen!$I$10)</f>
        <v>78.09</v>
      </c>
      <c r="E62" s="52">
        <f>MIN(MAX(ROUND(ROUND('Loonschijven_Tranches salariale'!$Q57*0.6,4)*Basisbedragen!$I$2,2),ROUND(Basisbedragen!$D$35*Basisbedragen!$I$2,2)),ROUND(ROUND(Basisbedragen!$D$29*0.6,4)*Basisbedragen!$I$2,2))</f>
        <v>70.989999999999995</v>
      </c>
      <c r="F62" s="38"/>
      <c r="G62" s="52">
        <f t="shared" si="0"/>
        <v>70.989999999999995</v>
      </c>
      <c r="H62" s="38"/>
      <c r="I62" s="52">
        <f>IF(MIN(MAX(ROUND(ROUND('Loonschijven_Tranches salariale'!$Q57*0.65,4)*Basisbedragen!$I$7,2),ROUND(Basisbedragen!$D$36*Basisbedragen!$I$7,2)),ROUND(ROUND(Basisbedragen!$D$27*0.65,4)*Basisbedragen!$I$7,2))&lt;= Basisbedragen!$I$8,MIN(MAX(ROUND(ROUND('Loonschijven_Tranches salariale'!$Q57*0.65,4)*Basisbedragen!$I$2,2),ROUND(Basisbedragen!$D$36*Basisbedragen!$I$2,2)),ROUND(ROUND(Basisbedragen!$D$27*0.65,4)*Basisbedragen!$I$2,2)),MIN(MAX(ROUND(ROUND('Loonschijven_Tranches salariale'!$Q57*0.65,4)*Basisbedragen!$I$7,2),ROUND(Basisbedragen!$D$36*Basisbedragen!$I$7,2)),ROUND(ROUND(Basisbedragen!$D$27*0.65,4)*Basisbedragen!$I$7,2))+Basisbedragen!$I$10)</f>
        <v>63.29</v>
      </c>
      <c r="J62" s="52">
        <f>IF(MIN(MAX(ROUND(ROUND('Loonschijven_Tranches salariale'!$Q57*0.6,4)*Basisbedragen!$I$7,2),ROUND(Basisbedragen!$D$36*Basisbedragen!$I$7,2)),ROUND(ROUND(Basisbedragen!$D$28*0.6,4)*Basisbedragen!$I$7,2))&lt;= Basisbedragen!$I$8,MIN(MAX(ROUND(ROUND('Loonschijven_Tranches salariale'!$Q57*0.6,4)*Basisbedragen!$I$2,2),ROUND(Basisbedragen!$D$36*Basisbedragen!$I$2,2)),ROUND(ROUND(Basisbedragen!$D$28*0.6,4)*Basisbedragen!$I$2,2)),MIN(MAX(ROUND(ROUND('Loonschijven_Tranches salariale'!$Q57*0.6,4)*Basisbedragen!$I$7,2),ROUND(Basisbedragen!$D$36*Basisbedragen!$I$7,2)),ROUND(ROUND(Basisbedragen!$D$28*0.6,4)*Basisbedragen!$I$7,2))+Basisbedragen!$I$10)</f>
        <v>63.29</v>
      </c>
      <c r="K62" s="52">
        <f>MIN(MAX(ROUND(ROUND('Loonschijven_Tranches salariale'!$Q57*0.6,4)*Basisbedragen!$I$2,2),ROUND(Basisbedragen!$D$37*Basisbedragen!$I$2,2)),ROUND(ROUND(Basisbedragen!$D$29*0.6,4)*Basisbedragen!$I$2,2))</f>
        <v>58.16</v>
      </c>
      <c r="L62" s="38"/>
      <c r="M62" s="52">
        <f t="shared" si="1"/>
        <v>57.53</v>
      </c>
      <c r="N62" s="38"/>
      <c r="O62" s="52">
        <f>IF(MIN(MAX(ROUND(ROUND('Loonschijven_Tranches salariale'!$Q57*0.65,4)*Basisbedragen!$I$7,2),ROUND(Basisbedragen!$D$38*Basisbedragen!$I$7,2)),ROUND(ROUND(Basisbedragen!$D$27*0.65,4)*Basisbedragen!$I$7,2))&lt;= Basisbedragen!$I$8,MIN(MAX(ROUND(ROUND('Loonschijven_Tranches salariale'!$Q57*0.65,4)*Basisbedragen!$I$2,2),ROUND(Basisbedragen!$D$38*Basisbedragen!$I$2,2)),ROUND(ROUND(Basisbedragen!$D$27*0.65,4)*Basisbedragen!$I$2,2)),MIN(MAX(ROUND(ROUND('Loonschijven_Tranches salariale'!$Q57*0.65,4)*Basisbedragen!$I$7,2),ROUND(Basisbedragen!$D$38*Basisbedragen!$I$7,2)),ROUND(ROUND(Basisbedragen!$D$27*0.65,4)*Basisbedragen!$I$7,2))+Basisbedragen!$I$10)</f>
        <v>63.01</v>
      </c>
      <c r="P62" s="52">
        <f>IF(MIN(MAX(ROUND(ROUND('Loonschijven_Tranches salariale'!$Q57*0.6,4)*Basisbedragen!$I$7,2),ROUND(Basisbedragen!$D$39*Basisbedragen!$I$7,2)),ROUND(ROUND(Basisbedragen!$D$28*0.6,4)*Basisbedragen!$I$7,2))&lt;= Basisbedragen!$I$8,MIN(MAX(ROUND(ROUND('Loonschijven_Tranches salariale'!$Q57*0.6,4)*Basisbedragen!$I$2,2),ROUND(Basisbedragen!$D$39*Basisbedragen!$I$2,2)),ROUND(ROUND(Basisbedragen!$D$28*0.6,4)*Basisbedragen!$I$2,2)),MIN(MAX(ROUND(ROUND('Loonschijven_Tranches salariale'!$Q57*0.6,4)*Basisbedragen!$I$7,2),ROUND(Basisbedragen!$D$39*Basisbedragen!$I$7,2)),ROUND(ROUND(Basisbedragen!$D$28*0.6,4)*Basisbedragen!$I$7,2))+Basisbedragen!$I$10)</f>
        <v>58.16</v>
      </c>
      <c r="Q62" s="52">
        <f>MIN(MAX(ROUND(ROUND('Loonschijven_Tranches salariale'!$Q57*0.6,4)*Basisbedragen!$I$2,2),ROUND(Basisbedragen!$D$40*Basisbedragen!$I$2,2)),ROUND(ROUND(Basisbedragen!$D$29*0.6,4)*Basisbedragen!$I$2,2))</f>
        <v>58.16</v>
      </c>
      <c r="R62" s="38"/>
      <c r="S62" s="52">
        <f t="shared" si="2"/>
        <v>42.37</v>
      </c>
      <c r="T62" s="52">
        <f t="shared" si="3"/>
        <v>29.85</v>
      </c>
    </row>
    <row r="63" spans="1:20" ht="15" thickBot="1">
      <c r="A63" s="47">
        <f t="shared" si="4"/>
        <v>51</v>
      </c>
      <c r="C63" s="52">
        <f>IF(MIN(MAX(ROUND(ROUND('Loonschijven_Tranches salariale'!$Q58*0.65,4)*Basisbedragen!$I$7,2),ROUND(Basisbedragen!$D$34*Basisbedragen!$I$7,2)),ROUND(ROUND(Basisbedragen!$D$27*0.65,4)*Basisbedragen!$I$7,2))&lt;= Basisbedragen!$I$8,MIN(MAX(ROUND(ROUND('Loonschijven_Tranches salariale'!$Q58*0.65,4)*Basisbedragen!$I$2,2),ROUND(Basisbedragen!$D$34*Basisbedragen!$I$2,2)),ROUND(ROUND(Basisbedragen!$D$27*0.65,4)*Basisbedragen!$I$2,2)),MIN(MAX(ROUND(ROUND('Loonschijven_Tranches salariale'!$Q58*0.65,4)*Basisbedragen!$I$7,2),ROUND(Basisbedragen!$D$34*Basisbedragen!$I$7,2)),ROUND(ROUND(Basisbedragen!$D$27*0.65,4)*Basisbedragen!$I$7,2))+Basisbedragen!$I$10)</f>
        <v>78.09</v>
      </c>
      <c r="D63" s="52">
        <f>IF(MIN(MAX(ROUND(ROUND('Loonschijven_Tranches salariale'!$Q58*0.6,4)*Basisbedragen!$I$7,2),ROUND(Basisbedragen!$D$34*Basisbedragen!$I$7,2)),ROUND(ROUND(Basisbedragen!$D$28*0.6,4)*Basisbedragen!$I$7,2))&lt;= Basisbedragen!$I$8,MIN(MAX(ROUND(ROUND('Loonschijven_Tranches salariale'!$Q58*0.6,4)*Basisbedragen!$I$2,2),ROUND(Basisbedragen!$D$34*Basisbedragen!$I$2,2)),ROUND(ROUND(Basisbedragen!$D$28*0.6,4)*Basisbedragen!$I$2,2)),MIN(MAX(ROUND(ROUND('Loonschijven_Tranches salariale'!$Q58*0.6,4)*Basisbedragen!$I$7,2),ROUND(Basisbedragen!$D$34*Basisbedragen!$I$7,2)),ROUND(ROUND(Basisbedragen!$D$28*0.6,4)*Basisbedragen!$I$7,2))+Basisbedragen!$I$10)</f>
        <v>78.09</v>
      </c>
      <c r="E63" s="52">
        <f>MIN(MAX(ROUND(ROUND('Loonschijven_Tranches salariale'!$Q58*0.6,4)*Basisbedragen!$I$2,2),ROUND(Basisbedragen!$D$35*Basisbedragen!$I$2,2)),ROUND(ROUND(Basisbedragen!$D$29*0.6,4)*Basisbedragen!$I$2,2))</f>
        <v>70.989999999999995</v>
      </c>
      <c r="F63" s="38"/>
      <c r="G63" s="52">
        <f t="shared" si="0"/>
        <v>70.989999999999995</v>
      </c>
      <c r="H63" s="38"/>
      <c r="I63" s="52">
        <f>IF(MIN(MAX(ROUND(ROUND('Loonschijven_Tranches salariale'!$Q58*0.65,4)*Basisbedragen!$I$7,2),ROUND(Basisbedragen!$D$36*Basisbedragen!$I$7,2)),ROUND(ROUND(Basisbedragen!$D$27*0.65,4)*Basisbedragen!$I$7,2))&lt;= Basisbedragen!$I$8,MIN(MAX(ROUND(ROUND('Loonschijven_Tranches salariale'!$Q58*0.65,4)*Basisbedragen!$I$2,2),ROUND(Basisbedragen!$D$36*Basisbedragen!$I$2,2)),ROUND(ROUND(Basisbedragen!$D$27*0.65,4)*Basisbedragen!$I$2,2)),MIN(MAX(ROUND(ROUND('Loonschijven_Tranches salariale'!$Q58*0.65,4)*Basisbedragen!$I$7,2),ROUND(Basisbedragen!$D$36*Basisbedragen!$I$7,2)),ROUND(ROUND(Basisbedragen!$D$27*0.65,4)*Basisbedragen!$I$7,2))+Basisbedragen!$I$10)</f>
        <v>64.03</v>
      </c>
      <c r="J63" s="52">
        <f>IF(MIN(MAX(ROUND(ROUND('Loonschijven_Tranches salariale'!$Q58*0.6,4)*Basisbedragen!$I$7,2),ROUND(Basisbedragen!$D$36*Basisbedragen!$I$7,2)),ROUND(ROUND(Basisbedragen!$D$28*0.6,4)*Basisbedragen!$I$7,2))&lt;= Basisbedragen!$I$8,MIN(MAX(ROUND(ROUND('Loonschijven_Tranches salariale'!$Q58*0.6,4)*Basisbedragen!$I$2,2),ROUND(Basisbedragen!$D$36*Basisbedragen!$I$2,2)),ROUND(ROUND(Basisbedragen!$D$28*0.6,4)*Basisbedragen!$I$2,2)),MIN(MAX(ROUND(ROUND('Loonschijven_Tranches salariale'!$Q58*0.6,4)*Basisbedragen!$I$7,2),ROUND(Basisbedragen!$D$36*Basisbedragen!$I$7,2)),ROUND(ROUND(Basisbedragen!$D$28*0.6,4)*Basisbedragen!$I$7,2))+Basisbedragen!$I$10)</f>
        <v>63.29</v>
      </c>
      <c r="K63" s="52">
        <f>MIN(MAX(ROUND(ROUND('Loonschijven_Tranches salariale'!$Q58*0.6,4)*Basisbedragen!$I$2,2),ROUND(Basisbedragen!$D$37*Basisbedragen!$I$2,2)),ROUND(ROUND(Basisbedragen!$D$29*0.6,4)*Basisbedragen!$I$2,2))</f>
        <v>59.1</v>
      </c>
      <c r="L63" s="38"/>
      <c r="M63" s="52">
        <f t="shared" si="1"/>
        <v>57.53</v>
      </c>
      <c r="N63" s="38"/>
      <c r="O63" s="52">
        <f>IF(MIN(MAX(ROUND(ROUND('Loonschijven_Tranches salariale'!$Q58*0.65,4)*Basisbedragen!$I$7,2),ROUND(Basisbedragen!$D$38*Basisbedragen!$I$7,2)),ROUND(ROUND(Basisbedragen!$D$27*0.65,4)*Basisbedragen!$I$7,2))&lt;= Basisbedragen!$I$8,MIN(MAX(ROUND(ROUND('Loonschijven_Tranches salariale'!$Q58*0.65,4)*Basisbedragen!$I$2,2),ROUND(Basisbedragen!$D$38*Basisbedragen!$I$2,2)),ROUND(ROUND(Basisbedragen!$D$27*0.65,4)*Basisbedragen!$I$2,2)),MIN(MAX(ROUND(ROUND('Loonschijven_Tranches salariale'!$Q58*0.65,4)*Basisbedragen!$I$7,2),ROUND(Basisbedragen!$D$38*Basisbedragen!$I$7,2)),ROUND(ROUND(Basisbedragen!$D$27*0.65,4)*Basisbedragen!$I$7,2))+Basisbedragen!$I$10)</f>
        <v>64.03</v>
      </c>
      <c r="P63" s="52">
        <f>IF(MIN(MAX(ROUND(ROUND('Loonschijven_Tranches salariale'!$Q58*0.6,4)*Basisbedragen!$I$7,2),ROUND(Basisbedragen!$D$39*Basisbedragen!$I$7,2)),ROUND(ROUND(Basisbedragen!$D$28*0.6,4)*Basisbedragen!$I$7,2))&lt;= Basisbedragen!$I$8,MIN(MAX(ROUND(ROUND('Loonschijven_Tranches salariale'!$Q58*0.6,4)*Basisbedragen!$I$2,2),ROUND(Basisbedragen!$D$39*Basisbedragen!$I$2,2)),ROUND(ROUND(Basisbedragen!$D$28*0.6,4)*Basisbedragen!$I$2,2)),MIN(MAX(ROUND(ROUND('Loonschijven_Tranches salariale'!$Q58*0.6,4)*Basisbedragen!$I$7,2),ROUND(Basisbedragen!$D$39*Basisbedragen!$I$7,2)),ROUND(ROUND(Basisbedragen!$D$28*0.6,4)*Basisbedragen!$I$7,2))+Basisbedragen!$I$10)</f>
        <v>59.1</v>
      </c>
      <c r="Q63" s="52">
        <f>MIN(MAX(ROUND(ROUND('Loonschijven_Tranches salariale'!$Q58*0.6,4)*Basisbedragen!$I$2,2),ROUND(Basisbedragen!$D$40*Basisbedragen!$I$2,2)),ROUND(ROUND(Basisbedragen!$D$29*0.6,4)*Basisbedragen!$I$2,2))</f>
        <v>59.1</v>
      </c>
      <c r="R63" s="38"/>
      <c r="S63" s="52">
        <f t="shared" si="2"/>
        <v>42.37</v>
      </c>
      <c r="T63" s="52">
        <f t="shared" si="3"/>
        <v>29.85</v>
      </c>
    </row>
    <row r="64" spans="1:20" ht="15" thickBot="1">
      <c r="A64" s="47">
        <f t="shared" si="4"/>
        <v>52</v>
      </c>
      <c r="C64" s="52">
        <f>IF(MIN(MAX(ROUND(ROUND('Loonschijven_Tranches salariale'!$Q59*0.65,4)*Basisbedragen!$I$7,2),ROUND(Basisbedragen!$D$34*Basisbedragen!$I$7,2)),ROUND(ROUND(Basisbedragen!$D$27*0.65,4)*Basisbedragen!$I$7,2))&lt;= Basisbedragen!$I$8,MIN(MAX(ROUND(ROUND('Loonschijven_Tranches salariale'!$Q59*0.65,4)*Basisbedragen!$I$2,2),ROUND(Basisbedragen!$D$34*Basisbedragen!$I$2,2)),ROUND(ROUND(Basisbedragen!$D$27*0.65,4)*Basisbedragen!$I$2,2)),MIN(MAX(ROUND(ROUND('Loonschijven_Tranches salariale'!$Q59*0.65,4)*Basisbedragen!$I$7,2),ROUND(Basisbedragen!$D$34*Basisbedragen!$I$7,2)),ROUND(ROUND(Basisbedragen!$D$27*0.65,4)*Basisbedragen!$I$7,2))+Basisbedragen!$I$10)</f>
        <v>78.09</v>
      </c>
      <c r="D64" s="52">
        <f>IF(MIN(MAX(ROUND(ROUND('Loonschijven_Tranches salariale'!$Q59*0.6,4)*Basisbedragen!$I$7,2),ROUND(Basisbedragen!$D$34*Basisbedragen!$I$7,2)),ROUND(ROUND(Basisbedragen!$D$28*0.6,4)*Basisbedragen!$I$7,2))&lt;= Basisbedragen!$I$8,MIN(MAX(ROUND(ROUND('Loonschijven_Tranches salariale'!$Q59*0.6,4)*Basisbedragen!$I$2,2),ROUND(Basisbedragen!$D$34*Basisbedragen!$I$2,2)),ROUND(ROUND(Basisbedragen!$D$28*0.6,4)*Basisbedragen!$I$2,2)),MIN(MAX(ROUND(ROUND('Loonschijven_Tranches salariale'!$Q59*0.6,4)*Basisbedragen!$I$7,2),ROUND(Basisbedragen!$D$34*Basisbedragen!$I$7,2)),ROUND(ROUND(Basisbedragen!$D$28*0.6,4)*Basisbedragen!$I$7,2))+Basisbedragen!$I$10)</f>
        <v>78.09</v>
      </c>
      <c r="E64" s="52">
        <f>MIN(MAX(ROUND(ROUND('Loonschijven_Tranches salariale'!$Q59*0.6,4)*Basisbedragen!$I$2,2),ROUND(Basisbedragen!$D$35*Basisbedragen!$I$2,2)),ROUND(ROUND(Basisbedragen!$D$29*0.6,4)*Basisbedragen!$I$2,2))</f>
        <v>70.989999999999995</v>
      </c>
      <c r="F64" s="38"/>
      <c r="G64" s="52">
        <f t="shared" si="0"/>
        <v>70.989999999999995</v>
      </c>
      <c r="H64" s="38"/>
      <c r="I64" s="52">
        <f>IF(MIN(MAX(ROUND(ROUND('Loonschijven_Tranches salariale'!$Q59*0.65,4)*Basisbedragen!$I$7,2),ROUND(Basisbedragen!$D$36*Basisbedragen!$I$7,2)),ROUND(ROUND(Basisbedragen!$D$27*0.65,4)*Basisbedragen!$I$7,2))&lt;= Basisbedragen!$I$8,MIN(MAX(ROUND(ROUND('Loonschijven_Tranches salariale'!$Q59*0.65,4)*Basisbedragen!$I$2,2),ROUND(Basisbedragen!$D$36*Basisbedragen!$I$2,2)),ROUND(ROUND(Basisbedragen!$D$27*0.65,4)*Basisbedragen!$I$2,2)),MIN(MAX(ROUND(ROUND('Loonschijven_Tranches salariale'!$Q59*0.65,4)*Basisbedragen!$I$7,2),ROUND(Basisbedragen!$D$36*Basisbedragen!$I$7,2)),ROUND(ROUND(Basisbedragen!$D$27*0.65,4)*Basisbedragen!$I$7,2))+Basisbedragen!$I$10)</f>
        <v>65.040000000000006</v>
      </c>
      <c r="J64" s="52">
        <f>IF(MIN(MAX(ROUND(ROUND('Loonschijven_Tranches salariale'!$Q59*0.6,4)*Basisbedragen!$I$7,2),ROUND(Basisbedragen!$D$36*Basisbedragen!$I$7,2)),ROUND(ROUND(Basisbedragen!$D$28*0.6,4)*Basisbedragen!$I$7,2))&lt;= Basisbedragen!$I$8,MIN(MAX(ROUND(ROUND('Loonschijven_Tranches salariale'!$Q59*0.6,4)*Basisbedragen!$I$2,2),ROUND(Basisbedragen!$D$36*Basisbedragen!$I$2,2)),ROUND(ROUND(Basisbedragen!$D$28*0.6,4)*Basisbedragen!$I$2,2)),MIN(MAX(ROUND(ROUND('Loonschijven_Tranches salariale'!$Q59*0.6,4)*Basisbedragen!$I$7,2),ROUND(Basisbedragen!$D$36*Basisbedragen!$I$7,2)),ROUND(ROUND(Basisbedragen!$D$28*0.6,4)*Basisbedragen!$I$7,2))+Basisbedragen!$I$10)</f>
        <v>63.29</v>
      </c>
      <c r="K64" s="52">
        <f>MIN(MAX(ROUND(ROUND('Loonschijven_Tranches salariale'!$Q59*0.6,4)*Basisbedragen!$I$2,2),ROUND(Basisbedragen!$D$37*Basisbedragen!$I$2,2)),ROUND(ROUND(Basisbedragen!$D$29*0.6,4)*Basisbedragen!$I$2,2))</f>
        <v>60.04</v>
      </c>
      <c r="L64" s="38"/>
      <c r="M64" s="52">
        <f t="shared" si="1"/>
        <v>57.53</v>
      </c>
      <c r="N64" s="38"/>
      <c r="O64" s="52">
        <f>IF(MIN(MAX(ROUND(ROUND('Loonschijven_Tranches salariale'!$Q59*0.65,4)*Basisbedragen!$I$7,2),ROUND(Basisbedragen!$D$38*Basisbedragen!$I$7,2)),ROUND(ROUND(Basisbedragen!$D$27*0.65,4)*Basisbedragen!$I$7,2))&lt;= Basisbedragen!$I$8,MIN(MAX(ROUND(ROUND('Loonschijven_Tranches salariale'!$Q59*0.65,4)*Basisbedragen!$I$2,2),ROUND(Basisbedragen!$D$38*Basisbedragen!$I$2,2)),ROUND(ROUND(Basisbedragen!$D$27*0.65,4)*Basisbedragen!$I$2,2)),MIN(MAX(ROUND(ROUND('Loonschijven_Tranches salariale'!$Q59*0.65,4)*Basisbedragen!$I$7,2),ROUND(Basisbedragen!$D$38*Basisbedragen!$I$7,2)),ROUND(ROUND(Basisbedragen!$D$27*0.65,4)*Basisbedragen!$I$7,2))+Basisbedragen!$I$10)</f>
        <v>65.040000000000006</v>
      </c>
      <c r="P64" s="52">
        <f>IF(MIN(MAX(ROUND(ROUND('Loonschijven_Tranches salariale'!$Q59*0.6,4)*Basisbedragen!$I$7,2),ROUND(Basisbedragen!$D$39*Basisbedragen!$I$7,2)),ROUND(ROUND(Basisbedragen!$D$28*0.6,4)*Basisbedragen!$I$7,2))&lt;= Basisbedragen!$I$8,MIN(MAX(ROUND(ROUND('Loonschijven_Tranches salariale'!$Q59*0.6,4)*Basisbedragen!$I$2,2),ROUND(Basisbedragen!$D$39*Basisbedragen!$I$2,2)),ROUND(ROUND(Basisbedragen!$D$28*0.6,4)*Basisbedragen!$I$2,2)),MIN(MAX(ROUND(ROUND('Loonschijven_Tranches salariale'!$Q59*0.6,4)*Basisbedragen!$I$7,2),ROUND(Basisbedragen!$D$39*Basisbedragen!$I$7,2)),ROUND(ROUND(Basisbedragen!$D$28*0.6,4)*Basisbedragen!$I$7,2))+Basisbedragen!$I$10)</f>
        <v>60.04</v>
      </c>
      <c r="Q64" s="52">
        <f>MIN(MAX(ROUND(ROUND('Loonschijven_Tranches salariale'!$Q59*0.6,4)*Basisbedragen!$I$2,2),ROUND(Basisbedragen!$D$40*Basisbedragen!$I$2,2)),ROUND(ROUND(Basisbedragen!$D$29*0.6,4)*Basisbedragen!$I$2,2))</f>
        <v>60.04</v>
      </c>
      <c r="R64" s="38"/>
      <c r="S64" s="52">
        <f t="shared" si="2"/>
        <v>42.37</v>
      </c>
      <c r="T64" s="52">
        <f t="shared" si="3"/>
        <v>29.85</v>
      </c>
    </row>
    <row r="65" spans="1:20" ht="15" thickBot="1">
      <c r="A65" s="47">
        <f t="shared" si="4"/>
        <v>53</v>
      </c>
      <c r="C65" s="52">
        <f>IF(MIN(MAX(ROUND(ROUND('Loonschijven_Tranches salariale'!$Q60*0.65,4)*Basisbedragen!$I$7,2),ROUND(Basisbedragen!$D$34*Basisbedragen!$I$7,2)),ROUND(ROUND(Basisbedragen!$D$27*0.65,4)*Basisbedragen!$I$7,2))&lt;= Basisbedragen!$I$8,MIN(MAX(ROUND(ROUND('Loonschijven_Tranches salariale'!$Q60*0.65,4)*Basisbedragen!$I$2,2),ROUND(Basisbedragen!$D$34*Basisbedragen!$I$2,2)),ROUND(ROUND(Basisbedragen!$D$27*0.65,4)*Basisbedragen!$I$2,2)),MIN(MAX(ROUND(ROUND('Loonschijven_Tranches salariale'!$Q60*0.65,4)*Basisbedragen!$I$7,2),ROUND(Basisbedragen!$D$34*Basisbedragen!$I$7,2)),ROUND(ROUND(Basisbedragen!$D$27*0.65,4)*Basisbedragen!$I$7,2))+Basisbedragen!$I$10)</f>
        <v>78.09</v>
      </c>
      <c r="D65" s="52">
        <f>IF(MIN(MAX(ROUND(ROUND('Loonschijven_Tranches salariale'!$Q60*0.6,4)*Basisbedragen!$I$7,2),ROUND(Basisbedragen!$D$34*Basisbedragen!$I$7,2)),ROUND(ROUND(Basisbedragen!$D$28*0.6,4)*Basisbedragen!$I$7,2))&lt;= Basisbedragen!$I$8,MIN(MAX(ROUND(ROUND('Loonschijven_Tranches salariale'!$Q60*0.6,4)*Basisbedragen!$I$2,2),ROUND(Basisbedragen!$D$34*Basisbedragen!$I$2,2)),ROUND(ROUND(Basisbedragen!$D$28*0.6,4)*Basisbedragen!$I$2,2)),MIN(MAX(ROUND(ROUND('Loonschijven_Tranches salariale'!$Q60*0.6,4)*Basisbedragen!$I$7,2),ROUND(Basisbedragen!$D$34*Basisbedragen!$I$7,2)),ROUND(ROUND(Basisbedragen!$D$28*0.6,4)*Basisbedragen!$I$7,2))+Basisbedragen!$I$10)</f>
        <v>78.09</v>
      </c>
      <c r="E65" s="52">
        <f>MIN(MAX(ROUND(ROUND('Loonschijven_Tranches salariale'!$Q60*0.6,4)*Basisbedragen!$I$2,2),ROUND(Basisbedragen!$D$35*Basisbedragen!$I$2,2)),ROUND(ROUND(Basisbedragen!$D$29*0.6,4)*Basisbedragen!$I$2,2))</f>
        <v>70.989999999999995</v>
      </c>
      <c r="F65" s="38"/>
      <c r="G65" s="52">
        <f t="shared" si="0"/>
        <v>70.989999999999995</v>
      </c>
      <c r="H65" s="38"/>
      <c r="I65" s="52">
        <f>IF(MIN(MAX(ROUND(ROUND('Loonschijven_Tranches salariale'!$Q60*0.65,4)*Basisbedragen!$I$7,2),ROUND(Basisbedragen!$D$36*Basisbedragen!$I$7,2)),ROUND(ROUND(Basisbedragen!$D$27*0.65,4)*Basisbedragen!$I$7,2))&lt;= Basisbedragen!$I$8,MIN(MAX(ROUND(ROUND('Loonschijven_Tranches salariale'!$Q60*0.65,4)*Basisbedragen!$I$2,2),ROUND(Basisbedragen!$D$36*Basisbedragen!$I$2,2)),ROUND(ROUND(Basisbedragen!$D$27*0.65,4)*Basisbedragen!$I$2,2)),MIN(MAX(ROUND(ROUND('Loonschijven_Tranches salariale'!$Q60*0.65,4)*Basisbedragen!$I$7,2),ROUND(Basisbedragen!$D$36*Basisbedragen!$I$7,2)),ROUND(ROUND(Basisbedragen!$D$27*0.65,4)*Basisbedragen!$I$7,2))+Basisbedragen!$I$10)</f>
        <v>66.06</v>
      </c>
      <c r="J65" s="52">
        <f>IF(MIN(MAX(ROUND(ROUND('Loonschijven_Tranches salariale'!$Q60*0.6,4)*Basisbedragen!$I$7,2),ROUND(Basisbedragen!$D$36*Basisbedragen!$I$7,2)),ROUND(ROUND(Basisbedragen!$D$28*0.6,4)*Basisbedragen!$I$7,2))&lt;= Basisbedragen!$I$8,MIN(MAX(ROUND(ROUND('Loonschijven_Tranches salariale'!$Q60*0.6,4)*Basisbedragen!$I$2,2),ROUND(Basisbedragen!$D$36*Basisbedragen!$I$2,2)),ROUND(ROUND(Basisbedragen!$D$28*0.6,4)*Basisbedragen!$I$2,2)),MIN(MAX(ROUND(ROUND('Loonschijven_Tranches salariale'!$Q60*0.6,4)*Basisbedragen!$I$7,2),ROUND(Basisbedragen!$D$36*Basisbedragen!$I$7,2)),ROUND(ROUND(Basisbedragen!$D$28*0.6,4)*Basisbedragen!$I$7,2))+Basisbedragen!$I$10)</f>
        <v>63.29</v>
      </c>
      <c r="K65" s="52">
        <f>MIN(MAX(ROUND(ROUND('Loonschijven_Tranches salariale'!$Q60*0.6,4)*Basisbedragen!$I$2,2),ROUND(Basisbedragen!$D$37*Basisbedragen!$I$2,2)),ROUND(ROUND(Basisbedragen!$D$29*0.6,4)*Basisbedragen!$I$2,2))</f>
        <v>60.98</v>
      </c>
      <c r="L65" s="38"/>
      <c r="M65" s="52">
        <f t="shared" si="1"/>
        <v>57.53</v>
      </c>
      <c r="N65" s="38"/>
      <c r="O65" s="52">
        <f>IF(MIN(MAX(ROUND(ROUND('Loonschijven_Tranches salariale'!$Q60*0.65,4)*Basisbedragen!$I$7,2),ROUND(Basisbedragen!$D$38*Basisbedragen!$I$7,2)),ROUND(ROUND(Basisbedragen!$D$27*0.65,4)*Basisbedragen!$I$7,2))&lt;= Basisbedragen!$I$8,MIN(MAX(ROUND(ROUND('Loonschijven_Tranches salariale'!$Q60*0.65,4)*Basisbedragen!$I$2,2),ROUND(Basisbedragen!$D$38*Basisbedragen!$I$2,2)),ROUND(ROUND(Basisbedragen!$D$27*0.65,4)*Basisbedragen!$I$2,2)),MIN(MAX(ROUND(ROUND('Loonschijven_Tranches salariale'!$Q60*0.65,4)*Basisbedragen!$I$7,2),ROUND(Basisbedragen!$D$38*Basisbedragen!$I$7,2)),ROUND(ROUND(Basisbedragen!$D$27*0.65,4)*Basisbedragen!$I$7,2))+Basisbedragen!$I$10)</f>
        <v>66.06</v>
      </c>
      <c r="P65" s="52">
        <f>IF(MIN(MAX(ROUND(ROUND('Loonschijven_Tranches salariale'!$Q60*0.6,4)*Basisbedragen!$I$7,2),ROUND(Basisbedragen!$D$39*Basisbedragen!$I$7,2)),ROUND(ROUND(Basisbedragen!$D$28*0.6,4)*Basisbedragen!$I$7,2))&lt;= Basisbedragen!$I$8,MIN(MAX(ROUND(ROUND('Loonschijven_Tranches salariale'!$Q60*0.6,4)*Basisbedragen!$I$2,2),ROUND(Basisbedragen!$D$39*Basisbedragen!$I$2,2)),ROUND(ROUND(Basisbedragen!$D$28*0.6,4)*Basisbedragen!$I$2,2)),MIN(MAX(ROUND(ROUND('Loonschijven_Tranches salariale'!$Q60*0.6,4)*Basisbedragen!$I$7,2),ROUND(Basisbedragen!$D$39*Basisbedragen!$I$7,2)),ROUND(ROUND(Basisbedragen!$D$28*0.6,4)*Basisbedragen!$I$7,2))+Basisbedragen!$I$10)</f>
        <v>60.98</v>
      </c>
      <c r="Q65" s="52">
        <f>MIN(MAX(ROUND(ROUND('Loonschijven_Tranches salariale'!$Q60*0.6,4)*Basisbedragen!$I$2,2),ROUND(Basisbedragen!$D$40*Basisbedragen!$I$2,2)),ROUND(ROUND(Basisbedragen!$D$29*0.6,4)*Basisbedragen!$I$2,2))</f>
        <v>60.98</v>
      </c>
      <c r="R65" s="38"/>
      <c r="S65" s="52">
        <f t="shared" si="2"/>
        <v>42.37</v>
      </c>
      <c r="T65" s="52">
        <f t="shared" si="3"/>
        <v>29.85</v>
      </c>
    </row>
    <row r="66" spans="1:20" ht="15" thickBot="1">
      <c r="A66" s="47">
        <f t="shared" si="4"/>
        <v>54</v>
      </c>
      <c r="C66" s="52">
        <f>IF(MIN(MAX(ROUND(ROUND('Loonschijven_Tranches salariale'!$Q61*0.65,4)*Basisbedragen!$I$7,2),ROUND(Basisbedragen!$D$34*Basisbedragen!$I$7,2)),ROUND(ROUND(Basisbedragen!$D$27*0.65,4)*Basisbedragen!$I$7,2))&lt;= Basisbedragen!$I$8,MIN(MAX(ROUND(ROUND('Loonschijven_Tranches salariale'!$Q61*0.65,4)*Basisbedragen!$I$2,2),ROUND(Basisbedragen!$D$34*Basisbedragen!$I$2,2)),ROUND(ROUND(Basisbedragen!$D$27*0.65,4)*Basisbedragen!$I$2,2)),MIN(MAX(ROUND(ROUND('Loonschijven_Tranches salariale'!$Q61*0.65,4)*Basisbedragen!$I$7,2),ROUND(Basisbedragen!$D$34*Basisbedragen!$I$7,2)),ROUND(ROUND(Basisbedragen!$D$27*0.65,4)*Basisbedragen!$I$7,2))+Basisbedragen!$I$10)</f>
        <v>78.09</v>
      </c>
      <c r="D66" s="52">
        <f>IF(MIN(MAX(ROUND(ROUND('Loonschijven_Tranches salariale'!$Q61*0.6,4)*Basisbedragen!$I$7,2),ROUND(Basisbedragen!$D$34*Basisbedragen!$I$7,2)),ROUND(ROUND(Basisbedragen!$D$28*0.6,4)*Basisbedragen!$I$7,2))&lt;= Basisbedragen!$I$8,MIN(MAX(ROUND(ROUND('Loonschijven_Tranches salariale'!$Q61*0.6,4)*Basisbedragen!$I$2,2),ROUND(Basisbedragen!$D$34*Basisbedragen!$I$2,2)),ROUND(ROUND(Basisbedragen!$D$28*0.6,4)*Basisbedragen!$I$2,2)),MIN(MAX(ROUND(ROUND('Loonschijven_Tranches salariale'!$Q61*0.6,4)*Basisbedragen!$I$7,2),ROUND(Basisbedragen!$D$34*Basisbedragen!$I$7,2)),ROUND(ROUND(Basisbedragen!$D$28*0.6,4)*Basisbedragen!$I$7,2))+Basisbedragen!$I$10)</f>
        <v>78.09</v>
      </c>
      <c r="E66" s="52">
        <f>MIN(MAX(ROUND(ROUND('Loonschijven_Tranches salariale'!$Q61*0.6,4)*Basisbedragen!$I$2,2),ROUND(Basisbedragen!$D$35*Basisbedragen!$I$2,2)),ROUND(ROUND(Basisbedragen!$D$29*0.6,4)*Basisbedragen!$I$2,2))</f>
        <v>70.989999999999995</v>
      </c>
      <c r="F66" s="38"/>
      <c r="G66" s="52">
        <f t="shared" si="0"/>
        <v>70.989999999999995</v>
      </c>
      <c r="H66" s="38"/>
      <c r="I66" s="52">
        <f>IF(MIN(MAX(ROUND(ROUND('Loonschijven_Tranches salariale'!$Q61*0.65,4)*Basisbedragen!$I$7,2),ROUND(Basisbedragen!$D$36*Basisbedragen!$I$7,2)),ROUND(ROUND(Basisbedragen!$D$27*0.65,4)*Basisbedragen!$I$7,2))&lt;= Basisbedragen!$I$8,MIN(MAX(ROUND(ROUND('Loonschijven_Tranches salariale'!$Q61*0.65,4)*Basisbedragen!$I$2,2),ROUND(Basisbedragen!$D$36*Basisbedragen!$I$2,2)),ROUND(ROUND(Basisbedragen!$D$27*0.65,4)*Basisbedragen!$I$2,2)),MIN(MAX(ROUND(ROUND('Loonschijven_Tranches salariale'!$Q61*0.65,4)*Basisbedragen!$I$7,2),ROUND(Basisbedragen!$D$36*Basisbedragen!$I$7,2)),ROUND(ROUND(Basisbedragen!$D$27*0.65,4)*Basisbedragen!$I$7,2))+Basisbedragen!$I$10)</f>
        <v>66.569999999999993</v>
      </c>
      <c r="J66" s="52">
        <f>IF(MIN(MAX(ROUND(ROUND('Loonschijven_Tranches salariale'!$Q61*0.6,4)*Basisbedragen!$I$7,2),ROUND(Basisbedragen!$D$36*Basisbedragen!$I$7,2)),ROUND(ROUND(Basisbedragen!$D$28*0.6,4)*Basisbedragen!$I$7,2))&lt;= Basisbedragen!$I$8,MIN(MAX(ROUND(ROUND('Loonschijven_Tranches salariale'!$Q61*0.6,4)*Basisbedragen!$I$2,2),ROUND(Basisbedragen!$D$36*Basisbedragen!$I$2,2)),ROUND(ROUND(Basisbedragen!$D$28*0.6,4)*Basisbedragen!$I$2,2)),MIN(MAX(ROUND(ROUND('Loonschijven_Tranches salariale'!$Q61*0.6,4)*Basisbedragen!$I$7,2),ROUND(Basisbedragen!$D$36*Basisbedragen!$I$7,2)),ROUND(ROUND(Basisbedragen!$D$28*0.6,4)*Basisbedragen!$I$7,2))+Basisbedragen!$I$10)</f>
        <v>63.29</v>
      </c>
      <c r="K66" s="52">
        <f>MIN(MAX(ROUND(ROUND('Loonschijven_Tranches salariale'!$Q61*0.6,4)*Basisbedragen!$I$2,2),ROUND(Basisbedragen!$D$37*Basisbedragen!$I$2,2)),ROUND(ROUND(Basisbedragen!$D$29*0.6,4)*Basisbedragen!$I$2,2))</f>
        <v>61.45</v>
      </c>
      <c r="L66" s="38"/>
      <c r="M66" s="52">
        <f t="shared" si="1"/>
        <v>57.53</v>
      </c>
      <c r="N66" s="38"/>
      <c r="O66" s="52">
        <f>IF(MIN(MAX(ROUND(ROUND('Loonschijven_Tranches salariale'!$Q61*0.65,4)*Basisbedragen!$I$7,2),ROUND(Basisbedragen!$D$38*Basisbedragen!$I$7,2)),ROUND(ROUND(Basisbedragen!$D$27*0.65,4)*Basisbedragen!$I$7,2))&lt;= Basisbedragen!$I$8,MIN(MAX(ROUND(ROUND('Loonschijven_Tranches salariale'!$Q61*0.65,4)*Basisbedragen!$I$2,2),ROUND(Basisbedragen!$D$38*Basisbedragen!$I$2,2)),ROUND(ROUND(Basisbedragen!$D$27*0.65,4)*Basisbedragen!$I$2,2)),MIN(MAX(ROUND(ROUND('Loonschijven_Tranches salariale'!$Q61*0.65,4)*Basisbedragen!$I$7,2),ROUND(Basisbedragen!$D$38*Basisbedragen!$I$7,2)),ROUND(ROUND(Basisbedragen!$D$27*0.65,4)*Basisbedragen!$I$7,2))+Basisbedragen!$I$10)</f>
        <v>66.569999999999993</v>
      </c>
      <c r="P66" s="52">
        <f>IF(MIN(MAX(ROUND(ROUND('Loonschijven_Tranches salariale'!$Q61*0.6,4)*Basisbedragen!$I$7,2),ROUND(Basisbedragen!$D$39*Basisbedragen!$I$7,2)),ROUND(ROUND(Basisbedragen!$D$28*0.6,4)*Basisbedragen!$I$7,2))&lt;= Basisbedragen!$I$8,MIN(MAX(ROUND(ROUND('Loonschijven_Tranches salariale'!$Q61*0.6,4)*Basisbedragen!$I$2,2),ROUND(Basisbedragen!$D$39*Basisbedragen!$I$2,2)),ROUND(ROUND(Basisbedragen!$D$28*0.6,4)*Basisbedragen!$I$2,2)),MIN(MAX(ROUND(ROUND('Loonschijven_Tranches salariale'!$Q61*0.6,4)*Basisbedragen!$I$7,2),ROUND(Basisbedragen!$D$39*Basisbedragen!$I$7,2)),ROUND(ROUND(Basisbedragen!$D$28*0.6,4)*Basisbedragen!$I$7,2))+Basisbedragen!$I$10)</f>
        <v>61.45</v>
      </c>
      <c r="Q66" s="52">
        <f>MIN(MAX(ROUND(ROUND('Loonschijven_Tranches salariale'!$Q61*0.6,4)*Basisbedragen!$I$2,2),ROUND(Basisbedragen!$D$40*Basisbedragen!$I$2,2)),ROUND(ROUND(Basisbedragen!$D$29*0.6,4)*Basisbedragen!$I$2,2))</f>
        <v>61.45</v>
      </c>
      <c r="R66" s="38"/>
      <c r="S66" s="52">
        <f t="shared" si="2"/>
        <v>42.37</v>
      </c>
      <c r="T66" s="52">
        <f t="shared" si="3"/>
        <v>29.85</v>
      </c>
    </row>
    <row r="67" spans="1:20" ht="15" thickBot="1">
      <c r="A67" s="47">
        <f t="shared" si="4"/>
        <v>55</v>
      </c>
      <c r="C67" s="52">
        <f>IF(MIN(MAX(ROUND(ROUND('Loonschijven_Tranches salariale'!$Q62*0.65,4)*Basisbedragen!$I$7,2),ROUND(Basisbedragen!$D$34*Basisbedragen!$I$7,2)),ROUND(ROUND(Basisbedragen!$D$27*0.65,4)*Basisbedragen!$I$7,2))&lt;= Basisbedragen!$I$8,MIN(MAX(ROUND(ROUND('Loonschijven_Tranches salariale'!$Q62*0.65,4)*Basisbedragen!$I$2,2),ROUND(Basisbedragen!$D$34*Basisbedragen!$I$2,2)),ROUND(ROUND(Basisbedragen!$D$27*0.65,4)*Basisbedragen!$I$2,2)),MIN(MAX(ROUND(ROUND('Loonschijven_Tranches salariale'!$Q62*0.65,4)*Basisbedragen!$I$7,2),ROUND(Basisbedragen!$D$34*Basisbedragen!$I$7,2)),ROUND(ROUND(Basisbedragen!$D$27*0.65,4)*Basisbedragen!$I$7,2))+Basisbedragen!$I$10)</f>
        <v>78.09</v>
      </c>
      <c r="D67" s="52">
        <f>IF(MIN(MAX(ROUND(ROUND('Loonschijven_Tranches salariale'!$Q62*0.6,4)*Basisbedragen!$I$7,2),ROUND(Basisbedragen!$D$34*Basisbedragen!$I$7,2)),ROUND(ROUND(Basisbedragen!$D$28*0.6,4)*Basisbedragen!$I$7,2))&lt;= Basisbedragen!$I$8,MIN(MAX(ROUND(ROUND('Loonschijven_Tranches salariale'!$Q62*0.6,4)*Basisbedragen!$I$2,2),ROUND(Basisbedragen!$D$34*Basisbedragen!$I$2,2)),ROUND(ROUND(Basisbedragen!$D$28*0.6,4)*Basisbedragen!$I$2,2)),MIN(MAX(ROUND(ROUND('Loonschijven_Tranches salariale'!$Q62*0.6,4)*Basisbedragen!$I$7,2),ROUND(Basisbedragen!$D$34*Basisbedragen!$I$7,2)),ROUND(ROUND(Basisbedragen!$D$28*0.6,4)*Basisbedragen!$I$7,2))+Basisbedragen!$I$10)</f>
        <v>78.09</v>
      </c>
      <c r="E67" s="52">
        <f>MIN(MAX(ROUND(ROUND('Loonschijven_Tranches salariale'!$Q62*0.6,4)*Basisbedragen!$I$2,2),ROUND(Basisbedragen!$D$35*Basisbedragen!$I$2,2)),ROUND(ROUND(Basisbedragen!$D$29*0.6,4)*Basisbedragen!$I$2,2))</f>
        <v>70.989999999999995</v>
      </c>
      <c r="F67" s="38"/>
      <c r="G67" s="52">
        <f t="shared" si="0"/>
        <v>70.989999999999995</v>
      </c>
      <c r="H67" s="38"/>
      <c r="I67" s="52">
        <f>IF(MIN(MAX(ROUND(ROUND('Loonschijven_Tranches salariale'!$Q62*0.65,4)*Basisbedragen!$I$7,2),ROUND(Basisbedragen!$D$36*Basisbedragen!$I$7,2)),ROUND(ROUND(Basisbedragen!$D$27*0.65,4)*Basisbedragen!$I$7,2))&lt;= Basisbedragen!$I$8,MIN(MAX(ROUND(ROUND('Loonschijven_Tranches salariale'!$Q62*0.65,4)*Basisbedragen!$I$2,2),ROUND(Basisbedragen!$D$36*Basisbedragen!$I$2,2)),ROUND(ROUND(Basisbedragen!$D$27*0.65,4)*Basisbedragen!$I$2,2)),MIN(MAX(ROUND(ROUND('Loonschijven_Tranches salariale'!$Q62*0.65,4)*Basisbedragen!$I$7,2),ROUND(Basisbedragen!$D$36*Basisbedragen!$I$7,2)),ROUND(ROUND(Basisbedragen!$D$27*0.65,4)*Basisbedragen!$I$7,2))+Basisbedragen!$I$10)</f>
        <v>67.069999999999993</v>
      </c>
      <c r="J67" s="52">
        <f>IF(MIN(MAX(ROUND(ROUND('Loonschijven_Tranches salariale'!$Q62*0.6,4)*Basisbedragen!$I$7,2),ROUND(Basisbedragen!$D$36*Basisbedragen!$I$7,2)),ROUND(ROUND(Basisbedragen!$D$28*0.6,4)*Basisbedragen!$I$7,2))&lt;= Basisbedragen!$I$8,MIN(MAX(ROUND(ROUND('Loonschijven_Tranches salariale'!$Q62*0.6,4)*Basisbedragen!$I$2,2),ROUND(Basisbedragen!$D$36*Basisbedragen!$I$2,2)),ROUND(ROUND(Basisbedragen!$D$28*0.6,4)*Basisbedragen!$I$2,2)),MIN(MAX(ROUND(ROUND('Loonschijven_Tranches salariale'!$Q62*0.6,4)*Basisbedragen!$I$7,2),ROUND(Basisbedragen!$D$36*Basisbedragen!$I$7,2)),ROUND(ROUND(Basisbedragen!$D$28*0.6,4)*Basisbedragen!$I$7,2))+Basisbedragen!$I$10)</f>
        <v>63.29</v>
      </c>
      <c r="K67" s="52">
        <f>MIN(MAX(ROUND(ROUND('Loonschijven_Tranches salariale'!$Q62*0.6,4)*Basisbedragen!$I$2,2),ROUND(Basisbedragen!$D$37*Basisbedragen!$I$2,2)),ROUND(ROUND(Basisbedragen!$D$29*0.6,4)*Basisbedragen!$I$2,2))</f>
        <v>61.91</v>
      </c>
      <c r="L67" s="38"/>
      <c r="M67" s="52">
        <f t="shared" si="1"/>
        <v>57.53</v>
      </c>
      <c r="N67" s="38"/>
      <c r="O67" s="52">
        <f>IF(MIN(MAX(ROUND(ROUND('Loonschijven_Tranches salariale'!$Q62*0.65,4)*Basisbedragen!$I$7,2),ROUND(Basisbedragen!$D$38*Basisbedragen!$I$7,2)),ROUND(ROUND(Basisbedragen!$D$27*0.65,4)*Basisbedragen!$I$7,2))&lt;= Basisbedragen!$I$8,MIN(MAX(ROUND(ROUND('Loonschijven_Tranches salariale'!$Q62*0.65,4)*Basisbedragen!$I$2,2),ROUND(Basisbedragen!$D$38*Basisbedragen!$I$2,2)),ROUND(ROUND(Basisbedragen!$D$27*0.65,4)*Basisbedragen!$I$2,2)),MIN(MAX(ROUND(ROUND('Loonschijven_Tranches salariale'!$Q62*0.65,4)*Basisbedragen!$I$7,2),ROUND(Basisbedragen!$D$38*Basisbedragen!$I$7,2)),ROUND(ROUND(Basisbedragen!$D$27*0.65,4)*Basisbedragen!$I$7,2))+Basisbedragen!$I$10)</f>
        <v>67.069999999999993</v>
      </c>
      <c r="P67" s="52">
        <f>IF(MIN(MAX(ROUND(ROUND('Loonschijven_Tranches salariale'!$Q62*0.6,4)*Basisbedragen!$I$7,2),ROUND(Basisbedragen!$D$39*Basisbedragen!$I$7,2)),ROUND(ROUND(Basisbedragen!$D$28*0.6,4)*Basisbedragen!$I$7,2))&lt;= Basisbedragen!$I$8,MIN(MAX(ROUND(ROUND('Loonschijven_Tranches salariale'!$Q62*0.6,4)*Basisbedragen!$I$2,2),ROUND(Basisbedragen!$D$39*Basisbedragen!$I$2,2)),ROUND(ROUND(Basisbedragen!$D$28*0.6,4)*Basisbedragen!$I$2,2)),MIN(MAX(ROUND(ROUND('Loonschijven_Tranches salariale'!$Q62*0.6,4)*Basisbedragen!$I$7,2),ROUND(Basisbedragen!$D$39*Basisbedragen!$I$7,2)),ROUND(ROUND(Basisbedragen!$D$28*0.6,4)*Basisbedragen!$I$7,2))+Basisbedragen!$I$10)</f>
        <v>61.91</v>
      </c>
      <c r="Q67" s="52">
        <f>MIN(MAX(ROUND(ROUND('Loonschijven_Tranches salariale'!$Q62*0.6,4)*Basisbedragen!$I$2,2),ROUND(Basisbedragen!$D$40*Basisbedragen!$I$2,2)),ROUND(ROUND(Basisbedragen!$D$29*0.6,4)*Basisbedragen!$I$2,2))</f>
        <v>61.91</v>
      </c>
      <c r="R67" s="38"/>
      <c r="S67" s="52">
        <f t="shared" si="2"/>
        <v>42.37</v>
      </c>
      <c r="T67" s="408">
        <f t="shared" si="3"/>
        <v>29.85</v>
      </c>
    </row>
    <row r="68" spans="1:20" ht="15" thickBot="1">
      <c r="A68" s="47">
        <f t="shared" si="4"/>
        <v>56</v>
      </c>
      <c r="C68" s="52">
        <f>IF(MIN(MAX(ROUND(ROUND('Loonschijven_Tranches salariale'!$Q63*0.65,4)*Basisbedragen!$I$7,2),ROUND(Basisbedragen!$D$34*Basisbedragen!$I$7,2)),ROUND(ROUND(Basisbedragen!$D$27*0.65,4)*Basisbedragen!$I$7,2))&lt;= Basisbedragen!$I$8,MIN(MAX(ROUND(ROUND('Loonschijven_Tranches salariale'!$Q63*0.65,4)*Basisbedragen!$I$2,2),ROUND(Basisbedragen!$D$34*Basisbedragen!$I$2,2)),ROUND(ROUND(Basisbedragen!$D$27*0.65,4)*Basisbedragen!$I$2,2)),MIN(MAX(ROUND(ROUND('Loonschijven_Tranches salariale'!$Q63*0.65,4)*Basisbedragen!$I$7,2),ROUND(Basisbedragen!$D$34*Basisbedragen!$I$7,2)),ROUND(ROUND(Basisbedragen!$D$27*0.65,4)*Basisbedragen!$I$7,2))+Basisbedragen!$I$10)</f>
        <v>78.09</v>
      </c>
      <c r="D68" s="52">
        <f>IF(MIN(MAX(ROUND(ROUND('Loonschijven_Tranches salariale'!$Q63*0.6,4)*Basisbedragen!$I$7,2),ROUND(Basisbedragen!$D$34*Basisbedragen!$I$7,2)),ROUND(ROUND(Basisbedragen!$D$28*0.6,4)*Basisbedragen!$I$7,2))&lt;= Basisbedragen!$I$8,MIN(MAX(ROUND(ROUND('Loonschijven_Tranches salariale'!$Q63*0.6,4)*Basisbedragen!$I$2,2),ROUND(Basisbedragen!$D$34*Basisbedragen!$I$2,2)),ROUND(ROUND(Basisbedragen!$D$28*0.6,4)*Basisbedragen!$I$2,2)),MIN(MAX(ROUND(ROUND('Loonschijven_Tranches salariale'!$Q63*0.6,4)*Basisbedragen!$I$7,2),ROUND(Basisbedragen!$D$34*Basisbedragen!$I$7,2)),ROUND(ROUND(Basisbedragen!$D$28*0.6,4)*Basisbedragen!$I$7,2))+Basisbedragen!$I$10)</f>
        <v>78.09</v>
      </c>
      <c r="E68" s="52">
        <f>MIN(MAX(ROUND(ROUND('Loonschijven_Tranches salariale'!$Q63*0.6,4)*Basisbedragen!$I$2,2),ROUND(Basisbedragen!$D$35*Basisbedragen!$I$2,2)),ROUND(ROUND(Basisbedragen!$D$29*0.6,4)*Basisbedragen!$I$2,2))</f>
        <v>70.989999999999995</v>
      </c>
      <c r="F68" s="38"/>
      <c r="G68" s="52">
        <f t="shared" si="0"/>
        <v>70.989999999999995</v>
      </c>
      <c r="H68" s="38"/>
      <c r="I68" s="52">
        <f>IF(MIN(MAX(ROUND(ROUND('Loonschijven_Tranches salariale'!$Q63*0.65,4)*Basisbedragen!$I$7,2),ROUND(Basisbedragen!$D$36*Basisbedragen!$I$7,2)),ROUND(ROUND(Basisbedragen!$D$27*0.65,4)*Basisbedragen!$I$7,2))&lt;= Basisbedragen!$I$8,MIN(MAX(ROUND(ROUND('Loonschijven_Tranches salariale'!$Q63*0.65,4)*Basisbedragen!$I$2,2),ROUND(Basisbedragen!$D$36*Basisbedragen!$I$2,2)),ROUND(ROUND(Basisbedragen!$D$27*0.65,4)*Basisbedragen!$I$2,2)),MIN(MAX(ROUND(ROUND('Loonschijven_Tranches salariale'!$Q63*0.65,4)*Basisbedragen!$I$7,2),ROUND(Basisbedragen!$D$36*Basisbedragen!$I$7,2)),ROUND(ROUND(Basisbedragen!$D$27*0.65,4)*Basisbedragen!$I$7,2))+Basisbedragen!$I$10)</f>
        <v>68.09</v>
      </c>
      <c r="J68" s="52">
        <f>IF(MIN(MAX(ROUND(ROUND('Loonschijven_Tranches salariale'!$Q63*0.6,4)*Basisbedragen!$I$7,2),ROUND(Basisbedragen!$D$36*Basisbedragen!$I$7,2)),ROUND(ROUND(Basisbedragen!$D$28*0.6,4)*Basisbedragen!$I$7,2))&lt;= Basisbedragen!$I$8,MIN(MAX(ROUND(ROUND('Loonschijven_Tranches salariale'!$Q63*0.6,4)*Basisbedragen!$I$2,2),ROUND(Basisbedragen!$D$36*Basisbedragen!$I$2,2)),ROUND(ROUND(Basisbedragen!$D$28*0.6,4)*Basisbedragen!$I$2,2)),MIN(MAX(ROUND(ROUND('Loonschijven_Tranches salariale'!$Q63*0.6,4)*Basisbedragen!$I$7,2),ROUND(Basisbedragen!$D$36*Basisbedragen!$I$7,2)),ROUND(ROUND(Basisbedragen!$D$28*0.6,4)*Basisbedragen!$I$7,2))+Basisbedragen!$I$10)</f>
        <v>63.29</v>
      </c>
      <c r="K68" s="52">
        <f>MIN(MAX(ROUND(ROUND('Loonschijven_Tranches salariale'!$Q63*0.6,4)*Basisbedragen!$I$2,2),ROUND(Basisbedragen!$D$37*Basisbedragen!$I$2,2)),ROUND(ROUND(Basisbedragen!$D$29*0.6,4)*Basisbedragen!$I$2,2))</f>
        <v>62.85</v>
      </c>
      <c r="L68" s="38"/>
      <c r="M68" s="52">
        <f t="shared" si="1"/>
        <v>57.53</v>
      </c>
      <c r="N68" s="38"/>
      <c r="O68" s="52">
        <f>IF(MIN(MAX(ROUND(ROUND('Loonschijven_Tranches salariale'!$Q63*0.65,4)*Basisbedragen!$I$7,2),ROUND(Basisbedragen!$D$38*Basisbedragen!$I$7,2)),ROUND(ROUND(Basisbedragen!$D$27*0.65,4)*Basisbedragen!$I$7,2))&lt;= Basisbedragen!$I$8,MIN(MAX(ROUND(ROUND('Loonschijven_Tranches salariale'!$Q63*0.65,4)*Basisbedragen!$I$2,2),ROUND(Basisbedragen!$D$38*Basisbedragen!$I$2,2)),ROUND(ROUND(Basisbedragen!$D$27*0.65,4)*Basisbedragen!$I$2,2)),MIN(MAX(ROUND(ROUND('Loonschijven_Tranches salariale'!$Q63*0.65,4)*Basisbedragen!$I$7,2),ROUND(Basisbedragen!$D$38*Basisbedragen!$I$7,2)),ROUND(ROUND(Basisbedragen!$D$27*0.65,4)*Basisbedragen!$I$7,2))+Basisbedragen!$I$10)</f>
        <v>68.09</v>
      </c>
      <c r="P68" s="52">
        <f>IF(MIN(MAX(ROUND(ROUND('Loonschijven_Tranches salariale'!$Q63*0.6,4)*Basisbedragen!$I$7,2),ROUND(Basisbedragen!$D$39*Basisbedragen!$I$7,2)),ROUND(ROUND(Basisbedragen!$D$28*0.6,4)*Basisbedragen!$I$7,2))&lt;= Basisbedragen!$I$8,MIN(MAX(ROUND(ROUND('Loonschijven_Tranches salariale'!$Q63*0.6,4)*Basisbedragen!$I$2,2),ROUND(Basisbedragen!$D$39*Basisbedragen!$I$2,2)),ROUND(ROUND(Basisbedragen!$D$28*0.6,4)*Basisbedragen!$I$2,2)),MIN(MAX(ROUND(ROUND('Loonschijven_Tranches salariale'!$Q63*0.6,4)*Basisbedragen!$I$7,2),ROUND(Basisbedragen!$D$39*Basisbedragen!$I$7,2)),ROUND(ROUND(Basisbedragen!$D$28*0.6,4)*Basisbedragen!$I$7,2))+Basisbedragen!$I$10)</f>
        <v>62.85</v>
      </c>
      <c r="Q68" s="52">
        <f>MIN(MAX(ROUND(ROUND('Loonschijven_Tranches salariale'!$Q63*0.6,4)*Basisbedragen!$I$2,2),ROUND(Basisbedragen!$D$40*Basisbedragen!$I$2,2)),ROUND(ROUND(Basisbedragen!$D$29*0.6,4)*Basisbedragen!$I$2,2))</f>
        <v>62.85</v>
      </c>
      <c r="R68" s="38"/>
      <c r="S68" s="52">
        <f t="shared" si="2"/>
        <v>42.37</v>
      </c>
      <c r="T68" s="52">
        <f t="shared" si="3"/>
        <v>29.85</v>
      </c>
    </row>
    <row r="69" spans="1:20" ht="15" thickBot="1">
      <c r="A69" s="47">
        <f t="shared" si="4"/>
        <v>57</v>
      </c>
      <c r="C69" s="52">
        <f>IF(MIN(MAX(ROUND(ROUND('Loonschijven_Tranches salariale'!$Q64*0.65,4)*Basisbedragen!$I$7,2),ROUND(Basisbedragen!$D$34*Basisbedragen!$I$7,2)),ROUND(ROUND(Basisbedragen!$D$27*0.65,4)*Basisbedragen!$I$7,2))&lt;= Basisbedragen!$I$8,MIN(MAX(ROUND(ROUND('Loonschijven_Tranches salariale'!$Q64*0.65,4)*Basisbedragen!$I$2,2),ROUND(Basisbedragen!$D$34*Basisbedragen!$I$2,2)),ROUND(ROUND(Basisbedragen!$D$27*0.65,4)*Basisbedragen!$I$2,2)),MIN(MAX(ROUND(ROUND('Loonschijven_Tranches salariale'!$Q64*0.65,4)*Basisbedragen!$I$7,2),ROUND(Basisbedragen!$D$34*Basisbedragen!$I$7,2)),ROUND(ROUND(Basisbedragen!$D$27*0.65,4)*Basisbedragen!$I$7,2))+Basisbedragen!$I$10)</f>
        <v>78.09</v>
      </c>
      <c r="D69" s="52">
        <f>IF(MIN(MAX(ROUND(ROUND('Loonschijven_Tranches salariale'!$Q64*0.6,4)*Basisbedragen!$I$7,2),ROUND(Basisbedragen!$D$34*Basisbedragen!$I$7,2)),ROUND(ROUND(Basisbedragen!$D$28*0.6,4)*Basisbedragen!$I$7,2))&lt;= Basisbedragen!$I$8,MIN(MAX(ROUND(ROUND('Loonschijven_Tranches salariale'!$Q64*0.6,4)*Basisbedragen!$I$2,2),ROUND(Basisbedragen!$D$34*Basisbedragen!$I$2,2)),ROUND(ROUND(Basisbedragen!$D$28*0.6,4)*Basisbedragen!$I$2,2)),MIN(MAX(ROUND(ROUND('Loonschijven_Tranches salariale'!$Q64*0.6,4)*Basisbedragen!$I$7,2),ROUND(Basisbedragen!$D$34*Basisbedragen!$I$7,2)),ROUND(ROUND(Basisbedragen!$D$28*0.6,4)*Basisbedragen!$I$7,2))+Basisbedragen!$I$10)</f>
        <v>78.09</v>
      </c>
      <c r="E69" s="52">
        <f>MIN(MAX(ROUND(ROUND('Loonschijven_Tranches salariale'!$Q64*0.6,4)*Basisbedragen!$I$2,2),ROUND(Basisbedragen!$D$35*Basisbedragen!$I$2,2)),ROUND(ROUND(Basisbedragen!$D$29*0.6,4)*Basisbedragen!$I$2,2))</f>
        <v>70.989999999999995</v>
      </c>
      <c r="F69" s="38"/>
      <c r="G69" s="52">
        <f t="shared" si="0"/>
        <v>70.989999999999995</v>
      </c>
      <c r="H69" s="38"/>
      <c r="I69" s="52">
        <f>IF(MIN(MAX(ROUND(ROUND('Loonschijven_Tranches salariale'!$Q64*0.65,4)*Basisbedragen!$I$7,2),ROUND(Basisbedragen!$D$36*Basisbedragen!$I$7,2)),ROUND(ROUND(Basisbedragen!$D$27*0.65,4)*Basisbedragen!$I$7,2))&lt;= Basisbedragen!$I$8,MIN(MAX(ROUND(ROUND('Loonschijven_Tranches salariale'!$Q64*0.65,4)*Basisbedragen!$I$2,2),ROUND(Basisbedragen!$D$36*Basisbedragen!$I$2,2)),ROUND(ROUND(Basisbedragen!$D$27*0.65,4)*Basisbedragen!$I$2,2)),MIN(MAX(ROUND(ROUND('Loonschijven_Tranches salariale'!$Q64*0.65,4)*Basisbedragen!$I$7,2),ROUND(Basisbedragen!$D$36*Basisbedragen!$I$7,2)),ROUND(ROUND(Basisbedragen!$D$27*0.65,4)*Basisbedragen!$I$7,2))+Basisbedragen!$I$10)</f>
        <v>69.11</v>
      </c>
      <c r="J69" s="52">
        <f>IF(MIN(MAX(ROUND(ROUND('Loonschijven_Tranches salariale'!$Q64*0.6,4)*Basisbedragen!$I$7,2),ROUND(Basisbedragen!$D$36*Basisbedragen!$I$7,2)),ROUND(ROUND(Basisbedragen!$D$28*0.6,4)*Basisbedragen!$I$7,2))&lt;= Basisbedragen!$I$8,MIN(MAX(ROUND(ROUND('Loonschijven_Tranches salariale'!$Q64*0.6,4)*Basisbedragen!$I$2,2),ROUND(Basisbedragen!$D$36*Basisbedragen!$I$2,2)),ROUND(ROUND(Basisbedragen!$D$28*0.6,4)*Basisbedragen!$I$2,2)),MIN(MAX(ROUND(ROUND('Loonschijven_Tranches salariale'!$Q64*0.6,4)*Basisbedragen!$I$7,2),ROUND(Basisbedragen!$D$36*Basisbedragen!$I$7,2)),ROUND(ROUND(Basisbedragen!$D$28*0.6,4)*Basisbedragen!$I$7,2))+Basisbedragen!$I$10)</f>
        <v>63.79</v>
      </c>
      <c r="K69" s="52">
        <f>MIN(MAX(ROUND(ROUND('Loonschijven_Tranches salariale'!$Q64*0.6,4)*Basisbedragen!$I$2,2),ROUND(Basisbedragen!$D$37*Basisbedragen!$I$2,2)),ROUND(ROUND(Basisbedragen!$D$29*0.6,4)*Basisbedragen!$I$2,2))</f>
        <v>63.79</v>
      </c>
      <c r="L69" s="38"/>
      <c r="M69" s="52">
        <f t="shared" si="1"/>
        <v>57.53</v>
      </c>
      <c r="N69" s="38"/>
      <c r="O69" s="52">
        <f>IF(MIN(MAX(ROUND(ROUND('Loonschijven_Tranches salariale'!$Q64*0.65,4)*Basisbedragen!$I$7,2),ROUND(Basisbedragen!$D$38*Basisbedragen!$I$7,2)),ROUND(ROUND(Basisbedragen!$D$27*0.65,4)*Basisbedragen!$I$7,2))&lt;= Basisbedragen!$I$8,MIN(MAX(ROUND(ROUND('Loonschijven_Tranches salariale'!$Q64*0.65,4)*Basisbedragen!$I$2,2),ROUND(Basisbedragen!$D$38*Basisbedragen!$I$2,2)),ROUND(ROUND(Basisbedragen!$D$27*0.65,4)*Basisbedragen!$I$2,2)),MIN(MAX(ROUND(ROUND('Loonschijven_Tranches salariale'!$Q64*0.65,4)*Basisbedragen!$I$7,2),ROUND(Basisbedragen!$D$38*Basisbedragen!$I$7,2)),ROUND(ROUND(Basisbedragen!$D$27*0.65,4)*Basisbedragen!$I$7,2))+Basisbedragen!$I$10)</f>
        <v>69.11</v>
      </c>
      <c r="P69" s="52">
        <f>IF(MIN(MAX(ROUND(ROUND('Loonschijven_Tranches salariale'!$Q64*0.6,4)*Basisbedragen!$I$7,2),ROUND(Basisbedragen!$D$39*Basisbedragen!$I$7,2)),ROUND(ROUND(Basisbedragen!$D$28*0.6,4)*Basisbedragen!$I$7,2))&lt;= Basisbedragen!$I$8,MIN(MAX(ROUND(ROUND('Loonschijven_Tranches salariale'!$Q64*0.6,4)*Basisbedragen!$I$2,2),ROUND(Basisbedragen!$D$39*Basisbedragen!$I$2,2)),ROUND(ROUND(Basisbedragen!$D$28*0.6,4)*Basisbedragen!$I$2,2)),MIN(MAX(ROUND(ROUND('Loonschijven_Tranches salariale'!$Q64*0.6,4)*Basisbedragen!$I$7,2),ROUND(Basisbedragen!$D$39*Basisbedragen!$I$7,2)),ROUND(ROUND(Basisbedragen!$D$28*0.6,4)*Basisbedragen!$I$7,2))+Basisbedragen!$I$10)</f>
        <v>63.79</v>
      </c>
      <c r="Q69" s="52">
        <f>MIN(MAX(ROUND(ROUND('Loonschijven_Tranches salariale'!$Q64*0.6,4)*Basisbedragen!$I$2,2),ROUND(Basisbedragen!$D$40*Basisbedragen!$I$2,2)),ROUND(ROUND(Basisbedragen!$D$29*0.6,4)*Basisbedragen!$I$2,2))</f>
        <v>63.79</v>
      </c>
      <c r="R69" s="38"/>
      <c r="S69" s="52">
        <f t="shared" si="2"/>
        <v>42.37</v>
      </c>
      <c r="T69" s="52">
        <f t="shared" si="3"/>
        <v>29.85</v>
      </c>
    </row>
    <row r="70" spans="1:20" ht="15" thickBot="1">
      <c r="A70" s="47">
        <f t="shared" si="4"/>
        <v>58</v>
      </c>
      <c r="C70" s="52">
        <f>IF(MIN(MAX(ROUND(ROUND('Loonschijven_Tranches salariale'!$Q65*0.65,4)*Basisbedragen!$I$7,2),ROUND(Basisbedragen!$D$34*Basisbedragen!$I$7,2)),ROUND(ROUND(Basisbedragen!$D$27*0.65,4)*Basisbedragen!$I$7,2))&lt;= Basisbedragen!$I$8,MIN(MAX(ROUND(ROUND('Loonschijven_Tranches salariale'!$Q65*0.65,4)*Basisbedragen!$I$2,2),ROUND(Basisbedragen!$D$34*Basisbedragen!$I$2,2)),ROUND(ROUND(Basisbedragen!$D$27*0.65,4)*Basisbedragen!$I$2,2)),MIN(MAX(ROUND(ROUND('Loonschijven_Tranches salariale'!$Q65*0.65,4)*Basisbedragen!$I$7,2),ROUND(Basisbedragen!$D$34*Basisbedragen!$I$7,2)),ROUND(ROUND(Basisbedragen!$D$27*0.65,4)*Basisbedragen!$I$7,2))+Basisbedragen!$I$10)</f>
        <v>78.09</v>
      </c>
      <c r="D70" s="52">
        <f>IF(MIN(MAX(ROUND(ROUND('Loonschijven_Tranches salariale'!$Q65*0.6,4)*Basisbedragen!$I$7,2),ROUND(Basisbedragen!$D$34*Basisbedragen!$I$7,2)),ROUND(ROUND(Basisbedragen!$D$28*0.6,4)*Basisbedragen!$I$7,2))&lt;= Basisbedragen!$I$8,MIN(MAX(ROUND(ROUND('Loonschijven_Tranches salariale'!$Q65*0.6,4)*Basisbedragen!$I$2,2),ROUND(Basisbedragen!$D$34*Basisbedragen!$I$2,2)),ROUND(ROUND(Basisbedragen!$D$28*0.6,4)*Basisbedragen!$I$2,2)),MIN(MAX(ROUND(ROUND('Loonschijven_Tranches salariale'!$Q65*0.6,4)*Basisbedragen!$I$7,2),ROUND(Basisbedragen!$D$34*Basisbedragen!$I$7,2)),ROUND(ROUND(Basisbedragen!$D$28*0.6,4)*Basisbedragen!$I$7,2))+Basisbedragen!$I$10)</f>
        <v>78.09</v>
      </c>
      <c r="E70" s="52">
        <f>MIN(MAX(ROUND(ROUND('Loonschijven_Tranches salariale'!$Q65*0.6,4)*Basisbedragen!$I$2,2),ROUND(Basisbedragen!$D$35*Basisbedragen!$I$2,2)),ROUND(ROUND(Basisbedragen!$D$29*0.6,4)*Basisbedragen!$I$2,2))</f>
        <v>70.989999999999995</v>
      </c>
      <c r="F70" s="38"/>
      <c r="G70" s="52">
        <f t="shared" si="0"/>
        <v>70.989999999999995</v>
      </c>
      <c r="H70" s="38"/>
      <c r="I70" s="52">
        <f>IF(MIN(MAX(ROUND(ROUND('Loonschijven_Tranches salariale'!$Q65*0.65,4)*Basisbedragen!$I$7,2),ROUND(Basisbedragen!$D$36*Basisbedragen!$I$7,2)),ROUND(ROUND(Basisbedragen!$D$27*0.65,4)*Basisbedragen!$I$7,2))&lt;= Basisbedragen!$I$8,MIN(MAX(ROUND(ROUND('Loonschijven_Tranches salariale'!$Q65*0.65,4)*Basisbedragen!$I$2,2),ROUND(Basisbedragen!$D$36*Basisbedragen!$I$2,2)),ROUND(ROUND(Basisbedragen!$D$27*0.65,4)*Basisbedragen!$I$2,2)),MIN(MAX(ROUND(ROUND('Loonschijven_Tranches salariale'!$Q65*0.65,4)*Basisbedragen!$I$7,2),ROUND(Basisbedragen!$D$36*Basisbedragen!$I$7,2)),ROUND(ROUND(Basisbedragen!$D$27*0.65,4)*Basisbedragen!$I$7,2))+Basisbedragen!$I$10)</f>
        <v>70.12</v>
      </c>
      <c r="J70" s="52">
        <f>IF(MIN(MAX(ROUND(ROUND('Loonschijven_Tranches salariale'!$Q65*0.6,4)*Basisbedragen!$I$7,2),ROUND(Basisbedragen!$D$36*Basisbedragen!$I$7,2)),ROUND(ROUND(Basisbedragen!$D$28*0.6,4)*Basisbedragen!$I$7,2))&lt;= Basisbedragen!$I$8,MIN(MAX(ROUND(ROUND('Loonschijven_Tranches salariale'!$Q65*0.6,4)*Basisbedragen!$I$2,2),ROUND(Basisbedragen!$D$36*Basisbedragen!$I$2,2)),ROUND(ROUND(Basisbedragen!$D$28*0.6,4)*Basisbedragen!$I$2,2)),MIN(MAX(ROUND(ROUND('Loonschijven_Tranches salariale'!$Q65*0.6,4)*Basisbedragen!$I$7,2),ROUND(Basisbedragen!$D$36*Basisbedragen!$I$7,2)),ROUND(ROUND(Basisbedragen!$D$28*0.6,4)*Basisbedragen!$I$7,2))+Basisbedragen!$I$10)</f>
        <v>64.73</v>
      </c>
      <c r="K70" s="52">
        <f>MIN(MAX(ROUND(ROUND('Loonschijven_Tranches salariale'!$Q65*0.6,4)*Basisbedragen!$I$2,2),ROUND(Basisbedragen!$D$37*Basisbedragen!$I$2,2)),ROUND(ROUND(Basisbedragen!$D$29*0.6,4)*Basisbedragen!$I$2,2))</f>
        <v>64.73</v>
      </c>
      <c r="L70" s="38"/>
      <c r="M70" s="52">
        <f t="shared" si="1"/>
        <v>57.53</v>
      </c>
      <c r="N70" s="38"/>
      <c r="O70" s="52">
        <f>IF(MIN(MAX(ROUND(ROUND('Loonschijven_Tranches salariale'!$Q65*0.65,4)*Basisbedragen!$I$7,2),ROUND(Basisbedragen!$D$38*Basisbedragen!$I$7,2)),ROUND(ROUND(Basisbedragen!$D$27*0.65,4)*Basisbedragen!$I$7,2))&lt;= Basisbedragen!$I$8,MIN(MAX(ROUND(ROUND('Loonschijven_Tranches salariale'!$Q65*0.65,4)*Basisbedragen!$I$2,2),ROUND(Basisbedragen!$D$38*Basisbedragen!$I$2,2)),ROUND(ROUND(Basisbedragen!$D$27*0.65,4)*Basisbedragen!$I$2,2)),MIN(MAX(ROUND(ROUND('Loonschijven_Tranches salariale'!$Q65*0.65,4)*Basisbedragen!$I$7,2),ROUND(Basisbedragen!$D$38*Basisbedragen!$I$7,2)),ROUND(ROUND(Basisbedragen!$D$27*0.65,4)*Basisbedragen!$I$7,2))+Basisbedragen!$I$10)</f>
        <v>70.12</v>
      </c>
      <c r="P70" s="52">
        <f>IF(MIN(MAX(ROUND(ROUND('Loonschijven_Tranches salariale'!$Q65*0.6,4)*Basisbedragen!$I$7,2),ROUND(Basisbedragen!$D$39*Basisbedragen!$I$7,2)),ROUND(ROUND(Basisbedragen!$D$28*0.6,4)*Basisbedragen!$I$7,2))&lt;= Basisbedragen!$I$8,MIN(MAX(ROUND(ROUND('Loonschijven_Tranches salariale'!$Q65*0.6,4)*Basisbedragen!$I$2,2),ROUND(Basisbedragen!$D$39*Basisbedragen!$I$2,2)),ROUND(ROUND(Basisbedragen!$D$28*0.6,4)*Basisbedragen!$I$2,2)),MIN(MAX(ROUND(ROUND('Loonschijven_Tranches salariale'!$Q65*0.6,4)*Basisbedragen!$I$7,2),ROUND(Basisbedragen!$D$39*Basisbedragen!$I$7,2)),ROUND(ROUND(Basisbedragen!$D$28*0.6,4)*Basisbedragen!$I$7,2))+Basisbedragen!$I$10)</f>
        <v>64.73</v>
      </c>
      <c r="Q70" s="52">
        <f>MIN(MAX(ROUND(ROUND('Loonschijven_Tranches salariale'!$Q65*0.6,4)*Basisbedragen!$I$2,2),ROUND(Basisbedragen!$D$40*Basisbedragen!$I$2,2)),ROUND(ROUND(Basisbedragen!$D$29*0.6,4)*Basisbedragen!$I$2,2))</f>
        <v>64.73</v>
      </c>
      <c r="R70" s="38"/>
      <c r="S70" s="52">
        <f t="shared" si="2"/>
        <v>42.37</v>
      </c>
      <c r="T70" s="52">
        <f t="shared" si="3"/>
        <v>29.85</v>
      </c>
    </row>
    <row r="71" spans="1:20" ht="15" thickBot="1">
      <c r="A71" s="47">
        <f t="shared" si="4"/>
        <v>59</v>
      </c>
      <c r="C71" s="52">
        <f>IF(MIN(MAX(ROUND(ROUND('Loonschijven_Tranches salariale'!$Q66*0.65,4)*Basisbedragen!$I$7,2),ROUND(Basisbedragen!$D$34*Basisbedragen!$I$7,2)),ROUND(ROUND(Basisbedragen!$D$27*0.65,4)*Basisbedragen!$I$7,2))&lt;= Basisbedragen!$I$8,MIN(MAX(ROUND(ROUND('Loonschijven_Tranches salariale'!$Q66*0.65,4)*Basisbedragen!$I$2,2),ROUND(Basisbedragen!$D$34*Basisbedragen!$I$2,2)),ROUND(ROUND(Basisbedragen!$D$27*0.65,4)*Basisbedragen!$I$2,2)),MIN(MAX(ROUND(ROUND('Loonschijven_Tranches salariale'!$Q66*0.65,4)*Basisbedragen!$I$7,2),ROUND(Basisbedragen!$D$34*Basisbedragen!$I$7,2)),ROUND(ROUND(Basisbedragen!$D$27*0.65,4)*Basisbedragen!$I$7,2))+Basisbedragen!$I$10)</f>
        <v>78.09</v>
      </c>
      <c r="D71" s="52">
        <f>IF(MIN(MAX(ROUND(ROUND('Loonschijven_Tranches salariale'!$Q66*0.6,4)*Basisbedragen!$I$7,2),ROUND(Basisbedragen!$D$34*Basisbedragen!$I$7,2)),ROUND(ROUND(Basisbedragen!$D$28*0.6,4)*Basisbedragen!$I$7,2))&lt;= Basisbedragen!$I$8,MIN(MAX(ROUND(ROUND('Loonschijven_Tranches salariale'!$Q66*0.6,4)*Basisbedragen!$I$2,2),ROUND(Basisbedragen!$D$34*Basisbedragen!$I$2,2)),ROUND(ROUND(Basisbedragen!$D$28*0.6,4)*Basisbedragen!$I$2,2)),MIN(MAX(ROUND(ROUND('Loonschijven_Tranches salariale'!$Q66*0.6,4)*Basisbedragen!$I$7,2),ROUND(Basisbedragen!$D$34*Basisbedragen!$I$7,2)),ROUND(ROUND(Basisbedragen!$D$28*0.6,4)*Basisbedragen!$I$7,2))+Basisbedragen!$I$10)</f>
        <v>78.09</v>
      </c>
      <c r="E71" s="52">
        <f>MIN(MAX(ROUND(ROUND('Loonschijven_Tranches salariale'!$Q66*0.6,4)*Basisbedragen!$I$2,2),ROUND(Basisbedragen!$D$35*Basisbedragen!$I$2,2)),ROUND(ROUND(Basisbedragen!$D$29*0.6,4)*Basisbedragen!$I$2,2))</f>
        <v>70.989999999999995</v>
      </c>
      <c r="F71" s="38"/>
      <c r="G71" s="52">
        <f t="shared" si="0"/>
        <v>70.989999999999995</v>
      </c>
      <c r="H71" s="38"/>
      <c r="I71" s="52">
        <f>IF(MIN(MAX(ROUND(ROUND('Loonschijven_Tranches salariale'!$Q66*0.65,4)*Basisbedragen!$I$7,2),ROUND(Basisbedragen!$D$36*Basisbedragen!$I$7,2)),ROUND(ROUND(Basisbedragen!$D$27*0.65,4)*Basisbedragen!$I$7,2))&lt;= Basisbedragen!$I$8,MIN(MAX(ROUND(ROUND('Loonschijven_Tranches salariale'!$Q66*0.65,4)*Basisbedragen!$I$2,2),ROUND(Basisbedragen!$D$36*Basisbedragen!$I$2,2)),ROUND(ROUND(Basisbedragen!$D$27*0.65,4)*Basisbedragen!$I$2,2)),MIN(MAX(ROUND(ROUND('Loonschijven_Tranches salariale'!$Q66*0.65,4)*Basisbedragen!$I$7,2),ROUND(Basisbedragen!$D$36*Basisbedragen!$I$7,2)),ROUND(ROUND(Basisbedragen!$D$27*0.65,4)*Basisbedragen!$I$7,2))+Basisbedragen!$I$10)</f>
        <v>71.39</v>
      </c>
      <c r="J71" s="52">
        <f>IF(MIN(MAX(ROUND(ROUND('Loonschijven_Tranches salariale'!$Q66*0.6,4)*Basisbedragen!$I$7,2),ROUND(Basisbedragen!$D$36*Basisbedragen!$I$7,2)),ROUND(ROUND(Basisbedragen!$D$28*0.6,4)*Basisbedragen!$I$7,2))&lt;= Basisbedragen!$I$8,MIN(MAX(ROUND(ROUND('Loonschijven_Tranches salariale'!$Q66*0.6,4)*Basisbedragen!$I$2,2),ROUND(Basisbedragen!$D$36*Basisbedragen!$I$2,2)),ROUND(ROUND(Basisbedragen!$D$28*0.6,4)*Basisbedragen!$I$2,2)),MIN(MAX(ROUND(ROUND('Loonschijven_Tranches salariale'!$Q66*0.6,4)*Basisbedragen!$I$7,2),ROUND(Basisbedragen!$D$36*Basisbedragen!$I$7,2)),ROUND(ROUND(Basisbedragen!$D$28*0.6,4)*Basisbedragen!$I$7,2))+Basisbedragen!$I$10)</f>
        <v>65.900000000000006</v>
      </c>
      <c r="K71" s="52">
        <f>MIN(MAX(ROUND(ROUND('Loonschijven_Tranches salariale'!$Q66*0.6,4)*Basisbedragen!$I$2,2),ROUND(Basisbedragen!$D$37*Basisbedragen!$I$2,2)),ROUND(ROUND(Basisbedragen!$D$29*0.6,4)*Basisbedragen!$I$2,2))</f>
        <v>65.900000000000006</v>
      </c>
      <c r="L71" s="38"/>
      <c r="M71" s="52">
        <f t="shared" si="1"/>
        <v>57.53</v>
      </c>
      <c r="N71" s="38"/>
      <c r="O71" s="52">
        <f>IF(MIN(MAX(ROUND(ROUND('Loonschijven_Tranches salariale'!$Q66*0.65,4)*Basisbedragen!$I$7,2),ROUND(Basisbedragen!$D$38*Basisbedragen!$I$7,2)),ROUND(ROUND(Basisbedragen!$D$27*0.65,4)*Basisbedragen!$I$7,2))&lt;= Basisbedragen!$I$8,MIN(MAX(ROUND(ROUND('Loonschijven_Tranches salariale'!$Q66*0.65,4)*Basisbedragen!$I$2,2),ROUND(Basisbedragen!$D$38*Basisbedragen!$I$2,2)),ROUND(ROUND(Basisbedragen!$D$27*0.65,4)*Basisbedragen!$I$2,2)),MIN(MAX(ROUND(ROUND('Loonschijven_Tranches salariale'!$Q66*0.65,4)*Basisbedragen!$I$7,2),ROUND(Basisbedragen!$D$38*Basisbedragen!$I$7,2)),ROUND(ROUND(Basisbedragen!$D$27*0.65,4)*Basisbedragen!$I$7,2))+Basisbedragen!$I$10)</f>
        <v>71.39</v>
      </c>
      <c r="P71" s="52">
        <f>IF(MIN(MAX(ROUND(ROUND('Loonschijven_Tranches salariale'!$Q66*0.6,4)*Basisbedragen!$I$7,2),ROUND(Basisbedragen!$D$39*Basisbedragen!$I$7,2)),ROUND(ROUND(Basisbedragen!$D$28*0.6,4)*Basisbedragen!$I$7,2))&lt;= Basisbedragen!$I$8,MIN(MAX(ROUND(ROUND('Loonschijven_Tranches salariale'!$Q66*0.6,4)*Basisbedragen!$I$2,2),ROUND(Basisbedragen!$D$39*Basisbedragen!$I$2,2)),ROUND(ROUND(Basisbedragen!$D$28*0.6,4)*Basisbedragen!$I$2,2)),MIN(MAX(ROUND(ROUND('Loonschijven_Tranches salariale'!$Q66*0.6,4)*Basisbedragen!$I$7,2),ROUND(Basisbedragen!$D$39*Basisbedragen!$I$7,2)),ROUND(ROUND(Basisbedragen!$D$28*0.6,4)*Basisbedragen!$I$7,2))+Basisbedragen!$I$10)</f>
        <v>65.900000000000006</v>
      </c>
      <c r="Q71" s="52">
        <f>MIN(MAX(ROUND(ROUND('Loonschijven_Tranches salariale'!$Q66*0.6,4)*Basisbedragen!$I$2,2),ROUND(Basisbedragen!$D$40*Basisbedragen!$I$2,2)),ROUND(ROUND(Basisbedragen!$D$29*0.6,4)*Basisbedragen!$I$2,2))</f>
        <v>65.900000000000006</v>
      </c>
      <c r="R71" s="38"/>
      <c r="S71" s="52">
        <f t="shared" si="2"/>
        <v>42.37</v>
      </c>
      <c r="T71" s="52">
        <f t="shared" si="3"/>
        <v>29.85</v>
      </c>
    </row>
    <row r="72" spans="1:20" ht="15" thickBot="1">
      <c r="A72" s="47">
        <f t="shared" si="4"/>
        <v>60</v>
      </c>
      <c r="C72" s="52">
        <f>IF(MIN(MAX(ROUND(ROUND('Loonschijven_Tranches salariale'!$Q67*0.65,4)*Basisbedragen!$I$7,2),ROUND(Basisbedragen!$D$34*Basisbedragen!$I$7,2)),ROUND(ROUND(Basisbedragen!$D$27*0.65,4)*Basisbedragen!$I$7,2))&lt;= Basisbedragen!$I$8,MIN(MAX(ROUND(ROUND('Loonschijven_Tranches salariale'!$Q67*0.65,4)*Basisbedragen!$I$2,2),ROUND(Basisbedragen!$D$34*Basisbedragen!$I$2,2)),ROUND(ROUND(Basisbedragen!$D$27*0.65,4)*Basisbedragen!$I$2,2)),MIN(MAX(ROUND(ROUND('Loonschijven_Tranches salariale'!$Q67*0.65,4)*Basisbedragen!$I$7,2),ROUND(Basisbedragen!$D$34*Basisbedragen!$I$7,2)),ROUND(ROUND(Basisbedragen!$D$27*0.65,4)*Basisbedragen!$I$7,2))+Basisbedragen!$I$10)</f>
        <v>78.09</v>
      </c>
      <c r="D72" s="52">
        <f>IF(MIN(MAX(ROUND(ROUND('Loonschijven_Tranches salariale'!$Q67*0.6,4)*Basisbedragen!$I$7,2),ROUND(Basisbedragen!$D$34*Basisbedragen!$I$7,2)),ROUND(ROUND(Basisbedragen!$D$28*0.6,4)*Basisbedragen!$I$7,2))&lt;= Basisbedragen!$I$8,MIN(MAX(ROUND(ROUND('Loonschijven_Tranches salariale'!$Q67*0.6,4)*Basisbedragen!$I$2,2),ROUND(Basisbedragen!$D$34*Basisbedragen!$I$2,2)),ROUND(ROUND(Basisbedragen!$D$28*0.6,4)*Basisbedragen!$I$2,2)),MIN(MAX(ROUND(ROUND('Loonschijven_Tranches salariale'!$Q67*0.6,4)*Basisbedragen!$I$7,2),ROUND(Basisbedragen!$D$34*Basisbedragen!$I$7,2)),ROUND(ROUND(Basisbedragen!$D$28*0.6,4)*Basisbedragen!$I$7,2))+Basisbedragen!$I$10)</f>
        <v>78.09</v>
      </c>
      <c r="E72" s="52">
        <f>MIN(MAX(ROUND(ROUND('Loonschijven_Tranches salariale'!$Q67*0.6,4)*Basisbedragen!$I$2,2),ROUND(Basisbedragen!$D$35*Basisbedragen!$I$2,2)),ROUND(ROUND(Basisbedragen!$D$29*0.6,4)*Basisbedragen!$I$2,2))</f>
        <v>70.989999999999995</v>
      </c>
      <c r="F72" s="38"/>
      <c r="G72" s="52">
        <f t="shared" si="0"/>
        <v>70.989999999999995</v>
      </c>
      <c r="H72" s="38"/>
      <c r="I72" s="52">
        <f>IF(MIN(MAX(ROUND(ROUND('Loonschijven_Tranches salariale'!$Q67*0.65,4)*Basisbedragen!$I$7,2),ROUND(Basisbedragen!$D$36*Basisbedragen!$I$7,2)),ROUND(ROUND(Basisbedragen!$D$27*0.65,4)*Basisbedragen!$I$7,2))&lt;= Basisbedragen!$I$8,MIN(MAX(ROUND(ROUND('Loonschijven_Tranches salariale'!$Q67*0.65,4)*Basisbedragen!$I$2,2),ROUND(Basisbedragen!$D$36*Basisbedragen!$I$2,2)),ROUND(ROUND(Basisbedragen!$D$27*0.65,4)*Basisbedragen!$I$2,2)),MIN(MAX(ROUND(ROUND('Loonschijven_Tranches salariale'!$Q67*0.65,4)*Basisbedragen!$I$7,2),ROUND(Basisbedragen!$D$36*Basisbedragen!$I$7,2)),ROUND(ROUND(Basisbedragen!$D$27*0.65,4)*Basisbedragen!$I$7,2))+Basisbedragen!$I$10)</f>
        <v>72.28</v>
      </c>
      <c r="J72" s="52">
        <f>IF(MIN(MAX(ROUND(ROUND('Loonschijven_Tranches salariale'!$Q67*0.6,4)*Basisbedragen!$I$7,2),ROUND(Basisbedragen!$D$36*Basisbedragen!$I$7,2)),ROUND(ROUND(Basisbedragen!$D$28*0.6,4)*Basisbedragen!$I$7,2))&lt;= Basisbedragen!$I$8,MIN(MAX(ROUND(ROUND('Loonschijven_Tranches salariale'!$Q67*0.6,4)*Basisbedragen!$I$2,2),ROUND(Basisbedragen!$D$36*Basisbedragen!$I$2,2)),ROUND(ROUND(Basisbedragen!$D$28*0.6,4)*Basisbedragen!$I$2,2)),MIN(MAX(ROUND(ROUND('Loonschijven_Tranches salariale'!$Q67*0.6,4)*Basisbedragen!$I$7,2),ROUND(Basisbedragen!$D$36*Basisbedragen!$I$7,2)),ROUND(ROUND(Basisbedragen!$D$28*0.6,4)*Basisbedragen!$I$7,2))+Basisbedragen!$I$10)</f>
        <v>66.72</v>
      </c>
      <c r="K72" s="52">
        <f>MIN(MAX(ROUND(ROUND('Loonschijven_Tranches salariale'!$Q67*0.6,4)*Basisbedragen!$I$2,2),ROUND(Basisbedragen!$D$37*Basisbedragen!$I$2,2)),ROUND(ROUND(Basisbedragen!$D$29*0.6,4)*Basisbedragen!$I$2,2))</f>
        <v>66.72</v>
      </c>
      <c r="L72" s="38"/>
      <c r="M72" s="52">
        <f t="shared" si="1"/>
        <v>57.53</v>
      </c>
      <c r="N72" s="38"/>
      <c r="O72" s="52">
        <f>IF(MIN(MAX(ROUND(ROUND('Loonschijven_Tranches salariale'!$Q67*0.65,4)*Basisbedragen!$I$7,2),ROUND(Basisbedragen!$D$38*Basisbedragen!$I$7,2)),ROUND(ROUND(Basisbedragen!$D$27*0.65,4)*Basisbedragen!$I$7,2))&lt;= Basisbedragen!$I$8,MIN(MAX(ROUND(ROUND('Loonschijven_Tranches salariale'!$Q67*0.65,4)*Basisbedragen!$I$2,2),ROUND(Basisbedragen!$D$38*Basisbedragen!$I$2,2)),ROUND(ROUND(Basisbedragen!$D$27*0.65,4)*Basisbedragen!$I$2,2)),MIN(MAX(ROUND(ROUND('Loonschijven_Tranches salariale'!$Q67*0.65,4)*Basisbedragen!$I$7,2),ROUND(Basisbedragen!$D$38*Basisbedragen!$I$7,2)),ROUND(ROUND(Basisbedragen!$D$27*0.65,4)*Basisbedragen!$I$7,2))+Basisbedragen!$I$10)</f>
        <v>72.28</v>
      </c>
      <c r="P72" s="52">
        <f>IF(MIN(MAX(ROUND(ROUND('Loonschijven_Tranches salariale'!$Q67*0.6,4)*Basisbedragen!$I$7,2),ROUND(Basisbedragen!$D$39*Basisbedragen!$I$7,2)),ROUND(ROUND(Basisbedragen!$D$28*0.6,4)*Basisbedragen!$I$7,2))&lt;= Basisbedragen!$I$8,MIN(MAX(ROUND(ROUND('Loonschijven_Tranches salariale'!$Q67*0.6,4)*Basisbedragen!$I$2,2),ROUND(Basisbedragen!$D$39*Basisbedragen!$I$2,2)),ROUND(ROUND(Basisbedragen!$D$28*0.6,4)*Basisbedragen!$I$2,2)),MIN(MAX(ROUND(ROUND('Loonschijven_Tranches salariale'!$Q67*0.6,4)*Basisbedragen!$I$7,2),ROUND(Basisbedragen!$D$39*Basisbedragen!$I$7,2)),ROUND(ROUND(Basisbedragen!$D$28*0.6,4)*Basisbedragen!$I$7,2))+Basisbedragen!$I$10)</f>
        <v>66.72</v>
      </c>
      <c r="Q72" s="52">
        <f>MIN(MAX(ROUND(ROUND('Loonschijven_Tranches salariale'!$Q67*0.6,4)*Basisbedragen!$I$2,2),ROUND(Basisbedragen!$D$40*Basisbedragen!$I$2,2)),ROUND(ROUND(Basisbedragen!$D$29*0.6,4)*Basisbedragen!$I$2,2))</f>
        <v>66.72</v>
      </c>
      <c r="R72" s="38"/>
      <c r="S72" s="52">
        <f t="shared" si="2"/>
        <v>42.37</v>
      </c>
      <c r="T72" s="52">
        <f t="shared" si="3"/>
        <v>29.85</v>
      </c>
    </row>
    <row r="73" spans="1:20" ht="15" thickBot="1">
      <c r="A73" s="47">
        <f t="shared" si="4"/>
        <v>61</v>
      </c>
      <c r="C73" s="52">
        <f>IF(MIN(MAX(ROUND(ROUND('Loonschijven_Tranches salariale'!$Q68*0.65,4)*Basisbedragen!$I$7,2),ROUND(Basisbedragen!$D$34*Basisbedragen!$I$7,2)),ROUND(ROUND(Basisbedragen!$D$27*0.65,4)*Basisbedragen!$I$7,2))&lt;= Basisbedragen!$I$8,MIN(MAX(ROUND(ROUND('Loonschijven_Tranches salariale'!$Q68*0.65,4)*Basisbedragen!$I$2,2),ROUND(Basisbedragen!$D$34*Basisbedragen!$I$2,2)),ROUND(ROUND(Basisbedragen!$D$27*0.65,4)*Basisbedragen!$I$2,2)),MIN(MAX(ROUND(ROUND('Loonschijven_Tranches salariale'!$Q68*0.65,4)*Basisbedragen!$I$7,2),ROUND(Basisbedragen!$D$34*Basisbedragen!$I$7,2)),ROUND(ROUND(Basisbedragen!$D$27*0.65,4)*Basisbedragen!$I$7,2))+Basisbedragen!$I$10)</f>
        <v>78.09</v>
      </c>
      <c r="D73" s="52">
        <f>IF(MIN(MAX(ROUND(ROUND('Loonschijven_Tranches salariale'!$Q68*0.6,4)*Basisbedragen!$I$7,2),ROUND(Basisbedragen!$D$34*Basisbedragen!$I$7,2)),ROUND(ROUND(Basisbedragen!$D$28*0.6,4)*Basisbedragen!$I$7,2))&lt;= Basisbedragen!$I$8,MIN(MAX(ROUND(ROUND('Loonschijven_Tranches salariale'!$Q68*0.6,4)*Basisbedragen!$I$2,2),ROUND(Basisbedragen!$D$34*Basisbedragen!$I$2,2)),ROUND(ROUND(Basisbedragen!$D$28*0.6,4)*Basisbedragen!$I$2,2)),MIN(MAX(ROUND(ROUND('Loonschijven_Tranches salariale'!$Q68*0.6,4)*Basisbedragen!$I$7,2),ROUND(Basisbedragen!$D$34*Basisbedragen!$I$7,2)),ROUND(ROUND(Basisbedragen!$D$28*0.6,4)*Basisbedragen!$I$7,2))+Basisbedragen!$I$10)</f>
        <v>78.09</v>
      </c>
      <c r="E73" s="52">
        <f>MIN(MAX(ROUND(ROUND('Loonschijven_Tranches salariale'!$Q68*0.6,4)*Basisbedragen!$I$2,2),ROUND(Basisbedragen!$D$35*Basisbedragen!$I$2,2)),ROUND(ROUND(Basisbedragen!$D$29*0.6,4)*Basisbedragen!$I$2,2))</f>
        <v>70.989999999999995</v>
      </c>
      <c r="F73" s="38"/>
      <c r="G73" s="52">
        <f t="shared" si="0"/>
        <v>70.989999999999995</v>
      </c>
      <c r="H73" s="38"/>
      <c r="I73" s="52">
        <f>IF(MIN(MAX(ROUND(ROUND('Loonschijven_Tranches salariale'!$Q68*0.65,4)*Basisbedragen!$I$7,2),ROUND(Basisbedragen!$D$36*Basisbedragen!$I$7,2)),ROUND(ROUND(Basisbedragen!$D$27*0.65,4)*Basisbedragen!$I$7,2))&lt;= Basisbedragen!$I$8,MIN(MAX(ROUND(ROUND('Loonschijven_Tranches salariale'!$Q68*0.65,4)*Basisbedragen!$I$2,2),ROUND(Basisbedragen!$D$36*Basisbedragen!$I$2,2)),ROUND(ROUND(Basisbedragen!$D$27*0.65,4)*Basisbedragen!$I$2,2)),MIN(MAX(ROUND(ROUND('Loonschijven_Tranches salariale'!$Q68*0.65,4)*Basisbedragen!$I$7,2),ROUND(Basisbedragen!$D$36*Basisbedragen!$I$7,2)),ROUND(ROUND(Basisbedragen!$D$27*0.65,4)*Basisbedragen!$I$7,2))+Basisbedragen!$I$10)</f>
        <v>73.17</v>
      </c>
      <c r="J73" s="52">
        <f>IF(MIN(MAX(ROUND(ROUND('Loonschijven_Tranches salariale'!$Q68*0.6,4)*Basisbedragen!$I$7,2),ROUND(Basisbedragen!$D$36*Basisbedragen!$I$7,2)),ROUND(ROUND(Basisbedragen!$D$28*0.6,4)*Basisbedragen!$I$7,2))&lt;= Basisbedragen!$I$8,MIN(MAX(ROUND(ROUND('Loonschijven_Tranches salariale'!$Q68*0.6,4)*Basisbedragen!$I$2,2),ROUND(Basisbedragen!$D$36*Basisbedragen!$I$2,2)),ROUND(ROUND(Basisbedragen!$D$28*0.6,4)*Basisbedragen!$I$2,2)),MIN(MAX(ROUND(ROUND('Loonschijven_Tranches salariale'!$Q68*0.6,4)*Basisbedragen!$I$7,2),ROUND(Basisbedragen!$D$36*Basisbedragen!$I$7,2)),ROUND(ROUND(Basisbedragen!$D$28*0.6,4)*Basisbedragen!$I$7,2))+Basisbedragen!$I$10)</f>
        <v>67.540000000000006</v>
      </c>
      <c r="K73" s="52">
        <f>MIN(MAX(ROUND(ROUND('Loonschijven_Tranches salariale'!$Q68*0.6,4)*Basisbedragen!$I$2,2),ROUND(Basisbedragen!$D$37*Basisbedragen!$I$2,2)),ROUND(ROUND(Basisbedragen!$D$29*0.6,4)*Basisbedragen!$I$2,2))</f>
        <v>67.540000000000006</v>
      </c>
      <c r="L73" s="38"/>
      <c r="M73" s="52">
        <f t="shared" si="1"/>
        <v>57.53</v>
      </c>
      <c r="N73" s="38"/>
      <c r="O73" s="52">
        <f>IF(MIN(MAX(ROUND(ROUND('Loonschijven_Tranches salariale'!$Q68*0.65,4)*Basisbedragen!$I$7,2),ROUND(Basisbedragen!$D$38*Basisbedragen!$I$7,2)),ROUND(ROUND(Basisbedragen!$D$27*0.65,4)*Basisbedragen!$I$7,2))&lt;= Basisbedragen!$I$8,MIN(MAX(ROUND(ROUND('Loonschijven_Tranches salariale'!$Q68*0.65,4)*Basisbedragen!$I$2,2),ROUND(Basisbedragen!$D$38*Basisbedragen!$I$2,2)),ROUND(ROUND(Basisbedragen!$D$27*0.65,4)*Basisbedragen!$I$2,2)),MIN(MAX(ROUND(ROUND('Loonschijven_Tranches salariale'!$Q68*0.65,4)*Basisbedragen!$I$7,2),ROUND(Basisbedragen!$D$38*Basisbedragen!$I$7,2)),ROUND(ROUND(Basisbedragen!$D$27*0.65,4)*Basisbedragen!$I$7,2))+Basisbedragen!$I$10)</f>
        <v>73.17</v>
      </c>
      <c r="P73" s="52">
        <f>IF(MIN(MAX(ROUND(ROUND('Loonschijven_Tranches salariale'!$Q68*0.6,4)*Basisbedragen!$I$7,2),ROUND(Basisbedragen!$D$39*Basisbedragen!$I$7,2)),ROUND(ROUND(Basisbedragen!$D$28*0.6,4)*Basisbedragen!$I$7,2))&lt;= Basisbedragen!$I$8,MIN(MAX(ROUND(ROUND('Loonschijven_Tranches salariale'!$Q68*0.6,4)*Basisbedragen!$I$2,2),ROUND(Basisbedragen!$D$39*Basisbedragen!$I$2,2)),ROUND(ROUND(Basisbedragen!$D$28*0.6,4)*Basisbedragen!$I$2,2)),MIN(MAX(ROUND(ROUND('Loonschijven_Tranches salariale'!$Q68*0.6,4)*Basisbedragen!$I$7,2),ROUND(Basisbedragen!$D$39*Basisbedragen!$I$7,2)),ROUND(ROUND(Basisbedragen!$D$28*0.6,4)*Basisbedragen!$I$7,2))+Basisbedragen!$I$10)</f>
        <v>67.540000000000006</v>
      </c>
      <c r="Q73" s="52">
        <f>MIN(MAX(ROUND(ROUND('Loonschijven_Tranches salariale'!$Q68*0.6,4)*Basisbedragen!$I$2,2),ROUND(Basisbedragen!$D$40*Basisbedragen!$I$2,2)),ROUND(ROUND(Basisbedragen!$D$29*0.6,4)*Basisbedragen!$I$2,2))</f>
        <v>67.540000000000006</v>
      </c>
      <c r="R73" s="38"/>
      <c r="S73" s="52">
        <f t="shared" si="2"/>
        <v>42.37</v>
      </c>
      <c r="T73" s="52">
        <f t="shared" si="3"/>
        <v>29.85</v>
      </c>
    </row>
    <row r="74" spans="1:20" ht="15" thickBot="1">
      <c r="A74" s="47">
        <f t="shared" si="4"/>
        <v>62</v>
      </c>
      <c r="C74" s="52">
        <f>IF(MIN(MAX(ROUND(ROUND('Loonschijven_Tranches salariale'!$Q69*0.65,4)*Basisbedragen!$I$7,2),ROUND(Basisbedragen!$D$34*Basisbedragen!$I$7,2)),ROUND(ROUND(Basisbedragen!$D$27*0.65,4)*Basisbedragen!$I$7,2))&lt;= Basisbedragen!$I$8,MIN(MAX(ROUND(ROUND('Loonschijven_Tranches salariale'!$Q69*0.65,4)*Basisbedragen!$I$2,2),ROUND(Basisbedragen!$D$34*Basisbedragen!$I$2,2)),ROUND(ROUND(Basisbedragen!$D$27*0.65,4)*Basisbedragen!$I$2,2)),MIN(MAX(ROUND(ROUND('Loonschijven_Tranches salariale'!$Q69*0.65,4)*Basisbedragen!$I$7,2),ROUND(Basisbedragen!$D$34*Basisbedragen!$I$7,2)),ROUND(ROUND(Basisbedragen!$D$27*0.65,4)*Basisbedragen!$I$7,2))+Basisbedragen!$I$10)</f>
        <v>78.09</v>
      </c>
      <c r="D74" s="52">
        <f>IF(MIN(MAX(ROUND(ROUND('Loonschijven_Tranches salariale'!$Q69*0.6,4)*Basisbedragen!$I$7,2),ROUND(Basisbedragen!$D$34*Basisbedragen!$I$7,2)),ROUND(ROUND(Basisbedragen!$D$28*0.6,4)*Basisbedragen!$I$7,2))&lt;= Basisbedragen!$I$8,MIN(MAX(ROUND(ROUND('Loonschijven_Tranches salariale'!$Q69*0.6,4)*Basisbedragen!$I$2,2),ROUND(Basisbedragen!$D$34*Basisbedragen!$I$2,2)),ROUND(ROUND(Basisbedragen!$D$28*0.6,4)*Basisbedragen!$I$2,2)),MIN(MAX(ROUND(ROUND('Loonschijven_Tranches salariale'!$Q69*0.6,4)*Basisbedragen!$I$7,2),ROUND(Basisbedragen!$D$34*Basisbedragen!$I$7,2)),ROUND(ROUND(Basisbedragen!$D$28*0.6,4)*Basisbedragen!$I$7,2))+Basisbedragen!$I$10)</f>
        <v>78.09</v>
      </c>
      <c r="E74" s="52">
        <f>MIN(MAX(ROUND(ROUND('Loonschijven_Tranches salariale'!$Q69*0.6,4)*Basisbedragen!$I$2,2),ROUND(Basisbedragen!$D$35*Basisbedragen!$I$2,2)),ROUND(ROUND(Basisbedragen!$D$29*0.6,4)*Basisbedragen!$I$2,2))</f>
        <v>70.989999999999995</v>
      </c>
      <c r="F74" s="38"/>
      <c r="G74" s="52">
        <f t="shared" si="0"/>
        <v>70.989999999999995</v>
      </c>
      <c r="H74" s="38"/>
      <c r="I74" s="52">
        <f>IF(MIN(MAX(ROUND(ROUND('Loonschijven_Tranches salariale'!$Q69*0.65,4)*Basisbedragen!$I$7,2),ROUND(Basisbedragen!$D$36*Basisbedragen!$I$7,2)),ROUND(ROUND(Basisbedragen!$D$27*0.65,4)*Basisbedragen!$I$7,2))&lt;= Basisbedragen!$I$8,MIN(MAX(ROUND(ROUND('Loonschijven_Tranches salariale'!$Q69*0.65,4)*Basisbedragen!$I$2,2),ROUND(Basisbedragen!$D$36*Basisbedragen!$I$2,2)),ROUND(ROUND(Basisbedragen!$D$27*0.65,4)*Basisbedragen!$I$2,2)),MIN(MAX(ROUND(ROUND('Loonschijven_Tranches salariale'!$Q69*0.65,4)*Basisbedragen!$I$7,2),ROUND(Basisbedragen!$D$36*Basisbedragen!$I$7,2)),ROUND(ROUND(Basisbedragen!$D$27*0.65,4)*Basisbedragen!$I$7,2))+Basisbedragen!$I$10)</f>
        <v>74.19</v>
      </c>
      <c r="J74" s="52">
        <f>IF(MIN(MAX(ROUND(ROUND('Loonschijven_Tranches salariale'!$Q69*0.6,4)*Basisbedragen!$I$7,2),ROUND(Basisbedragen!$D$36*Basisbedragen!$I$7,2)),ROUND(ROUND(Basisbedragen!$D$28*0.6,4)*Basisbedragen!$I$7,2))&lt;= Basisbedragen!$I$8,MIN(MAX(ROUND(ROUND('Loonschijven_Tranches salariale'!$Q69*0.6,4)*Basisbedragen!$I$2,2),ROUND(Basisbedragen!$D$36*Basisbedragen!$I$2,2)),ROUND(ROUND(Basisbedragen!$D$28*0.6,4)*Basisbedragen!$I$2,2)),MIN(MAX(ROUND(ROUND('Loonschijven_Tranches salariale'!$Q69*0.6,4)*Basisbedragen!$I$7,2),ROUND(Basisbedragen!$D$36*Basisbedragen!$I$7,2)),ROUND(ROUND(Basisbedragen!$D$28*0.6,4)*Basisbedragen!$I$7,2))+Basisbedragen!$I$10)</f>
        <v>68.48</v>
      </c>
      <c r="K74" s="52">
        <f>MIN(MAX(ROUND(ROUND('Loonschijven_Tranches salariale'!$Q69*0.6,4)*Basisbedragen!$I$2,2),ROUND(Basisbedragen!$D$37*Basisbedragen!$I$2,2)),ROUND(ROUND(Basisbedragen!$D$29*0.6,4)*Basisbedragen!$I$2,2))</f>
        <v>68.48</v>
      </c>
      <c r="L74" s="38"/>
      <c r="M74" s="52">
        <f t="shared" si="1"/>
        <v>57.53</v>
      </c>
      <c r="N74" s="38"/>
      <c r="O74" s="52">
        <f>IF(MIN(MAX(ROUND(ROUND('Loonschijven_Tranches salariale'!$Q69*0.65,4)*Basisbedragen!$I$7,2),ROUND(Basisbedragen!$D$38*Basisbedragen!$I$7,2)),ROUND(ROUND(Basisbedragen!$D$27*0.65,4)*Basisbedragen!$I$7,2))&lt;= Basisbedragen!$I$8,MIN(MAX(ROUND(ROUND('Loonschijven_Tranches salariale'!$Q69*0.65,4)*Basisbedragen!$I$2,2),ROUND(Basisbedragen!$D$38*Basisbedragen!$I$2,2)),ROUND(ROUND(Basisbedragen!$D$27*0.65,4)*Basisbedragen!$I$2,2)),MIN(MAX(ROUND(ROUND('Loonschijven_Tranches salariale'!$Q69*0.65,4)*Basisbedragen!$I$7,2),ROUND(Basisbedragen!$D$38*Basisbedragen!$I$7,2)),ROUND(ROUND(Basisbedragen!$D$27*0.65,4)*Basisbedragen!$I$7,2))+Basisbedragen!$I$10)</f>
        <v>74.19</v>
      </c>
      <c r="P74" s="52">
        <f>IF(MIN(MAX(ROUND(ROUND('Loonschijven_Tranches salariale'!$Q69*0.6,4)*Basisbedragen!$I$7,2),ROUND(Basisbedragen!$D$39*Basisbedragen!$I$7,2)),ROUND(ROUND(Basisbedragen!$D$28*0.6,4)*Basisbedragen!$I$7,2))&lt;= Basisbedragen!$I$8,MIN(MAX(ROUND(ROUND('Loonschijven_Tranches salariale'!$Q69*0.6,4)*Basisbedragen!$I$2,2),ROUND(Basisbedragen!$D$39*Basisbedragen!$I$2,2)),ROUND(ROUND(Basisbedragen!$D$28*0.6,4)*Basisbedragen!$I$2,2)),MIN(MAX(ROUND(ROUND('Loonschijven_Tranches salariale'!$Q69*0.6,4)*Basisbedragen!$I$7,2),ROUND(Basisbedragen!$D$39*Basisbedragen!$I$7,2)),ROUND(ROUND(Basisbedragen!$D$28*0.6,4)*Basisbedragen!$I$7,2))+Basisbedragen!$I$10)</f>
        <v>68.48</v>
      </c>
      <c r="Q74" s="52">
        <f>MIN(MAX(ROUND(ROUND('Loonschijven_Tranches salariale'!$Q69*0.6,4)*Basisbedragen!$I$2,2),ROUND(Basisbedragen!$D$40*Basisbedragen!$I$2,2)),ROUND(ROUND(Basisbedragen!$D$29*0.6,4)*Basisbedragen!$I$2,2))</f>
        <v>68.48</v>
      </c>
      <c r="R74" s="38"/>
      <c r="S74" s="52">
        <f t="shared" si="2"/>
        <v>42.37</v>
      </c>
      <c r="T74" s="52">
        <f t="shared" si="3"/>
        <v>29.85</v>
      </c>
    </row>
    <row r="75" spans="1:20" ht="15" thickBot="1">
      <c r="A75" s="47">
        <f t="shared" si="4"/>
        <v>63</v>
      </c>
      <c r="C75" s="52">
        <f>IF(MIN(MAX(ROUND(ROUND('Loonschijven_Tranches salariale'!$Q70*0.65,4)*Basisbedragen!$I$7,2),ROUND(Basisbedragen!$D$34*Basisbedragen!$I$7,2)),ROUND(ROUND(Basisbedragen!$D$27*0.65,4)*Basisbedragen!$I$7,2))&lt;= Basisbedragen!$I$8,MIN(MAX(ROUND(ROUND('Loonschijven_Tranches salariale'!$Q70*0.65,4)*Basisbedragen!$I$2,2),ROUND(Basisbedragen!$D$34*Basisbedragen!$I$2,2)),ROUND(ROUND(Basisbedragen!$D$27*0.65,4)*Basisbedragen!$I$2,2)),MIN(MAX(ROUND(ROUND('Loonschijven_Tranches salariale'!$Q70*0.65,4)*Basisbedragen!$I$7,2),ROUND(Basisbedragen!$D$34*Basisbedragen!$I$7,2)),ROUND(ROUND(Basisbedragen!$D$27*0.65,4)*Basisbedragen!$I$7,2))+Basisbedragen!$I$10)</f>
        <v>78.09</v>
      </c>
      <c r="D75" s="52">
        <f>IF(MIN(MAX(ROUND(ROUND('Loonschijven_Tranches salariale'!$Q70*0.6,4)*Basisbedragen!$I$7,2),ROUND(Basisbedragen!$D$34*Basisbedragen!$I$7,2)),ROUND(ROUND(Basisbedragen!$D$28*0.6,4)*Basisbedragen!$I$7,2))&lt;= Basisbedragen!$I$8,MIN(MAX(ROUND(ROUND('Loonschijven_Tranches salariale'!$Q70*0.6,4)*Basisbedragen!$I$2,2),ROUND(Basisbedragen!$D$34*Basisbedragen!$I$2,2)),ROUND(ROUND(Basisbedragen!$D$28*0.6,4)*Basisbedragen!$I$2,2)),MIN(MAX(ROUND(ROUND('Loonschijven_Tranches salariale'!$Q70*0.6,4)*Basisbedragen!$I$7,2),ROUND(Basisbedragen!$D$34*Basisbedragen!$I$7,2)),ROUND(ROUND(Basisbedragen!$D$28*0.6,4)*Basisbedragen!$I$7,2))+Basisbedragen!$I$10)</f>
        <v>78.09</v>
      </c>
      <c r="E75" s="52">
        <f>MIN(MAX(ROUND(ROUND('Loonschijven_Tranches salariale'!$Q70*0.6,4)*Basisbedragen!$I$2,2),ROUND(Basisbedragen!$D$35*Basisbedragen!$I$2,2)),ROUND(ROUND(Basisbedragen!$D$29*0.6,4)*Basisbedragen!$I$2,2))</f>
        <v>70.989999999999995</v>
      </c>
      <c r="F75" s="38"/>
      <c r="G75" s="52">
        <f t="shared" si="0"/>
        <v>70.989999999999995</v>
      </c>
      <c r="H75" s="38"/>
      <c r="I75" s="52">
        <f>IF(MIN(MAX(ROUND(ROUND('Loonschijven_Tranches salariale'!$Q70*0.65,4)*Basisbedragen!$I$7,2),ROUND(Basisbedragen!$D$36*Basisbedragen!$I$7,2)),ROUND(ROUND(Basisbedragen!$D$27*0.65,4)*Basisbedragen!$I$7,2))&lt;= Basisbedragen!$I$8,MIN(MAX(ROUND(ROUND('Loonschijven_Tranches salariale'!$Q70*0.65,4)*Basisbedragen!$I$2,2),ROUND(Basisbedragen!$D$36*Basisbedragen!$I$2,2)),ROUND(ROUND(Basisbedragen!$D$27*0.65,4)*Basisbedragen!$I$2,2)),MIN(MAX(ROUND(ROUND('Loonschijven_Tranches salariale'!$Q70*0.65,4)*Basisbedragen!$I$7,2),ROUND(Basisbedragen!$D$36*Basisbedragen!$I$7,2)),ROUND(ROUND(Basisbedragen!$D$27*0.65,4)*Basisbedragen!$I$7,2))+Basisbedragen!$I$10)</f>
        <v>75.2</v>
      </c>
      <c r="J75" s="52">
        <f>IF(MIN(MAX(ROUND(ROUND('Loonschijven_Tranches salariale'!$Q70*0.6,4)*Basisbedragen!$I$7,2),ROUND(Basisbedragen!$D$36*Basisbedragen!$I$7,2)),ROUND(ROUND(Basisbedragen!$D$28*0.6,4)*Basisbedragen!$I$7,2))&lt;= Basisbedragen!$I$8,MIN(MAX(ROUND(ROUND('Loonschijven_Tranches salariale'!$Q70*0.6,4)*Basisbedragen!$I$2,2),ROUND(Basisbedragen!$D$36*Basisbedragen!$I$2,2)),ROUND(ROUND(Basisbedragen!$D$28*0.6,4)*Basisbedragen!$I$2,2)),MIN(MAX(ROUND(ROUND('Loonschijven_Tranches salariale'!$Q70*0.6,4)*Basisbedragen!$I$7,2),ROUND(Basisbedragen!$D$36*Basisbedragen!$I$7,2)),ROUND(ROUND(Basisbedragen!$D$28*0.6,4)*Basisbedragen!$I$7,2))+Basisbedragen!$I$10)</f>
        <v>69.42</v>
      </c>
      <c r="K75" s="52">
        <f>MIN(MAX(ROUND(ROUND('Loonschijven_Tranches salariale'!$Q70*0.6,4)*Basisbedragen!$I$2,2),ROUND(Basisbedragen!$D$37*Basisbedragen!$I$2,2)),ROUND(ROUND(Basisbedragen!$D$29*0.6,4)*Basisbedragen!$I$2,2))</f>
        <v>69.42</v>
      </c>
      <c r="L75" s="38"/>
      <c r="M75" s="52">
        <f t="shared" si="1"/>
        <v>57.53</v>
      </c>
      <c r="N75" s="38"/>
      <c r="O75" s="52">
        <f>IF(MIN(MAX(ROUND(ROUND('Loonschijven_Tranches salariale'!$Q70*0.65,4)*Basisbedragen!$I$7,2),ROUND(Basisbedragen!$D$38*Basisbedragen!$I$7,2)),ROUND(ROUND(Basisbedragen!$D$27*0.65,4)*Basisbedragen!$I$7,2))&lt;= Basisbedragen!$I$8,MIN(MAX(ROUND(ROUND('Loonschijven_Tranches salariale'!$Q70*0.65,4)*Basisbedragen!$I$2,2),ROUND(Basisbedragen!$D$38*Basisbedragen!$I$2,2)),ROUND(ROUND(Basisbedragen!$D$27*0.65,4)*Basisbedragen!$I$2,2)),MIN(MAX(ROUND(ROUND('Loonschijven_Tranches salariale'!$Q70*0.65,4)*Basisbedragen!$I$7,2),ROUND(Basisbedragen!$D$38*Basisbedragen!$I$7,2)),ROUND(ROUND(Basisbedragen!$D$27*0.65,4)*Basisbedragen!$I$7,2))+Basisbedragen!$I$10)</f>
        <v>75.2</v>
      </c>
      <c r="P75" s="52">
        <f>IF(MIN(MAX(ROUND(ROUND('Loonschijven_Tranches salariale'!$Q70*0.6,4)*Basisbedragen!$I$7,2),ROUND(Basisbedragen!$D$39*Basisbedragen!$I$7,2)),ROUND(ROUND(Basisbedragen!$D$28*0.6,4)*Basisbedragen!$I$7,2))&lt;= Basisbedragen!$I$8,MIN(MAX(ROUND(ROUND('Loonschijven_Tranches salariale'!$Q70*0.6,4)*Basisbedragen!$I$2,2),ROUND(Basisbedragen!$D$39*Basisbedragen!$I$2,2)),ROUND(ROUND(Basisbedragen!$D$28*0.6,4)*Basisbedragen!$I$2,2)),MIN(MAX(ROUND(ROUND('Loonschijven_Tranches salariale'!$Q70*0.6,4)*Basisbedragen!$I$7,2),ROUND(Basisbedragen!$D$39*Basisbedragen!$I$7,2)),ROUND(ROUND(Basisbedragen!$D$28*0.6,4)*Basisbedragen!$I$7,2))+Basisbedragen!$I$10)</f>
        <v>69.42</v>
      </c>
      <c r="Q75" s="52">
        <f>MIN(MAX(ROUND(ROUND('Loonschijven_Tranches salariale'!$Q70*0.6,4)*Basisbedragen!$I$2,2),ROUND(Basisbedragen!$D$40*Basisbedragen!$I$2,2)),ROUND(ROUND(Basisbedragen!$D$29*0.6,4)*Basisbedragen!$I$2,2))</f>
        <v>69.42</v>
      </c>
      <c r="R75" s="38"/>
      <c r="S75" s="52">
        <f t="shared" si="2"/>
        <v>42.37</v>
      </c>
      <c r="T75" s="52">
        <f t="shared" si="3"/>
        <v>29.85</v>
      </c>
    </row>
    <row r="76" spans="1:20" ht="15" thickBot="1">
      <c r="A76" s="47">
        <f t="shared" si="4"/>
        <v>64</v>
      </c>
      <c r="C76" s="52">
        <f>IF(MIN(MAX(ROUND(ROUND('Loonschijven_Tranches salariale'!$Q71*0.65,4)*Basisbedragen!$I$7,2),ROUND(Basisbedragen!$D$34*Basisbedragen!$I$7,2)),ROUND(ROUND(Basisbedragen!$D$27*0.65,4)*Basisbedragen!$I$7,2))&lt;= Basisbedragen!$I$8,MIN(MAX(ROUND(ROUND('Loonschijven_Tranches salariale'!$Q71*0.65,4)*Basisbedragen!$I$2,2),ROUND(Basisbedragen!$D$34*Basisbedragen!$I$2,2)),ROUND(ROUND(Basisbedragen!$D$27*0.65,4)*Basisbedragen!$I$2,2)),MIN(MAX(ROUND(ROUND('Loonschijven_Tranches salariale'!$Q71*0.65,4)*Basisbedragen!$I$7,2),ROUND(Basisbedragen!$D$34*Basisbedragen!$I$7,2)),ROUND(ROUND(Basisbedragen!$D$27*0.65,4)*Basisbedragen!$I$7,2))+Basisbedragen!$I$10)</f>
        <v>78.09</v>
      </c>
      <c r="D76" s="52">
        <f>IF(MIN(MAX(ROUND(ROUND('Loonschijven_Tranches salariale'!$Q71*0.6,4)*Basisbedragen!$I$7,2),ROUND(Basisbedragen!$D$34*Basisbedragen!$I$7,2)),ROUND(ROUND(Basisbedragen!$D$28*0.6,4)*Basisbedragen!$I$7,2))&lt;= Basisbedragen!$I$8,MIN(MAX(ROUND(ROUND('Loonschijven_Tranches salariale'!$Q71*0.6,4)*Basisbedragen!$I$2,2),ROUND(Basisbedragen!$D$34*Basisbedragen!$I$2,2)),ROUND(ROUND(Basisbedragen!$D$28*0.6,4)*Basisbedragen!$I$2,2)),MIN(MAX(ROUND(ROUND('Loonschijven_Tranches salariale'!$Q71*0.6,4)*Basisbedragen!$I$7,2),ROUND(Basisbedragen!$D$34*Basisbedragen!$I$7,2)),ROUND(ROUND(Basisbedragen!$D$28*0.6,4)*Basisbedragen!$I$7,2))+Basisbedragen!$I$10)</f>
        <v>78.09</v>
      </c>
      <c r="E76" s="52">
        <f>MIN(MAX(ROUND(ROUND('Loonschijven_Tranches salariale'!$Q71*0.6,4)*Basisbedragen!$I$2,2),ROUND(Basisbedragen!$D$35*Basisbedragen!$I$2,2)),ROUND(ROUND(Basisbedragen!$D$29*0.6,4)*Basisbedragen!$I$2,2))</f>
        <v>70.989999999999995</v>
      </c>
      <c r="F76" s="38"/>
      <c r="G76" s="52">
        <f t="shared" si="0"/>
        <v>70.989999999999995</v>
      </c>
      <c r="H76" s="38"/>
      <c r="I76" s="52">
        <f>IF(MIN(MAX(ROUND(ROUND('Loonschijven_Tranches salariale'!$Q71*0.65,4)*Basisbedragen!$I$7,2),ROUND(Basisbedragen!$D$36*Basisbedragen!$I$7,2)),ROUND(ROUND(Basisbedragen!$D$27*0.65,4)*Basisbedragen!$I$7,2))&lt;= Basisbedragen!$I$8,MIN(MAX(ROUND(ROUND('Loonschijven_Tranches salariale'!$Q71*0.65,4)*Basisbedragen!$I$2,2),ROUND(Basisbedragen!$D$36*Basisbedragen!$I$2,2)),ROUND(ROUND(Basisbedragen!$D$27*0.65,4)*Basisbedragen!$I$2,2)),MIN(MAX(ROUND(ROUND('Loonschijven_Tranches salariale'!$Q71*0.65,4)*Basisbedragen!$I$7,2),ROUND(Basisbedragen!$D$36*Basisbedragen!$I$7,2)),ROUND(ROUND(Basisbedragen!$D$27*0.65,4)*Basisbedragen!$I$7,2))+Basisbedragen!$I$10)</f>
        <v>76.400000000000006</v>
      </c>
      <c r="J76" s="52">
        <f>IF(MIN(MAX(ROUND(ROUND('Loonschijven_Tranches salariale'!$Q71*0.6,4)*Basisbedragen!$I$7,2),ROUND(Basisbedragen!$D$36*Basisbedragen!$I$7,2)),ROUND(ROUND(Basisbedragen!$D$28*0.6,4)*Basisbedragen!$I$7,2))&lt;= Basisbedragen!$I$8,MIN(MAX(ROUND(ROUND('Loonschijven_Tranches salariale'!$Q71*0.6,4)*Basisbedragen!$I$2,2),ROUND(Basisbedragen!$D$36*Basisbedragen!$I$2,2)),ROUND(ROUND(Basisbedragen!$D$28*0.6,4)*Basisbedragen!$I$2,2)),MIN(MAX(ROUND(ROUND('Loonschijven_Tranches salariale'!$Q71*0.6,4)*Basisbedragen!$I$7,2),ROUND(Basisbedragen!$D$36*Basisbedragen!$I$7,2)),ROUND(ROUND(Basisbedragen!$D$28*0.6,4)*Basisbedragen!$I$7,2))+Basisbedragen!$I$10)</f>
        <v>70.52</v>
      </c>
      <c r="K76" s="52">
        <f>MIN(MAX(ROUND(ROUND('Loonschijven_Tranches salariale'!$Q71*0.6,4)*Basisbedragen!$I$2,2),ROUND(Basisbedragen!$D$37*Basisbedragen!$I$2,2)),ROUND(ROUND(Basisbedragen!$D$29*0.6,4)*Basisbedragen!$I$2,2))</f>
        <v>70.52</v>
      </c>
      <c r="L76" s="38"/>
      <c r="M76" s="52">
        <f t="shared" si="1"/>
        <v>57.53</v>
      </c>
      <c r="N76" s="38"/>
      <c r="O76" s="52">
        <f>IF(MIN(MAX(ROUND(ROUND('Loonschijven_Tranches salariale'!$Q71*0.65,4)*Basisbedragen!$I$7,2),ROUND(Basisbedragen!$D$38*Basisbedragen!$I$7,2)),ROUND(ROUND(Basisbedragen!$D$27*0.65,4)*Basisbedragen!$I$7,2))&lt;= Basisbedragen!$I$8,MIN(MAX(ROUND(ROUND('Loonschijven_Tranches salariale'!$Q71*0.65,4)*Basisbedragen!$I$2,2),ROUND(Basisbedragen!$D$38*Basisbedragen!$I$2,2)),ROUND(ROUND(Basisbedragen!$D$27*0.65,4)*Basisbedragen!$I$2,2)),MIN(MAX(ROUND(ROUND('Loonschijven_Tranches salariale'!$Q71*0.65,4)*Basisbedragen!$I$7,2),ROUND(Basisbedragen!$D$38*Basisbedragen!$I$7,2)),ROUND(ROUND(Basisbedragen!$D$27*0.65,4)*Basisbedragen!$I$7,2))+Basisbedragen!$I$10)</f>
        <v>76.400000000000006</v>
      </c>
      <c r="P76" s="52">
        <f>IF(MIN(MAX(ROUND(ROUND('Loonschijven_Tranches salariale'!$Q71*0.6,4)*Basisbedragen!$I$7,2),ROUND(Basisbedragen!$D$39*Basisbedragen!$I$7,2)),ROUND(ROUND(Basisbedragen!$D$28*0.6,4)*Basisbedragen!$I$7,2))&lt;= Basisbedragen!$I$8,MIN(MAX(ROUND(ROUND('Loonschijven_Tranches salariale'!$Q71*0.6,4)*Basisbedragen!$I$2,2),ROUND(Basisbedragen!$D$39*Basisbedragen!$I$2,2)),ROUND(ROUND(Basisbedragen!$D$28*0.6,4)*Basisbedragen!$I$2,2)),MIN(MAX(ROUND(ROUND('Loonschijven_Tranches salariale'!$Q71*0.6,4)*Basisbedragen!$I$7,2),ROUND(Basisbedragen!$D$39*Basisbedragen!$I$7,2)),ROUND(ROUND(Basisbedragen!$D$28*0.6,4)*Basisbedragen!$I$7,2))+Basisbedragen!$I$10)</f>
        <v>70.52</v>
      </c>
      <c r="Q76" s="52">
        <f>MIN(MAX(ROUND(ROUND('Loonschijven_Tranches salariale'!$Q71*0.6,4)*Basisbedragen!$I$2,2),ROUND(Basisbedragen!$D$40*Basisbedragen!$I$2,2)),ROUND(ROUND(Basisbedragen!$D$29*0.6,4)*Basisbedragen!$I$2,2))</f>
        <v>70.52</v>
      </c>
      <c r="R76" s="38"/>
      <c r="S76" s="52">
        <f t="shared" si="2"/>
        <v>42.37</v>
      </c>
      <c r="T76" s="52">
        <f t="shared" si="3"/>
        <v>29.85</v>
      </c>
    </row>
    <row r="77" spans="1:20" ht="15" thickBot="1">
      <c r="A77" s="47">
        <f t="shared" si="4"/>
        <v>65</v>
      </c>
      <c r="C77" s="52">
        <f>IF(MIN(MAX(ROUND(ROUND('Loonschijven_Tranches salariale'!$Q72*0.65,4)*Basisbedragen!$I$7,2),ROUND(Basisbedragen!$D$34*Basisbedragen!$I$7,2)),ROUND(ROUND(Basisbedragen!$D$27*0.65,4)*Basisbedragen!$I$7,2))&lt;= Basisbedragen!$I$8,MIN(MAX(ROUND(ROUND('Loonschijven_Tranches salariale'!$Q72*0.65,4)*Basisbedragen!$I$2,2),ROUND(Basisbedragen!$D$34*Basisbedragen!$I$2,2)),ROUND(ROUND(Basisbedragen!$D$27*0.65,4)*Basisbedragen!$I$2,2)),MIN(MAX(ROUND(ROUND('Loonschijven_Tranches salariale'!$Q72*0.65,4)*Basisbedragen!$I$7,2),ROUND(Basisbedragen!$D$34*Basisbedragen!$I$7,2)),ROUND(ROUND(Basisbedragen!$D$27*0.65,4)*Basisbedragen!$I$7,2))+Basisbedragen!$I$10)</f>
        <v>78.09</v>
      </c>
      <c r="D77" s="52">
        <f>IF(MIN(MAX(ROUND(ROUND('Loonschijven_Tranches salariale'!$Q72*0.6,4)*Basisbedragen!$I$7,2),ROUND(Basisbedragen!$D$34*Basisbedragen!$I$7,2)),ROUND(ROUND(Basisbedragen!$D$28*0.6,4)*Basisbedragen!$I$7,2))&lt;= Basisbedragen!$I$8,MIN(MAX(ROUND(ROUND('Loonschijven_Tranches salariale'!$Q72*0.6,4)*Basisbedragen!$I$2,2),ROUND(Basisbedragen!$D$34*Basisbedragen!$I$2,2)),ROUND(ROUND(Basisbedragen!$D$28*0.6,4)*Basisbedragen!$I$2,2)),MIN(MAX(ROUND(ROUND('Loonschijven_Tranches salariale'!$Q72*0.6,4)*Basisbedragen!$I$7,2),ROUND(Basisbedragen!$D$34*Basisbedragen!$I$7,2)),ROUND(ROUND(Basisbedragen!$D$28*0.6,4)*Basisbedragen!$I$7,2))+Basisbedragen!$I$10)</f>
        <v>78.09</v>
      </c>
      <c r="E77" s="52">
        <f>MIN(MAX(ROUND(ROUND('Loonschijven_Tranches salariale'!$Q72*0.6,4)*Basisbedragen!$I$2,2),ROUND(Basisbedragen!$D$35*Basisbedragen!$I$2,2)),ROUND(ROUND(Basisbedragen!$D$29*0.6,4)*Basisbedragen!$I$2,2))</f>
        <v>71.400000000000006</v>
      </c>
      <c r="F77" s="38"/>
      <c r="G77" s="52">
        <f t="shared" si="0"/>
        <v>70.989999999999995</v>
      </c>
      <c r="H77" s="38"/>
      <c r="I77" s="52">
        <f>IF(MIN(MAX(ROUND(ROUND('Loonschijven_Tranches salariale'!$Q72*0.65,4)*Basisbedragen!$I$7,2),ROUND(Basisbedragen!$D$36*Basisbedragen!$I$7,2)),ROUND(ROUND(Basisbedragen!$D$27*0.65,4)*Basisbedragen!$I$7,2))&lt;= Basisbedragen!$I$8,MIN(MAX(ROUND(ROUND('Loonschijven_Tranches salariale'!$Q72*0.65,4)*Basisbedragen!$I$2,2),ROUND(Basisbedragen!$D$36*Basisbedragen!$I$2,2)),ROUND(ROUND(Basisbedragen!$D$27*0.65,4)*Basisbedragen!$I$2,2)),MIN(MAX(ROUND(ROUND('Loonschijven_Tranches salariale'!$Q72*0.65,4)*Basisbedragen!$I$7,2),ROUND(Basisbedragen!$D$36*Basisbedragen!$I$7,2)),ROUND(ROUND(Basisbedragen!$D$27*0.65,4)*Basisbedragen!$I$7,2))+Basisbedragen!$I$10)</f>
        <v>77.349999999999994</v>
      </c>
      <c r="J77" s="52">
        <f>IF(MIN(MAX(ROUND(ROUND('Loonschijven_Tranches salariale'!$Q72*0.6,4)*Basisbedragen!$I$7,2),ROUND(Basisbedragen!$D$36*Basisbedragen!$I$7,2)),ROUND(ROUND(Basisbedragen!$D$28*0.6,4)*Basisbedragen!$I$7,2))&lt;= Basisbedragen!$I$8,MIN(MAX(ROUND(ROUND('Loonschijven_Tranches salariale'!$Q72*0.6,4)*Basisbedragen!$I$2,2),ROUND(Basisbedragen!$D$36*Basisbedragen!$I$2,2)),ROUND(ROUND(Basisbedragen!$D$28*0.6,4)*Basisbedragen!$I$2,2)),MIN(MAX(ROUND(ROUND('Loonschijven_Tranches salariale'!$Q72*0.6,4)*Basisbedragen!$I$7,2),ROUND(Basisbedragen!$D$36*Basisbedragen!$I$7,2)),ROUND(ROUND(Basisbedragen!$D$28*0.6,4)*Basisbedragen!$I$7,2))+Basisbedragen!$I$10)</f>
        <v>71.400000000000006</v>
      </c>
      <c r="K77" s="52">
        <f>MIN(MAX(ROUND(ROUND('Loonschijven_Tranches salariale'!$Q72*0.6,4)*Basisbedragen!$I$2,2),ROUND(Basisbedragen!$D$37*Basisbedragen!$I$2,2)),ROUND(ROUND(Basisbedragen!$D$29*0.6,4)*Basisbedragen!$I$2,2))</f>
        <v>71.400000000000006</v>
      </c>
      <c r="L77" s="38"/>
      <c r="M77" s="52">
        <f t="shared" si="1"/>
        <v>57.53</v>
      </c>
      <c r="N77" s="38"/>
      <c r="O77" s="52">
        <f>IF(MIN(MAX(ROUND(ROUND('Loonschijven_Tranches salariale'!$Q72*0.65,4)*Basisbedragen!$I$7,2),ROUND(Basisbedragen!$D$38*Basisbedragen!$I$7,2)),ROUND(ROUND(Basisbedragen!$D$27*0.65,4)*Basisbedragen!$I$7,2))&lt;= Basisbedragen!$I$8,MIN(MAX(ROUND(ROUND('Loonschijven_Tranches salariale'!$Q72*0.65,4)*Basisbedragen!$I$2,2),ROUND(Basisbedragen!$D$38*Basisbedragen!$I$2,2)),ROUND(ROUND(Basisbedragen!$D$27*0.65,4)*Basisbedragen!$I$2,2)),MIN(MAX(ROUND(ROUND('Loonschijven_Tranches salariale'!$Q72*0.65,4)*Basisbedragen!$I$7,2),ROUND(Basisbedragen!$D$38*Basisbedragen!$I$7,2)),ROUND(ROUND(Basisbedragen!$D$27*0.65,4)*Basisbedragen!$I$7,2))+Basisbedragen!$I$10)</f>
        <v>77.349999999999994</v>
      </c>
      <c r="P77" s="52">
        <f>IF(MIN(MAX(ROUND(ROUND('Loonschijven_Tranches salariale'!$Q72*0.6,4)*Basisbedragen!$I$7,2),ROUND(Basisbedragen!$D$39*Basisbedragen!$I$7,2)),ROUND(ROUND(Basisbedragen!$D$28*0.6,4)*Basisbedragen!$I$7,2))&lt;= Basisbedragen!$I$8,MIN(MAX(ROUND(ROUND('Loonschijven_Tranches salariale'!$Q72*0.6,4)*Basisbedragen!$I$2,2),ROUND(Basisbedragen!$D$39*Basisbedragen!$I$2,2)),ROUND(ROUND(Basisbedragen!$D$28*0.6,4)*Basisbedragen!$I$2,2)),MIN(MAX(ROUND(ROUND('Loonschijven_Tranches salariale'!$Q72*0.6,4)*Basisbedragen!$I$7,2),ROUND(Basisbedragen!$D$39*Basisbedragen!$I$7,2)),ROUND(ROUND(Basisbedragen!$D$28*0.6,4)*Basisbedragen!$I$7,2))+Basisbedragen!$I$10)</f>
        <v>71.400000000000006</v>
      </c>
      <c r="Q77" s="52">
        <f>MIN(MAX(ROUND(ROUND('Loonschijven_Tranches salariale'!$Q72*0.6,4)*Basisbedragen!$I$2,2),ROUND(Basisbedragen!$D$40*Basisbedragen!$I$2,2)),ROUND(ROUND(Basisbedragen!$D$29*0.6,4)*Basisbedragen!$I$2,2))</f>
        <v>71.400000000000006</v>
      </c>
      <c r="R77" s="38"/>
      <c r="S77" s="52">
        <f t="shared" si="2"/>
        <v>42.37</v>
      </c>
      <c r="T77" s="52">
        <f t="shared" si="3"/>
        <v>29.85</v>
      </c>
    </row>
    <row r="78" spans="1:20" ht="15" thickBot="1">
      <c r="A78" s="47">
        <f t="shared" si="4"/>
        <v>66</v>
      </c>
      <c r="C78" s="52">
        <f>IF(MIN(MAX(ROUND(ROUND('Loonschijven_Tranches salariale'!$Q73*0.65,4)*Basisbedragen!$I$7,2),ROUND(Basisbedragen!$D$34*Basisbedragen!$I$7,2)),ROUND(ROUND(Basisbedragen!$D$27*0.65,4)*Basisbedragen!$I$7,2))&lt;= Basisbedragen!$I$8,MIN(MAX(ROUND(ROUND('Loonschijven_Tranches salariale'!$Q73*0.65,4)*Basisbedragen!$I$2,2),ROUND(Basisbedragen!$D$34*Basisbedragen!$I$2,2)),ROUND(ROUND(Basisbedragen!$D$27*0.65,4)*Basisbedragen!$I$2,2)),MIN(MAX(ROUND(ROUND('Loonschijven_Tranches salariale'!$Q73*0.65,4)*Basisbedragen!$I$7,2),ROUND(Basisbedragen!$D$34*Basisbedragen!$I$7,2)),ROUND(ROUND(Basisbedragen!$D$27*0.65,4)*Basisbedragen!$I$7,2))+Basisbedragen!$I$10)</f>
        <v>78.25</v>
      </c>
      <c r="D78" s="52">
        <f>IF(MIN(MAX(ROUND(ROUND('Loonschijven_Tranches salariale'!$Q73*0.6,4)*Basisbedragen!$I$7,2),ROUND(Basisbedragen!$D$34*Basisbedragen!$I$7,2)),ROUND(ROUND(Basisbedragen!$D$28*0.6,4)*Basisbedragen!$I$7,2))&lt;= Basisbedragen!$I$8,MIN(MAX(ROUND(ROUND('Loonschijven_Tranches salariale'!$Q73*0.6,4)*Basisbedragen!$I$2,2),ROUND(Basisbedragen!$D$34*Basisbedragen!$I$2,2)),ROUND(ROUND(Basisbedragen!$D$28*0.6,4)*Basisbedragen!$I$2,2)),MIN(MAX(ROUND(ROUND('Loonschijven_Tranches salariale'!$Q73*0.6,4)*Basisbedragen!$I$7,2),ROUND(Basisbedragen!$D$34*Basisbedragen!$I$7,2)),ROUND(ROUND(Basisbedragen!$D$28*0.6,4)*Basisbedragen!$I$7,2))+Basisbedragen!$I$10)</f>
        <v>78.09</v>
      </c>
      <c r="E78" s="52">
        <f>MIN(MAX(ROUND(ROUND('Loonschijven_Tranches salariale'!$Q73*0.6,4)*Basisbedragen!$I$2,2),ROUND(Basisbedragen!$D$35*Basisbedragen!$I$2,2)),ROUND(ROUND(Basisbedragen!$D$29*0.6,4)*Basisbedragen!$I$2,2))</f>
        <v>72.23</v>
      </c>
      <c r="F78" s="38"/>
      <c r="G78" s="52">
        <f t="shared" ref="G78:G111" si="5">$E$12</f>
        <v>70.989999999999995</v>
      </c>
      <c r="H78" s="38"/>
      <c r="I78" s="52">
        <f>IF(MIN(MAX(ROUND(ROUND('Loonschijven_Tranches salariale'!$Q73*0.65,4)*Basisbedragen!$I$7,2),ROUND(Basisbedragen!$D$36*Basisbedragen!$I$7,2)),ROUND(ROUND(Basisbedragen!$D$27*0.65,4)*Basisbedragen!$I$7,2))&lt;= Basisbedragen!$I$8,MIN(MAX(ROUND(ROUND('Loonschijven_Tranches salariale'!$Q73*0.65,4)*Basisbedragen!$I$2,2),ROUND(Basisbedragen!$D$36*Basisbedragen!$I$2,2)),ROUND(ROUND(Basisbedragen!$D$27*0.65,4)*Basisbedragen!$I$2,2)),MIN(MAX(ROUND(ROUND('Loonschijven_Tranches salariale'!$Q73*0.65,4)*Basisbedragen!$I$7,2),ROUND(Basisbedragen!$D$36*Basisbedragen!$I$7,2)),ROUND(ROUND(Basisbedragen!$D$27*0.65,4)*Basisbedragen!$I$7,2))+Basisbedragen!$I$10)</f>
        <v>78.25</v>
      </c>
      <c r="J78" s="52">
        <f>IF(MIN(MAX(ROUND(ROUND('Loonschijven_Tranches salariale'!$Q73*0.6,4)*Basisbedragen!$I$7,2),ROUND(Basisbedragen!$D$36*Basisbedragen!$I$7,2)),ROUND(ROUND(Basisbedragen!$D$28*0.6,4)*Basisbedragen!$I$7,2))&lt;= Basisbedragen!$I$8,MIN(MAX(ROUND(ROUND('Loonschijven_Tranches salariale'!$Q73*0.6,4)*Basisbedragen!$I$2,2),ROUND(Basisbedragen!$D$36*Basisbedragen!$I$2,2)),ROUND(ROUND(Basisbedragen!$D$28*0.6,4)*Basisbedragen!$I$2,2)),MIN(MAX(ROUND(ROUND('Loonschijven_Tranches salariale'!$Q73*0.6,4)*Basisbedragen!$I$7,2),ROUND(Basisbedragen!$D$36*Basisbedragen!$I$7,2)),ROUND(ROUND(Basisbedragen!$D$28*0.6,4)*Basisbedragen!$I$7,2))+Basisbedragen!$I$10)</f>
        <v>72.23</v>
      </c>
      <c r="K78" s="52">
        <f>MIN(MAX(ROUND(ROUND('Loonschijven_Tranches salariale'!$Q73*0.6,4)*Basisbedragen!$I$2,2),ROUND(Basisbedragen!$D$37*Basisbedragen!$I$2,2)),ROUND(ROUND(Basisbedragen!$D$29*0.6,4)*Basisbedragen!$I$2,2))</f>
        <v>72.23</v>
      </c>
      <c r="L78" s="38"/>
      <c r="M78" s="52">
        <f t="shared" ref="M78:M111" si="6">$K$12</f>
        <v>57.53</v>
      </c>
      <c r="N78" s="38"/>
      <c r="O78" s="52">
        <f>IF(MIN(MAX(ROUND(ROUND('Loonschijven_Tranches salariale'!$Q73*0.65,4)*Basisbedragen!$I$7,2),ROUND(Basisbedragen!$D$38*Basisbedragen!$I$7,2)),ROUND(ROUND(Basisbedragen!$D$27*0.65,4)*Basisbedragen!$I$7,2))&lt;= Basisbedragen!$I$8,MIN(MAX(ROUND(ROUND('Loonschijven_Tranches salariale'!$Q73*0.65,4)*Basisbedragen!$I$2,2),ROUND(Basisbedragen!$D$38*Basisbedragen!$I$2,2)),ROUND(ROUND(Basisbedragen!$D$27*0.65,4)*Basisbedragen!$I$2,2)),MIN(MAX(ROUND(ROUND('Loonschijven_Tranches salariale'!$Q73*0.65,4)*Basisbedragen!$I$7,2),ROUND(Basisbedragen!$D$38*Basisbedragen!$I$7,2)),ROUND(ROUND(Basisbedragen!$D$27*0.65,4)*Basisbedragen!$I$7,2))+Basisbedragen!$I$10)</f>
        <v>78.25</v>
      </c>
      <c r="P78" s="52">
        <f>IF(MIN(MAX(ROUND(ROUND('Loonschijven_Tranches salariale'!$Q73*0.6,4)*Basisbedragen!$I$7,2),ROUND(Basisbedragen!$D$39*Basisbedragen!$I$7,2)),ROUND(ROUND(Basisbedragen!$D$28*0.6,4)*Basisbedragen!$I$7,2))&lt;= Basisbedragen!$I$8,MIN(MAX(ROUND(ROUND('Loonschijven_Tranches salariale'!$Q73*0.6,4)*Basisbedragen!$I$2,2),ROUND(Basisbedragen!$D$39*Basisbedragen!$I$2,2)),ROUND(ROUND(Basisbedragen!$D$28*0.6,4)*Basisbedragen!$I$2,2)),MIN(MAX(ROUND(ROUND('Loonschijven_Tranches salariale'!$Q73*0.6,4)*Basisbedragen!$I$7,2),ROUND(Basisbedragen!$D$39*Basisbedragen!$I$7,2)),ROUND(ROUND(Basisbedragen!$D$28*0.6,4)*Basisbedragen!$I$7,2))+Basisbedragen!$I$10)</f>
        <v>72.23</v>
      </c>
      <c r="Q78" s="52">
        <f>MIN(MAX(ROUND(ROUND('Loonschijven_Tranches salariale'!$Q73*0.6,4)*Basisbedragen!$I$2,2),ROUND(Basisbedragen!$D$40*Basisbedragen!$I$2,2)),ROUND(ROUND(Basisbedragen!$D$29*0.6,4)*Basisbedragen!$I$2,2))</f>
        <v>72.23</v>
      </c>
      <c r="R78" s="38"/>
      <c r="S78" s="52">
        <f t="shared" ref="S78:S111" si="7">$S$12</f>
        <v>42.37</v>
      </c>
      <c r="T78" s="52">
        <f t="shared" ref="T78:T111" si="8">$T$12</f>
        <v>29.85</v>
      </c>
    </row>
    <row r="79" spans="1:20" ht="15" thickBot="1">
      <c r="A79" s="47">
        <f t="shared" ref="A79:A85" si="9">A78+1</f>
        <v>67</v>
      </c>
      <c r="C79" s="52">
        <f>IF(MIN(MAX(ROUND(ROUND('Loonschijven_Tranches salariale'!$Q74*0.65,4)*Basisbedragen!$I$7,2),ROUND(Basisbedragen!$D$34*Basisbedragen!$I$7,2)),ROUND(ROUND(Basisbedragen!$D$27*0.65,4)*Basisbedragen!$I$7,2))&lt;= Basisbedragen!$I$8,MIN(MAX(ROUND(ROUND('Loonschijven_Tranches salariale'!$Q74*0.65,4)*Basisbedragen!$I$2,2),ROUND(Basisbedragen!$D$34*Basisbedragen!$I$2,2)),ROUND(ROUND(Basisbedragen!$D$27*0.65,4)*Basisbedragen!$I$2,2)),MIN(MAX(ROUND(ROUND('Loonschijven_Tranches salariale'!$Q74*0.65,4)*Basisbedragen!$I$7,2),ROUND(Basisbedragen!$D$34*Basisbedragen!$I$7,2)),ROUND(ROUND(Basisbedragen!$D$27*0.65,4)*Basisbedragen!$I$7,2))+Basisbedragen!$I$10)</f>
        <v>79.25</v>
      </c>
      <c r="D79" s="52">
        <f>IF(MIN(MAX(ROUND(ROUND('Loonschijven_Tranches salariale'!$Q74*0.6,4)*Basisbedragen!$I$7,2),ROUND(Basisbedragen!$D$34*Basisbedragen!$I$7,2)),ROUND(ROUND(Basisbedragen!$D$28*0.6,4)*Basisbedragen!$I$7,2))&lt;= Basisbedragen!$I$8,MIN(MAX(ROUND(ROUND('Loonschijven_Tranches salariale'!$Q74*0.6,4)*Basisbedragen!$I$2,2),ROUND(Basisbedragen!$D$34*Basisbedragen!$I$2,2)),ROUND(ROUND(Basisbedragen!$D$28*0.6,4)*Basisbedragen!$I$2,2)),MIN(MAX(ROUND(ROUND('Loonschijven_Tranches salariale'!$Q74*0.6,4)*Basisbedragen!$I$7,2),ROUND(Basisbedragen!$D$34*Basisbedragen!$I$7,2)),ROUND(ROUND(Basisbedragen!$D$28*0.6,4)*Basisbedragen!$I$7,2))+Basisbedragen!$I$10)</f>
        <v>78.09</v>
      </c>
      <c r="E79" s="52">
        <f>MIN(MAX(ROUND(ROUND('Loonschijven_Tranches salariale'!$Q74*0.6,4)*Basisbedragen!$I$2,2),ROUND(Basisbedragen!$D$35*Basisbedragen!$I$2,2)),ROUND(ROUND(Basisbedragen!$D$29*0.6,4)*Basisbedragen!$I$2,2))</f>
        <v>73.17</v>
      </c>
      <c r="F79" s="38"/>
      <c r="G79" s="52">
        <f t="shared" si="5"/>
        <v>70.989999999999995</v>
      </c>
      <c r="H79" s="38"/>
      <c r="I79" s="52">
        <f>IF(MIN(MAX(ROUND(ROUND('Loonschijven_Tranches salariale'!$Q74*0.65,4)*Basisbedragen!$I$7,2),ROUND(Basisbedragen!$D$36*Basisbedragen!$I$7,2)),ROUND(ROUND(Basisbedragen!$D$27*0.65,4)*Basisbedragen!$I$7,2))&lt;= Basisbedragen!$I$8,MIN(MAX(ROUND(ROUND('Loonschijven_Tranches salariale'!$Q74*0.65,4)*Basisbedragen!$I$2,2),ROUND(Basisbedragen!$D$36*Basisbedragen!$I$2,2)),ROUND(ROUND(Basisbedragen!$D$27*0.65,4)*Basisbedragen!$I$2,2)),MIN(MAX(ROUND(ROUND('Loonschijven_Tranches salariale'!$Q74*0.65,4)*Basisbedragen!$I$7,2),ROUND(Basisbedragen!$D$36*Basisbedragen!$I$7,2)),ROUND(ROUND(Basisbedragen!$D$27*0.65,4)*Basisbedragen!$I$7,2))+Basisbedragen!$I$10)</f>
        <v>79.25</v>
      </c>
      <c r="J79" s="52">
        <f>IF(MIN(MAX(ROUND(ROUND('Loonschijven_Tranches salariale'!$Q74*0.6,4)*Basisbedragen!$I$7,2),ROUND(Basisbedragen!$D$36*Basisbedragen!$I$7,2)),ROUND(ROUND(Basisbedragen!$D$28*0.6,4)*Basisbedragen!$I$7,2))&lt;= Basisbedragen!$I$8,MIN(MAX(ROUND(ROUND('Loonschijven_Tranches salariale'!$Q74*0.6,4)*Basisbedragen!$I$2,2),ROUND(Basisbedragen!$D$36*Basisbedragen!$I$2,2)),ROUND(ROUND(Basisbedragen!$D$28*0.6,4)*Basisbedragen!$I$2,2)),MIN(MAX(ROUND(ROUND('Loonschijven_Tranches salariale'!$Q74*0.6,4)*Basisbedragen!$I$7,2),ROUND(Basisbedragen!$D$36*Basisbedragen!$I$7,2)),ROUND(ROUND(Basisbedragen!$D$28*0.6,4)*Basisbedragen!$I$7,2))+Basisbedragen!$I$10)</f>
        <v>73.17</v>
      </c>
      <c r="K79" s="52">
        <f>MIN(MAX(ROUND(ROUND('Loonschijven_Tranches salariale'!$Q74*0.6,4)*Basisbedragen!$I$2,2),ROUND(Basisbedragen!$D$37*Basisbedragen!$I$2,2)),ROUND(ROUND(Basisbedragen!$D$29*0.6,4)*Basisbedragen!$I$2,2))</f>
        <v>73.17</v>
      </c>
      <c r="L79" s="38"/>
      <c r="M79" s="52">
        <f t="shared" si="6"/>
        <v>57.53</v>
      </c>
      <c r="N79" s="38"/>
      <c r="O79" s="52">
        <f>IF(MIN(MAX(ROUND(ROUND('Loonschijven_Tranches salariale'!$Q74*0.65,4)*Basisbedragen!$I$7,2),ROUND(Basisbedragen!$D$38*Basisbedragen!$I$7,2)),ROUND(ROUND(Basisbedragen!$D$27*0.65,4)*Basisbedragen!$I$7,2))&lt;= Basisbedragen!$I$8,MIN(MAX(ROUND(ROUND('Loonschijven_Tranches salariale'!$Q74*0.65,4)*Basisbedragen!$I$2,2),ROUND(Basisbedragen!$D$38*Basisbedragen!$I$2,2)),ROUND(ROUND(Basisbedragen!$D$27*0.65,4)*Basisbedragen!$I$2,2)),MIN(MAX(ROUND(ROUND('Loonschijven_Tranches salariale'!$Q74*0.65,4)*Basisbedragen!$I$7,2),ROUND(Basisbedragen!$D$38*Basisbedragen!$I$7,2)),ROUND(ROUND(Basisbedragen!$D$27*0.65,4)*Basisbedragen!$I$7,2))+Basisbedragen!$I$10)</f>
        <v>79.25</v>
      </c>
      <c r="P79" s="52">
        <f>IF(MIN(MAX(ROUND(ROUND('Loonschijven_Tranches salariale'!$Q74*0.6,4)*Basisbedragen!$I$7,2),ROUND(Basisbedragen!$D$39*Basisbedragen!$I$7,2)),ROUND(ROUND(Basisbedragen!$D$28*0.6,4)*Basisbedragen!$I$7,2))&lt;= Basisbedragen!$I$8,MIN(MAX(ROUND(ROUND('Loonschijven_Tranches salariale'!$Q74*0.6,4)*Basisbedragen!$I$2,2),ROUND(Basisbedragen!$D$39*Basisbedragen!$I$2,2)),ROUND(ROUND(Basisbedragen!$D$28*0.6,4)*Basisbedragen!$I$2,2)),MIN(MAX(ROUND(ROUND('Loonschijven_Tranches salariale'!$Q74*0.6,4)*Basisbedragen!$I$7,2),ROUND(Basisbedragen!$D$39*Basisbedragen!$I$7,2)),ROUND(ROUND(Basisbedragen!$D$28*0.6,4)*Basisbedragen!$I$7,2))+Basisbedragen!$I$10)</f>
        <v>73.17</v>
      </c>
      <c r="Q79" s="52">
        <f>MIN(MAX(ROUND(ROUND('Loonschijven_Tranches salariale'!$Q74*0.6,4)*Basisbedragen!$I$2,2),ROUND(Basisbedragen!$D$40*Basisbedragen!$I$2,2)),ROUND(ROUND(Basisbedragen!$D$29*0.6,4)*Basisbedragen!$I$2,2))</f>
        <v>73.17</v>
      </c>
      <c r="R79" s="38"/>
      <c r="S79" s="52">
        <f t="shared" si="7"/>
        <v>42.37</v>
      </c>
      <c r="T79" s="52">
        <f t="shared" si="8"/>
        <v>29.85</v>
      </c>
    </row>
    <row r="80" spans="1:20" ht="15" thickBot="1">
      <c r="A80" s="47">
        <f t="shared" si="9"/>
        <v>68</v>
      </c>
      <c r="C80" s="52">
        <f>IF(MIN(MAX(ROUND(ROUND('Loonschijven_Tranches salariale'!$Q75*0.65,4)*Basisbedragen!$I$7,2),ROUND(Basisbedragen!$D$34*Basisbedragen!$I$7,2)),ROUND(ROUND(Basisbedragen!$D$27*0.65,4)*Basisbedragen!$I$7,2))&lt;= Basisbedragen!$I$8,MIN(MAX(ROUND(ROUND('Loonschijven_Tranches salariale'!$Q75*0.65,4)*Basisbedragen!$I$2,2),ROUND(Basisbedragen!$D$34*Basisbedragen!$I$2,2)),ROUND(ROUND(Basisbedragen!$D$27*0.65,4)*Basisbedragen!$I$2,2)),MIN(MAX(ROUND(ROUND('Loonschijven_Tranches salariale'!$Q75*0.65,4)*Basisbedragen!$I$7,2),ROUND(Basisbedragen!$D$34*Basisbedragen!$I$7,2)),ROUND(ROUND(Basisbedragen!$D$27*0.65,4)*Basisbedragen!$I$7,2))+Basisbedragen!$I$10)</f>
        <v>80.25</v>
      </c>
      <c r="D80" s="52">
        <f>IF(MIN(MAX(ROUND(ROUND('Loonschijven_Tranches salariale'!$Q75*0.6,4)*Basisbedragen!$I$7,2),ROUND(Basisbedragen!$D$34*Basisbedragen!$I$7,2)),ROUND(ROUND(Basisbedragen!$D$28*0.6,4)*Basisbedragen!$I$7,2))&lt;= Basisbedragen!$I$8,MIN(MAX(ROUND(ROUND('Loonschijven_Tranches salariale'!$Q75*0.6,4)*Basisbedragen!$I$2,2),ROUND(Basisbedragen!$D$34*Basisbedragen!$I$2,2)),ROUND(ROUND(Basisbedragen!$D$28*0.6,4)*Basisbedragen!$I$2,2)),MIN(MAX(ROUND(ROUND('Loonschijven_Tranches salariale'!$Q75*0.6,4)*Basisbedragen!$I$7,2),ROUND(Basisbedragen!$D$34*Basisbedragen!$I$7,2)),ROUND(ROUND(Basisbedragen!$D$28*0.6,4)*Basisbedragen!$I$7,2))+Basisbedragen!$I$10)</f>
        <v>78.09</v>
      </c>
      <c r="E80" s="52">
        <f>MIN(MAX(ROUND(ROUND('Loonschijven_Tranches salariale'!$Q75*0.6,4)*Basisbedragen!$I$2,2),ROUND(Basisbedragen!$D$35*Basisbedragen!$I$2,2)),ROUND(ROUND(Basisbedragen!$D$29*0.6,4)*Basisbedragen!$I$2,2))</f>
        <v>74.11</v>
      </c>
      <c r="F80" s="38"/>
      <c r="G80" s="52">
        <f t="shared" si="5"/>
        <v>70.989999999999995</v>
      </c>
      <c r="H80" s="38"/>
      <c r="I80" s="52">
        <f>IF(MIN(MAX(ROUND(ROUND('Loonschijven_Tranches salariale'!$Q75*0.65,4)*Basisbedragen!$I$7,2),ROUND(Basisbedragen!$D$36*Basisbedragen!$I$7,2)),ROUND(ROUND(Basisbedragen!$D$27*0.65,4)*Basisbedragen!$I$7,2))&lt;= Basisbedragen!$I$8,MIN(MAX(ROUND(ROUND('Loonschijven_Tranches salariale'!$Q75*0.65,4)*Basisbedragen!$I$2,2),ROUND(Basisbedragen!$D$36*Basisbedragen!$I$2,2)),ROUND(ROUND(Basisbedragen!$D$27*0.65,4)*Basisbedragen!$I$2,2)),MIN(MAX(ROUND(ROUND('Loonschijven_Tranches salariale'!$Q75*0.65,4)*Basisbedragen!$I$7,2),ROUND(Basisbedragen!$D$36*Basisbedragen!$I$7,2)),ROUND(ROUND(Basisbedragen!$D$27*0.65,4)*Basisbedragen!$I$7,2))+Basisbedragen!$I$10)</f>
        <v>80.25</v>
      </c>
      <c r="J80" s="52">
        <f>IF(MIN(MAX(ROUND(ROUND('Loonschijven_Tranches salariale'!$Q75*0.6,4)*Basisbedragen!$I$7,2),ROUND(Basisbedragen!$D$36*Basisbedragen!$I$7,2)),ROUND(ROUND(Basisbedragen!$D$28*0.6,4)*Basisbedragen!$I$7,2))&lt;= Basisbedragen!$I$8,MIN(MAX(ROUND(ROUND('Loonschijven_Tranches salariale'!$Q75*0.6,4)*Basisbedragen!$I$2,2),ROUND(Basisbedragen!$D$36*Basisbedragen!$I$2,2)),ROUND(ROUND(Basisbedragen!$D$28*0.6,4)*Basisbedragen!$I$2,2)),MIN(MAX(ROUND(ROUND('Loonschijven_Tranches salariale'!$Q75*0.6,4)*Basisbedragen!$I$7,2),ROUND(Basisbedragen!$D$36*Basisbedragen!$I$7,2)),ROUND(ROUND(Basisbedragen!$D$28*0.6,4)*Basisbedragen!$I$7,2))+Basisbedragen!$I$10)</f>
        <v>74.11</v>
      </c>
      <c r="K80" s="52">
        <f>MIN(MAX(ROUND(ROUND('Loonschijven_Tranches salariale'!$Q75*0.6,4)*Basisbedragen!$I$2,2),ROUND(Basisbedragen!$D$37*Basisbedragen!$I$2,2)),ROUND(ROUND(Basisbedragen!$D$29*0.6,4)*Basisbedragen!$I$2,2))</f>
        <v>74.11</v>
      </c>
      <c r="L80" s="38"/>
      <c r="M80" s="52">
        <f t="shared" si="6"/>
        <v>57.53</v>
      </c>
      <c r="N80" s="38"/>
      <c r="O80" s="52">
        <f>IF(MIN(MAX(ROUND(ROUND('Loonschijven_Tranches salariale'!$Q75*0.65,4)*Basisbedragen!$I$7,2),ROUND(Basisbedragen!$D$38*Basisbedragen!$I$7,2)),ROUND(ROUND(Basisbedragen!$D$27*0.65,4)*Basisbedragen!$I$7,2))&lt;= Basisbedragen!$I$8,MIN(MAX(ROUND(ROUND('Loonschijven_Tranches salariale'!$Q75*0.65,4)*Basisbedragen!$I$2,2),ROUND(Basisbedragen!$D$38*Basisbedragen!$I$2,2)),ROUND(ROUND(Basisbedragen!$D$27*0.65,4)*Basisbedragen!$I$2,2)),MIN(MAX(ROUND(ROUND('Loonschijven_Tranches salariale'!$Q75*0.65,4)*Basisbedragen!$I$7,2),ROUND(Basisbedragen!$D$38*Basisbedragen!$I$7,2)),ROUND(ROUND(Basisbedragen!$D$27*0.65,4)*Basisbedragen!$I$7,2))+Basisbedragen!$I$10)</f>
        <v>80.25</v>
      </c>
      <c r="P80" s="52">
        <f>IF(MIN(MAX(ROUND(ROUND('Loonschijven_Tranches salariale'!$Q75*0.6,4)*Basisbedragen!$I$7,2),ROUND(Basisbedragen!$D$39*Basisbedragen!$I$7,2)),ROUND(ROUND(Basisbedragen!$D$28*0.6,4)*Basisbedragen!$I$7,2))&lt;= Basisbedragen!$I$8,MIN(MAX(ROUND(ROUND('Loonschijven_Tranches salariale'!$Q75*0.6,4)*Basisbedragen!$I$2,2),ROUND(Basisbedragen!$D$39*Basisbedragen!$I$2,2)),ROUND(ROUND(Basisbedragen!$D$28*0.6,4)*Basisbedragen!$I$2,2)),MIN(MAX(ROUND(ROUND('Loonschijven_Tranches salariale'!$Q75*0.6,4)*Basisbedragen!$I$7,2),ROUND(Basisbedragen!$D$39*Basisbedragen!$I$7,2)),ROUND(ROUND(Basisbedragen!$D$28*0.6,4)*Basisbedragen!$I$7,2))+Basisbedragen!$I$10)</f>
        <v>74.11</v>
      </c>
      <c r="Q80" s="52">
        <f>MIN(MAX(ROUND(ROUND('Loonschijven_Tranches salariale'!$Q75*0.6,4)*Basisbedragen!$I$2,2),ROUND(Basisbedragen!$D$40*Basisbedragen!$I$2,2)),ROUND(ROUND(Basisbedragen!$D$29*0.6,4)*Basisbedragen!$I$2,2))</f>
        <v>74.11</v>
      </c>
      <c r="R80" s="38"/>
      <c r="S80" s="52">
        <f t="shared" si="7"/>
        <v>42.37</v>
      </c>
      <c r="T80" s="52">
        <f t="shared" si="8"/>
        <v>29.85</v>
      </c>
    </row>
    <row r="81" spans="1:20" ht="15" thickBot="1">
      <c r="A81" s="47">
        <f t="shared" si="9"/>
        <v>69</v>
      </c>
      <c r="C81" s="52">
        <f>IF(MIN(MAX(ROUND(ROUND('Loonschijven_Tranches salariale'!$Q76*0.65,4)*Basisbedragen!$I$7,2),ROUND(Basisbedragen!$D$34*Basisbedragen!$I$7,2)),ROUND(ROUND(Basisbedragen!$D$27*0.65,4)*Basisbedragen!$I$7,2))&lt;= Basisbedragen!$I$8,MIN(MAX(ROUND(ROUND('Loonschijven_Tranches salariale'!$Q76*0.65,4)*Basisbedragen!$I$2,2),ROUND(Basisbedragen!$D$34*Basisbedragen!$I$2,2)),ROUND(ROUND(Basisbedragen!$D$27*0.65,4)*Basisbedragen!$I$2,2)),MIN(MAX(ROUND(ROUND('Loonschijven_Tranches salariale'!$Q76*0.65,4)*Basisbedragen!$I$7,2),ROUND(Basisbedragen!$D$34*Basisbedragen!$I$7,2)),ROUND(ROUND(Basisbedragen!$D$27*0.65,4)*Basisbedragen!$I$7,2))+Basisbedragen!$I$10)</f>
        <v>81.240000000000009</v>
      </c>
      <c r="D81" s="52">
        <f>IF(MIN(MAX(ROUND(ROUND('Loonschijven_Tranches salariale'!$Q76*0.6,4)*Basisbedragen!$I$7,2),ROUND(Basisbedragen!$D$34*Basisbedragen!$I$7,2)),ROUND(ROUND(Basisbedragen!$D$28*0.6,4)*Basisbedragen!$I$7,2))&lt;= Basisbedragen!$I$8,MIN(MAX(ROUND(ROUND('Loonschijven_Tranches salariale'!$Q76*0.6,4)*Basisbedragen!$I$2,2),ROUND(Basisbedragen!$D$34*Basisbedragen!$I$2,2)),ROUND(ROUND(Basisbedragen!$D$28*0.6,4)*Basisbedragen!$I$2,2)),MIN(MAX(ROUND(ROUND('Loonschijven_Tranches salariale'!$Q76*0.6,4)*Basisbedragen!$I$7,2),ROUND(Basisbedragen!$D$34*Basisbedragen!$I$7,2)),ROUND(ROUND(Basisbedragen!$D$28*0.6,4)*Basisbedragen!$I$7,2))+Basisbedragen!$I$10)</f>
        <v>78.09</v>
      </c>
      <c r="E81" s="52">
        <f>MIN(MAX(ROUND(ROUND('Loonschijven_Tranches salariale'!$Q76*0.6,4)*Basisbedragen!$I$2,2),ROUND(Basisbedragen!$D$35*Basisbedragen!$I$2,2)),ROUND(ROUND(Basisbedragen!$D$29*0.6,4)*Basisbedragen!$I$2,2))</f>
        <v>75.05</v>
      </c>
      <c r="F81" s="38"/>
      <c r="G81" s="52">
        <f t="shared" si="5"/>
        <v>70.989999999999995</v>
      </c>
      <c r="H81" s="38"/>
      <c r="I81" s="52">
        <f>IF(MIN(MAX(ROUND(ROUND('Loonschijven_Tranches salariale'!$Q76*0.65,4)*Basisbedragen!$I$7,2),ROUND(Basisbedragen!$D$36*Basisbedragen!$I$7,2)),ROUND(ROUND(Basisbedragen!$D$27*0.65,4)*Basisbedragen!$I$7,2))&lt;= Basisbedragen!$I$8,MIN(MAX(ROUND(ROUND('Loonschijven_Tranches salariale'!$Q76*0.65,4)*Basisbedragen!$I$2,2),ROUND(Basisbedragen!$D$36*Basisbedragen!$I$2,2)),ROUND(ROUND(Basisbedragen!$D$27*0.65,4)*Basisbedragen!$I$2,2)),MIN(MAX(ROUND(ROUND('Loonschijven_Tranches salariale'!$Q76*0.65,4)*Basisbedragen!$I$7,2),ROUND(Basisbedragen!$D$36*Basisbedragen!$I$7,2)),ROUND(ROUND(Basisbedragen!$D$27*0.65,4)*Basisbedragen!$I$7,2))+Basisbedragen!$I$10)</f>
        <v>81.240000000000009</v>
      </c>
      <c r="J81" s="52">
        <f>IF(MIN(MAX(ROUND(ROUND('Loonschijven_Tranches salariale'!$Q76*0.6,4)*Basisbedragen!$I$7,2),ROUND(Basisbedragen!$D$36*Basisbedragen!$I$7,2)),ROUND(ROUND(Basisbedragen!$D$28*0.6,4)*Basisbedragen!$I$7,2))&lt;= Basisbedragen!$I$8,MIN(MAX(ROUND(ROUND('Loonschijven_Tranches salariale'!$Q76*0.6,4)*Basisbedragen!$I$2,2),ROUND(Basisbedragen!$D$36*Basisbedragen!$I$2,2)),ROUND(ROUND(Basisbedragen!$D$28*0.6,4)*Basisbedragen!$I$2,2)),MIN(MAX(ROUND(ROUND('Loonschijven_Tranches salariale'!$Q76*0.6,4)*Basisbedragen!$I$7,2),ROUND(Basisbedragen!$D$36*Basisbedragen!$I$7,2)),ROUND(ROUND(Basisbedragen!$D$28*0.6,4)*Basisbedragen!$I$7,2))+Basisbedragen!$I$10)</f>
        <v>75.05</v>
      </c>
      <c r="K81" s="52">
        <f>MIN(MAX(ROUND(ROUND('Loonschijven_Tranches salariale'!$Q76*0.6,4)*Basisbedragen!$I$2,2),ROUND(Basisbedragen!$D$37*Basisbedragen!$I$2,2)),ROUND(ROUND(Basisbedragen!$D$29*0.6,4)*Basisbedragen!$I$2,2))</f>
        <v>75.05</v>
      </c>
      <c r="L81" s="38"/>
      <c r="M81" s="52">
        <f t="shared" si="6"/>
        <v>57.53</v>
      </c>
      <c r="N81" s="38"/>
      <c r="O81" s="52">
        <f>IF(MIN(MAX(ROUND(ROUND('Loonschijven_Tranches salariale'!$Q76*0.65,4)*Basisbedragen!$I$7,2),ROUND(Basisbedragen!$D$38*Basisbedragen!$I$7,2)),ROUND(ROUND(Basisbedragen!$D$27*0.65,4)*Basisbedragen!$I$7,2))&lt;= Basisbedragen!$I$8,MIN(MAX(ROUND(ROUND('Loonschijven_Tranches salariale'!$Q76*0.65,4)*Basisbedragen!$I$2,2),ROUND(Basisbedragen!$D$38*Basisbedragen!$I$2,2)),ROUND(ROUND(Basisbedragen!$D$27*0.65,4)*Basisbedragen!$I$2,2)),MIN(MAX(ROUND(ROUND('Loonschijven_Tranches salariale'!$Q76*0.65,4)*Basisbedragen!$I$7,2),ROUND(Basisbedragen!$D$38*Basisbedragen!$I$7,2)),ROUND(ROUND(Basisbedragen!$D$27*0.65,4)*Basisbedragen!$I$7,2))+Basisbedragen!$I$10)</f>
        <v>81.240000000000009</v>
      </c>
      <c r="P81" s="52">
        <f>IF(MIN(MAX(ROUND(ROUND('Loonschijven_Tranches salariale'!$Q76*0.6,4)*Basisbedragen!$I$7,2),ROUND(Basisbedragen!$D$39*Basisbedragen!$I$7,2)),ROUND(ROUND(Basisbedragen!$D$28*0.6,4)*Basisbedragen!$I$7,2))&lt;= Basisbedragen!$I$8,MIN(MAX(ROUND(ROUND('Loonschijven_Tranches salariale'!$Q76*0.6,4)*Basisbedragen!$I$2,2),ROUND(Basisbedragen!$D$39*Basisbedragen!$I$2,2)),ROUND(ROUND(Basisbedragen!$D$28*0.6,4)*Basisbedragen!$I$2,2)),MIN(MAX(ROUND(ROUND('Loonschijven_Tranches salariale'!$Q76*0.6,4)*Basisbedragen!$I$7,2),ROUND(Basisbedragen!$D$39*Basisbedragen!$I$7,2)),ROUND(ROUND(Basisbedragen!$D$28*0.6,4)*Basisbedragen!$I$7,2))+Basisbedragen!$I$10)</f>
        <v>75.05</v>
      </c>
      <c r="Q81" s="52">
        <f>MIN(MAX(ROUND(ROUND('Loonschijven_Tranches salariale'!$Q76*0.6,4)*Basisbedragen!$I$2,2),ROUND(Basisbedragen!$D$40*Basisbedragen!$I$2,2)),ROUND(ROUND(Basisbedragen!$D$29*0.6,4)*Basisbedragen!$I$2,2))</f>
        <v>75.05</v>
      </c>
      <c r="R81" s="38"/>
      <c r="S81" s="52">
        <f t="shared" si="7"/>
        <v>42.37</v>
      </c>
      <c r="T81" s="52">
        <f t="shared" si="8"/>
        <v>29.85</v>
      </c>
    </row>
    <row r="82" spans="1:20" ht="15" thickBot="1">
      <c r="A82" s="47">
        <f t="shared" si="9"/>
        <v>70</v>
      </c>
      <c r="C82" s="52">
        <f>IF(MIN(MAX(ROUND(ROUND('Loonschijven_Tranches salariale'!$Q77*0.65,4)*Basisbedragen!$I$7,2),ROUND(Basisbedragen!$D$34*Basisbedragen!$I$7,2)),ROUND(ROUND(Basisbedragen!$D$27*0.65,4)*Basisbedragen!$I$7,2))&lt;= Basisbedragen!$I$8,MIN(MAX(ROUND(ROUND('Loonschijven_Tranches salariale'!$Q77*0.65,4)*Basisbedragen!$I$2,2),ROUND(Basisbedragen!$D$34*Basisbedragen!$I$2,2)),ROUND(ROUND(Basisbedragen!$D$27*0.65,4)*Basisbedragen!$I$2,2)),MIN(MAX(ROUND(ROUND('Loonschijven_Tranches salariale'!$Q77*0.65,4)*Basisbedragen!$I$7,2),ROUND(Basisbedragen!$D$34*Basisbedragen!$I$7,2)),ROUND(ROUND(Basisbedragen!$D$27*0.65,4)*Basisbedragen!$I$7,2))+Basisbedragen!$I$10)</f>
        <v>81.900000000000006</v>
      </c>
      <c r="D82" s="52">
        <f>IF(MIN(MAX(ROUND(ROUND('Loonschijven_Tranches salariale'!$Q77*0.6,4)*Basisbedragen!$I$7,2),ROUND(Basisbedragen!$D$34*Basisbedragen!$I$7,2)),ROUND(ROUND(Basisbedragen!$D$28*0.6,4)*Basisbedragen!$I$7,2))&lt;= Basisbedragen!$I$8,MIN(MAX(ROUND(ROUND('Loonschijven_Tranches salariale'!$Q77*0.6,4)*Basisbedragen!$I$2,2),ROUND(Basisbedragen!$D$34*Basisbedragen!$I$2,2)),ROUND(ROUND(Basisbedragen!$D$28*0.6,4)*Basisbedragen!$I$2,2)),MIN(MAX(ROUND(ROUND('Loonschijven_Tranches salariale'!$Q77*0.6,4)*Basisbedragen!$I$7,2),ROUND(Basisbedragen!$D$34*Basisbedragen!$I$7,2)),ROUND(ROUND(Basisbedragen!$D$28*0.6,4)*Basisbedragen!$I$7,2))+Basisbedragen!$I$10)</f>
        <v>78.09</v>
      </c>
      <c r="E82" s="52">
        <f>MIN(MAX(ROUND(ROUND('Loonschijven_Tranches salariale'!$Q77*0.6,4)*Basisbedragen!$I$2,2),ROUND(Basisbedragen!$D$35*Basisbedragen!$I$2,2)),ROUND(ROUND(Basisbedragen!$D$29*0.6,4)*Basisbedragen!$I$2,2))</f>
        <v>75.66</v>
      </c>
      <c r="F82" s="38"/>
      <c r="G82" s="52">
        <f t="shared" si="5"/>
        <v>70.989999999999995</v>
      </c>
      <c r="H82" s="38"/>
      <c r="I82" s="52">
        <f>IF(MIN(MAX(ROUND(ROUND('Loonschijven_Tranches salariale'!$Q77*0.65,4)*Basisbedragen!$I$7,2),ROUND(Basisbedragen!$D$36*Basisbedragen!$I$7,2)),ROUND(ROUND(Basisbedragen!$D$27*0.65,4)*Basisbedragen!$I$7,2))&lt;= Basisbedragen!$I$8,MIN(MAX(ROUND(ROUND('Loonschijven_Tranches salariale'!$Q77*0.65,4)*Basisbedragen!$I$2,2),ROUND(Basisbedragen!$D$36*Basisbedragen!$I$2,2)),ROUND(ROUND(Basisbedragen!$D$27*0.65,4)*Basisbedragen!$I$2,2)),MIN(MAX(ROUND(ROUND('Loonschijven_Tranches salariale'!$Q77*0.65,4)*Basisbedragen!$I$7,2),ROUND(Basisbedragen!$D$36*Basisbedragen!$I$7,2)),ROUND(ROUND(Basisbedragen!$D$27*0.65,4)*Basisbedragen!$I$7,2))+Basisbedragen!$I$10)</f>
        <v>81.900000000000006</v>
      </c>
      <c r="J82" s="52">
        <f>IF(MIN(MAX(ROUND(ROUND('Loonschijven_Tranches salariale'!$Q77*0.6,4)*Basisbedragen!$I$7,2),ROUND(Basisbedragen!$D$36*Basisbedragen!$I$7,2)),ROUND(ROUND(Basisbedragen!$D$28*0.6,4)*Basisbedragen!$I$7,2))&lt;= Basisbedragen!$I$8,MIN(MAX(ROUND(ROUND('Loonschijven_Tranches salariale'!$Q77*0.6,4)*Basisbedragen!$I$2,2),ROUND(Basisbedragen!$D$36*Basisbedragen!$I$2,2)),ROUND(ROUND(Basisbedragen!$D$28*0.6,4)*Basisbedragen!$I$2,2)),MIN(MAX(ROUND(ROUND('Loonschijven_Tranches salariale'!$Q77*0.6,4)*Basisbedragen!$I$7,2),ROUND(Basisbedragen!$D$36*Basisbedragen!$I$7,2)),ROUND(ROUND(Basisbedragen!$D$28*0.6,4)*Basisbedragen!$I$7,2))+Basisbedragen!$I$10)</f>
        <v>75.66</v>
      </c>
      <c r="K82" s="52">
        <f>MIN(MAX(ROUND(ROUND('Loonschijven_Tranches salariale'!$Q77*0.6,4)*Basisbedragen!$I$2,2),ROUND(Basisbedragen!$D$37*Basisbedragen!$I$2,2)),ROUND(ROUND(Basisbedragen!$D$29*0.6,4)*Basisbedragen!$I$2,2))</f>
        <v>75.66</v>
      </c>
      <c r="L82" s="38"/>
      <c r="M82" s="52">
        <f t="shared" si="6"/>
        <v>57.53</v>
      </c>
      <c r="N82" s="38"/>
      <c r="O82" s="52">
        <f>IF(MIN(MAX(ROUND(ROUND('Loonschijven_Tranches salariale'!$Q77*0.65,4)*Basisbedragen!$I$7,2),ROUND(Basisbedragen!$D$38*Basisbedragen!$I$7,2)),ROUND(ROUND(Basisbedragen!$D$27*0.65,4)*Basisbedragen!$I$7,2))&lt;= Basisbedragen!$I$8,MIN(MAX(ROUND(ROUND('Loonschijven_Tranches salariale'!$Q77*0.65,4)*Basisbedragen!$I$2,2),ROUND(Basisbedragen!$D$38*Basisbedragen!$I$2,2)),ROUND(ROUND(Basisbedragen!$D$27*0.65,4)*Basisbedragen!$I$2,2)),MIN(MAX(ROUND(ROUND('Loonschijven_Tranches salariale'!$Q77*0.65,4)*Basisbedragen!$I$7,2),ROUND(Basisbedragen!$D$38*Basisbedragen!$I$7,2)),ROUND(ROUND(Basisbedragen!$D$27*0.65,4)*Basisbedragen!$I$7,2))+Basisbedragen!$I$10)</f>
        <v>81.900000000000006</v>
      </c>
      <c r="P82" s="52">
        <f>IF(MIN(MAX(ROUND(ROUND('Loonschijven_Tranches salariale'!$Q77*0.6,4)*Basisbedragen!$I$7,2),ROUND(Basisbedragen!$D$39*Basisbedragen!$I$7,2)),ROUND(ROUND(Basisbedragen!$D$28*0.6,4)*Basisbedragen!$I$7,2))&lt;= Basisbedragen!$I$8,MIN(MAX(ROUND(ROUND('Loonschijven_Tranches salariale'!$Q77*0.6,4)*Basisbedragen!$I$2,2),ROUND(Basisbedragen!$D$39*Basisbedragen!$I$2,2)),ROUND(ROUND(Basisbedragen!$D$28*0.6,4)*Basisbedragen!$I$2,2)),MIN(MAX(ROUND(ROUND('Loonschijven_Tranches salariale'!$Q77*0.6,4)*Basisbedragen!$I$7,2),ROUND(Basisbedragen!$D$39*Basisbedragen!$I$7,2)),ROUND(ROUND(Basisbedragen!$D$28*0.6,4)*Basisbedragen!$I$7,2))+Basisbedragen!$I$10)</f>
        <v>75.66</v>
      </c>
      <c r="Q82" s="52">
        <f>MIN(MAX(ROUND(ROUND('Loonschijven_Tranches salariale'!$Q77*0.6,4)*Basisbedragen!$I$2,2),ROUND(Basisbedragen!$D$40*Basisbedragen!$I$2,2)),ROUND(ROUND(Basisbedragen!$D$29*0.6,4)*Basisbedragen!$I$2,2))</f>
        <v>75.66</v>
      </c>
      <c r="R82" s="38"/>
      <c r="S82" s="52">
        <f t="shared" si="7"/>
        <v>42.37</v>
      </c>
      <c r="T82" s="52">
        <f t="shared" si="8"/>
        <v>29.85</v>
      </c>
    </row>
    <row r="83" spans="1:20" ht="15" thickBot="1">
      <c r="A83" s="47">
        <f t="shared" si="9"/>
        <v>71</v>
      </c>
      <c r="C83" s="52">
        <f>IF(MIN(MAX(ROUND(ROUND('Loonschijven_Tranches salariale'!$Q78*0.65,4)*Basisbedragen!$I$7,2),ROUND(Basisbedragen!$D$34*Basisbedragen!$I$7,2)),ROUND(ROUND(Basisbedragen!$D$27*0.65,4)*Basisbedragen!$I$7,2))&lt;= Basisbedragen!$I$8,MIN(MAX(ROUND(ROUND('Loonschijven_Tranches salariale'!$Q78*0.65,4)*Basisbedragen!$I$2,2),ROUND(Basisbedragen!$D$34*Basisbedragen!$I$2,2)),ROUND(ROUND(Basisbedragen!$D$27*0.65,4)*Basisbedragen!$I$2,2)),MIN(MAX(ROUND(ROUND('Loonschijven_Tranches salariale'!$Q78*0.65,4)*Basisbedragen!$I$7,2),ROUND(Basisbedragen!$D$34*Basisbedragen!$I$7,2)),ROUND(ROUND(Basisbedragen!$D$27*0.65,4)*Basisbedragen!$I$7,2))+Basisbedragen!$I$10)</f>
        <v>82.4</v>
      </c>
      <c r="D83" s="52">
        <f>IF(MIN(MAX(ROUND(ROUND('Loonschijven_Tranches salariale'!$Q78*0.6,4)*Basisbedragen!$I$7,2),ROUND(Basisbedragen!$D$34*Basisbedragen!$I$7,2)),ROUND(ROUND(Basisbedragen!$D$28*0.6,4)*Basisbedragen!$I$7,2))&lt;= Basisbedragen!$I$8,MIN(MAX(ROUND(ROUND('Loonschijven_Tranches salariale'!$Q78*0.6,4)*Basisbedragen!$I$2,2),ROUND(Basisbedragen!$D$34*Basisbedragen!$I$2,2)),ROUND(ROUND(Basisbedragen!$D$28*0.6,4)*Basisbedragen!$I$2,2)),MIN(MAX(ROUND(ROUND('Loonschijven_Tranches salariale'!$Q78*0.6,4)*Basisbedragen!$I$7,2),ROUND(Basisbedragen!$D$34*Basisbedragen!$I$7,2)),ROUND(ROUND(Basisbedragen!$D$28*0.6,4)*Basisbedragen!$I$7,2))+Basisbedragen!$I$10)</f>
        <v>78.09</v>
      </c>
      <c r="E83" s="52">
        <f>MIN(MAX(ROUND(ROUND('Loonschijven_Tranches salariale'!$Q78*0.6,4)*Basisbedragen!$I$2,2),ROUND(Basisbedragen!$D$35*Basisbedragen!$I$2,2)),ROUND(ROUND(Basisbedragen!$D$29*0.6,4)*Basisbedragen!$I$2,2))</f>
        <v>76.14</v>
      </c>
      <c r="F83" s="38"/>
      <c r="G83" s="52">
        <f t="shared" si="5"/>
        <v>70.989999999999995</v>
      </c>
      <c r="H83" s="38"/>
      <c r="I83" s="52">
        <f>IF(MIN(MAX(ROUND(ROUND('Loonschijven_Tranches salariale'!$Q78*0.65,4)*Basisbedragen!$I$7,2),ROUND(Basisbedragen!$D$36*Basisbedragen!$I$7,2)),ROUND(ROUND(Basisbedragen!$D$27*0.65,4)*Basisbedragen!$I$7,2))&lt;= Basisbedragen!$I$8,MIN(MAX(ROUND(ROUND('Loonschijven_Tranches salariale'!$Q78*0.65,4)*Basisbedragen!$I$2,2),ROUND(Basisbedragen!$D$36*Basisbedragen!$I$2,2)),ROUND(ROUND(Basisbedragen!$D$27*0.65,4)*Basisbedragen!$I$2,2)),MIN(MAX(ROUND(ROUND('Loonschijven_Tranches salariale'!$Q78*0.65,4)*Basisbedragen!$I$7,2),ROUND(Basisbedragen!$D$36*Basisbedragen!$I$7,2)),ROUND(ROUND(Basisbedragen!$D$27*0.65,4)*Basisbedragen!$I$7,2))+Basisbedragen!$I$10)</f>
        <v>82.4</v>
      </c>
      <c r="J83" s="52">
        <f>IF(MIN(MAX(ROUND(ROUND('Loonschijven_Tranches salariale'!$Q78*0.6,4)*Basisbedragen!$I$7,2),ROUND(Basisbedragen!$D$36*Basisbedragen!$I$7,2)),ROUND(ROUND(Basisbedragen!$D$28*0.6,4)*Basisbedragen!$I$7,2))&lt;= Basisbedragen!$I$8,MIN(MAX(ROUND(ROUND('Loonschijven_Tranches salariale'!$Q78*0.6,4)*Basisbedragen!$I$2,2),ROUND(Basisbedragen!$D$36*Basisbedragen!$I$2,2)),ROUND(ROUND(Basisbedragen!$D$28*0.6,4)*Basisbedragen!$I$2,2)),MIN(MAX(ROUND(ROUND('Loonschijven_Tranches salariale'!$Q78*0.6,4)*Basisbedragen!$I$7,2),ROUND(Basisbedragen!$D$36*Basisbedragen!$I$7,2)),ROUND(ROUND(Basisbedragen!$D$28*0.6,4)*Basisbedragen!$I$7,2))+Basisbedragen!$I$10)</f>
        <v>76.14</v>
      </c>
      <c r="K83" s="52">
        <f>MIN(MAX(ROUND(ROUND('Loonschijven_Tranches salariale'!$Q78*0.6,4)*Basisbedragen!$I$2,2),ROUND(Basisbedragen!$D$37*Basisbedragen!$I$2,2)),ROUND(ROUND(Basisbedragen!$D$29*0.6,4)*Basisbedragen!$I$2,2))</f>
        <v>76.14</v>
      </c>
      <c r="L83" s="38"/>
      <c r="M83" s="52">
        <f t="shared" si="6"/>
        <v>57.53</v>
      </c>
      <c r="N83" s="38"/>
      <c r="O83" s="52">
        <f>IF(MIN(MAX(ROUND(ROUND('Loonschijven_Tranches salariale'!$Q78*0.65,4)*Basisbedragen!$I$7,2),ROUND(Basisbedragen!$D$38*Basisbedragen!$I$7,2)),ROUND(ROUND(Basisbedragen!$D$27*0.65,4)*Basisbedragen!$I$7,2))&lt;= Basisbedragen!$I$8,MIN(MAX(ROUND(ROUND('Loonschijven_Tranches salariale'!$Q78*0.65,4)*Basisbedragen!$I$2,2),ROUND(Basisbedragen!$D$38*Basisbedragen!$I$2,2)),ROUND(ROUND(Basisbedragen!$D$27*0.65,4)*Basisbedragen!$I$2,2)),MIN(MAX(ROUND(ROUND('Loonschijven_Tranches salariale'!$Q78*0.65,4)*Basisbedragen!$I$7,2),ROUND(Basisbedragen!$D$38*Basisbedragen!$I$7,2)),ROUND(ROUND(Basisbedragen!$D$27*0.65,4)*Basisbedragen!$I$7,2))+Basisbedragen!$I$10)</f>
        <v>82.4</v>
      </c>
      <c r="P83" s="52">
        <f>IF(MIN(MAX(ROUND(ROUND('Loonschijven_Tranches salariale'!$Q78*0.6,4)*Basisbedragen!$I$7,2),ROUND(Basisbedragen!$D$39*Basisbedragen!$I$7,2)),ROUND(ROUND(Basisbedragen!$D$28*0.6,4)*Basisbedragen!$I$7,2))&lt;= Basisbedragen!$I$8,MIN(MAX(ROUND(ROUND('Loonschijven_Tranches salariale'!$Q78*0.6,4)*Basisbedragen!$I$2,2),ROUND(Basisbedragen!$D$39*Basisbedragen!$I$2,2)),ROUND(ROUND(Basisbedragen!$D$28*0.6,4)*Basisbedragen!$I$2,2)),MIN(MAX(ROUND(ROUND('Loonschijven_Tranches salariale'!$Q78*0.6,4)*Basisbedragen!$I$7,2),ROUND(Basisbedragen!$D$39*Basisbedragen!$I$7,2)),ROUND(ROUND(Basisbedragen!$D$28*0.6,4)*Basisbedragen!$I$7,2))+Basisbedragen!$I$10)</f>
        <v>76.14</v>
      </c>
      <c r="Q83" s="52">
        <f>MIN(MAX(ROUND(ROUND('Loonschijven_Tranches salariale'!$Q78*0.6,4)*Basisbedragen!$I$2,2),ROUND(Basisbedragen!$D$40*Basisbedragen!$I$2,2)),ROUND(ROUND(Basisbedragen!$D$29*0.6,4)*Basisbedragen!$I$2,2))</f>
        <v>76.14</v>
      </c>
      <c r="R83" s="38"/>
      <c r="S83" s="52">
        <f t="shared" si="7"/>
        <v>42.37</v>
      </c>
      <c r="T83" s="52">
        <f t="shared" si="8"/>
        <v>29.85</v>
      </c>
    </row>
    <row r="84" spans="1:20" ht="15" thickBot="1">
      <c r="A84" s="47">
        <f t="shared" si="9"/>
        <v>72</v>
      </c>
      <c r="C84" s="52">
        <f>IF(MIN(MAX(ROUND(ROUND('Loonschijven_Tranches salariale'!$Q79*0.65,4)*Basisbedragen!$I$7,2),ROUND(Basisbedragen!$D$34*Basisbedragen!$I$7,2)),ROUND(ROUND(Basisbedragen!$D$27*0.65,4)*Basisbedragen!$I$7,2))&lt;= Basisbedragen!$I$8,MIN(MAX(ROUND(ROUND('Loonschijven_Tranches salariale'!$Q79*0.65,4)*Basisbedragen!$I$2,2),ROUND(Basisbedragen!$D$34*Basisbedragen!$I$2,2)),ROUND(ROUND(Basisbedragen!$D$27*0.65,4)*Basisbedragen!$I$2,2)),MIN(MAX(ROUND(ROUND('Loonschijven_Tranches salariale'!$Q79*0.65,4)*Basisbedragen!$I$7,2),ROUND(Basisbedragen!$D$34*Basisbedragen!$I$7,2)),ROUND(ROUND(Basisbedragen!$D$27*0.65,4)*Basisbedragen!$I$7,2))+Basisbedragen!$I$10)</f>
        <v>82.9</v>
      </c>
      <c r="D84" s="52">
        <f>IF(MIN(MAX(ROUND(ROUND('Loonschijven_Tranches salariale'!$Q79*0.6,4)*Basisbedragen!$I$7,2),ROUND(Basisbedragen!$D$34*Basisbedragen!$I$7,2)),ROUND(ROUND(Basisbedragen!$D$28*0.6,4)*Basisbedragen!$I$7,2))&lt;= Basisbedragen!$I$8,MIN(MAX(ROUND(ROUND('Loonschijven_Tranches salariale'!$Q79*0.6,4)*Basisbedragen!$I$2,2),ROUND(Basisbedragen!$D$34*Basisbedragen!$I$2,2)),ROUND(ROUND(Basisbedragen!$D$28*0.6,4)*Basisbedragen!$I$2,2)),MIN(MAX(ROUND(ROUND('Loonschijven_Tranches salariale'!$Q79*0.6,4)*Basisbedragen!$I$7,2),ROUND(Basisbedragen!$D$34*Basisbedragen!$I$7,2)),ROUND(ROUND(Basisbedragen!$D$28*0.6,4)*Basisbedragen!$I$7,2))+Basisbedragen!$I$10)</f>
        <v>78.09</v>
      </c>
      <c r="E84" s="52">
        <f>MIN(MAX(ROUND(ROUND('Loonschijven_Tranches salariale'!$Q79*0.6,4)*Basisbedragen!$I$2,2),ROUND(Basisbedragen!$D$35*Basisbedragen!$I$2,2)),ROUND(ROUND(Basisbedragen!$D$29*0.6,4)*Basisbedragen!$I$2,2))</f>
        <v>76.61</v>
      </c>
      <c r="F84" s="38"/>
      <c r="G84" s="52">
        <f t="shared" si="5"/>
        <v>70.989999999999995</v>
      </c>
      <c r="H84" s="38"/>
      <c r="I84" s="52">
        <f>IF(MIN(MAX(ROUND(ROUND('Loonschijven_Tranches salariale'!$Q79*0.65,4)*Basisbedragen!$I$7,2),ROUND(Basisbedragen!$D$36*Basisbedragen!$I$7,2)),ROUND(ROUND(Basisbedragen!$D$27*0.65,4)*Basisbedragen!$I$7,2))&lt;= Basisbedragen!$I$8,MIN(MAX(ROUND(ROUND('Loonschijven_Tranches salariale'!$Q79*0.65,4)*Basisbedragen!$I$2,2),ROUND(Basisbedragen!$D$36*Basisbedragen!$I$2,2)),ROUND(ROUND(Basisbedragen!$D$27*0.65,4)*Basisbedragen!$I$2,2)),MIN(MAX(ROUND(ROUND('Loonschijven_Tranches salariale'!$Q79*0.65,4)*Basisbedragen!$I$7,2),ROUND(Basisbedragen!$D$36*Basisbedragen!$I$7,2)),ROUND(ROUND(Basisbedragen!$D$27*0.65,4)*Basisbedragen!$I$7,2))+Basisbedragen!$I$10)</f>
        <v>82.9</v>
      </c>
      <c r="J84" s="52">
        <f>IF(MIN(MAX(ROUND(ROUND('Loonschijven_Tranches salariale'!$Q79*0.6,4)*Basisbedragen!$I$7,2),ROUND(Basisbedragen!$D$36*Basisbedragen!$I$7,2)),ROUND(ROUND(Basisbedragen!$D$28*0.6,4)*Basisbedragen!$I$7,2))&lt;= Basisbedragen!$I$8,MIN(MAX(ROUND(ROUND('Loonschijven_Tranches salariale'!$Q79*0.6,4)*Basisbedragen!$I$2,2),ROUND(Basisbedragen!$D$36*Basisbedragen!$I$2,2)),ROUND(ROUND(Basisbedragen!$D$28*0.6,4)*Basisbedragen!$I$2,2)),MIN(MAX(ROUND(ROUND('Loonschijven_Tranches salariale'!$Q79*0.6,4)*Basisbedragen!$I$7,2),ROUND(Basisbedragen!$D$36*Basisbedragen!$I$7,2)),ROUND(ROUND(Basisbedragen!$D$28*0.6,4)*Basisbedragen!$I$7,2))+Basisbedragen!$I$10)</f>
        <v>76.61</v>
      </c>
      <c r="K84" s="52">
        <f>MIN(MAX(ROUND(ROUND('Loonschijven_Tranches salariale'!$Q79*0.6,4)*Basisbedragen!$I$2,2),ROUND(Basisbedragen!$D$37*Basisbedragen!$I$2,2)),ROUND(ROUND(Basisbedragen!$D$29*0.6,4)*Basisbedragen!$I$2,2))</f>
        <v>76.61</v>
      </c>
      <c r="L84" s="38"/>
      <c r="M84" s="52">
        <f t="shared" si="6"/>
        <v>57.53</v>
      </c>
      <c r="N84" s="38"/>
      <c r="O84" s="52">
        <f>IF(MIN(MAX(ROUND(ROUND('Loonschijven_Tranches salariale'!$Q79*0.65,4)*Basisbedragen!$I$7,2),ROUND(Basisbedragen!$D$38*Basisbedragen!$I$7,2)),ROUND(ROUND(Basisbedragen!$D$27*0.65,4)*Basisbedragen!$I$7,2))&lt;= Basisbedragen!$I$8,MIN(MAX(ROUND(ROUND('Loonschijven_Tranches salariale'!$Q79*0.65,4)*Basisbedragen!$I$2,2),ROUND(Basisbedragen!$D$38*Basisbedragen!$I$2,2)),ROUND(ROUND(Basisbedragen!$D$27*0.65,4)*Basisbedragen!$I$2,2)),MIN(MAX(ROUND(ROUND('Loonschijven_Tranches salariale'!$Q79*0.65,4)*Basisbedragen!$I$7,2),ROUND(Basisbedragen!$D$38*Basisbedragen!$I$7,2)),ROUND(ROUND(Basisbedragen!$D$27*0.65,4)*Basisbedragen!$I$7,2))+Basisbedragen!$I$10)</f>
        <v>82.9</v>
      </c>
      <c r="P84" s="52">
        <f>IF(MIN(MAX(ROUND(ROUND('Loonschijven_Tranches salariale'!$Q79*0.6,4)*Basisbedragen!$I$7,2),ROUND(Basisbedragen!$D$39*Basisbedragen!$I$7,2)),ROUND(ROUND(Basisbedragen!$D$28*0.6,4)*Basisbedragen!$I$7,2))&lt;= Basisbedragen!$I$8,MIN(MAX(ROUND(ROUND('Loonschijven_Tranches salariale'!$Q79*0.6,4)*Basisbedragen!$I$2,2),ROUND(Basisbedragen!$D$39*Basisbedragen!$I$2,2)),ROUND(ROUND(Basisbedragen!$D$28*0.6,4)*Basisbedragen!$I$2,2)),MIN(MAX(ROUND(ROUND('Loonschijven_Tranches salariale'!$Q79*0.6,4)*Basisbedragen!$I$7,2),ROUND(Basisbedragen!$D$39*Basisbedragen!$I$7,2)),ROUND(ROUND(Basisbedragen!$D$28*0.6,4)*Basisbedragen!$I$7,2))+Basisbedragen!$I$10)</f>
        <v>76.61</v>
      </c>
      <c r="Q84" s="52">
        <f>MIN(MAX(ROUND(ROUND('Loonschijven_Tranches salariale'!$Q79*0.6,4)*Basisbedragen!$I$2,2),ROUND(Basisbedragen!$D$40*Basisbedragen!$I$2,2)),ROUND(ROUND(Basisbedragen!$D$29*0.6,4)*Basisbedragen!$I$2,2))</f>
        <v>76.61</v>
      </c>
      <c r="R84" s="38"/>
      <c r="S84" s="52">
        <f t="shared" si="7"/>
        <v>42.37</v>
      </c>
      <c r="T84" s="52">
        <f t="shared" si="8"/>
        <v>29.85</v>
      </c>
    </row>
    <row r="85" spans="1:20" ht="15" thickBot="1">
      <c r="A85" s="47">
        <f t="shared" si="9"/>
        <v>73</v>
      </c>
      <c r="C85" s="52">
        <f>IF(MIN(MAX(ROUND(ROUND('Loonschijven_Tranches salariale'!$Q80*0.65,4)*Basisbedragen!$I$7,2),ROUND(Basisbedragen!$D$34*Basisbedragen!$I$7,2)),ROUND(ROUND(Basisbedragen!$D$27*0.65,4)*Basisbedragen!$I$7,2))&lt;= Basisbedragen!$I$8,MIN(MAX(ROUND(ROUND('Loonschijven_Tranches salariale'!$Q80*0.65,4)*Basisbedragen!$I$2,2),ROUND(Basisbedragen!$D$34*Basisbedragen!$I$2,2)),ROUND(ROUND(Basisbedragen!$D$27*0.65,4)*Basisbedragen!$I$2,2)),MIN(MAX(ROUND(ROUND('Loonschijven_Tranches salariale'!$Q80*0.65,4)*Basisbedragen!$I$7,2),ROUND(Basisbedragen!$D$34*Basisbedragen!$I$7,2)),ROUND(ROUND(Basisbedragen!$D$27*0.65,4)*Basisbedragen!$I$7,2))+Basisbedragen!$I$10)</f>
        <v>84.03</v>
      </c>
      <c r="D85" s="52">
        <f>IF(MIN(MAX(ROUND(ROUND('Loonschijven_Tranches salariale'!$Q80*0.6,4)*Basisbedragen!$I$7,2),ROUND(Basisbedragen!$D$34*Basisbedragen!$I$7,2)),ROUND(ROUND(Basisbedragen!$D$28*0.6,4)*Basisbedragen!$I$7,2))&lt;= Basisbedragen!$I$8,MIN(MAX(ROUND(ROUND('Loonschijven_Tranches salariale'!$Q80*0.6,4)*Basisbedragen!$I$2,2),ROUND(Basisbedragen!$D$34*Basisbedragen!$I$2,2)),ROUND(ROUND(Basisbedragen!$D$28*0.6,4)*Basisbedragen!$I$2,2)),MIN(MAX(ROUND(ROUND('Loonschijven_Tranches salariale'!$Q80*0.6,4)*Basisbedragen!$I$7,2),ROUND(Basisbedragen!$D$34*Basisbedragen!$I$7,2)),ROUND(ROUND(Basisbedragen!$D$28*0.6,4)*Basisbedragen!$I$7,2))+Basisbedragen!$I$10)</f>
        <v>78.09</v>
      </c>
      <c r="E85" s="52">
        <f>MIN(MAX(ROUND(ROUND('Loonschijven_Tranches salariale'!$Q80*0.6,4)*Basisbedragen!$I$2,2),ROUND(Basisbedragen!$D$35*Basisbedragen!$I$2,2)),ROUND(ROUND(Basisbedragen!$D$29*0.6,4)*Basisbedragen!$I$2,2))</f>
        <v>76.81</v>
      </c>
      <c r="G85" s="52">
        <f t="shared" si="5"/>
        <v>70.989999999999995</v>
      </c>
      <c r="I85" s="52">
        <f>IF(MIN(MAX(ROUND(ROUND('Loonschijven_Tranches salariale'!$Q80*0.65,4)*Basisbedragen!$I$7,2),ROUND(Basisbedragen!$D$36*Basisbedragen!$I$7,2)),ROUND(ROUND(Basisbedragen!$D$27*0.65,4)*Basisbedragen!$I$7,2))&lt;= Basisbedragen!$I$8,MIN(MAX(ROUND(ROUND('Loonschijven_Tranches salariale'!$Q80*0.65,4)*Basisbedragen!$I$2,2),ROUND(Basisbedragen!$D$36*Basisbedragen!$I$2,2)),ROUND(ROUND(Basisbedragen!$D$27*0.65,4)*Basisbedragen!$I$2,2)),MIN(MAX(ROUND(ROUND('Loonschijven_Tranches salariale'!$Q80*0.65,4)*Basisbedragen!$I$7,2),ROUND(Basisbedragen!$D$36*Basisbedragen!$I$7,2)),ROUND(ROUND(Basisbedragen!$D$27*0.65,4)*Basisbedragen!$I$7,2))+Basisbedragen!$I$10)</f>
        <v>84.03</v>
      </c>
      <c r="J85" s="52">
        <f>IF(MIN(MAX(ROUND(ROUND('Loonschijven_Tranches salariale'!$Q80*0.6,4)*Basisbedragen!$I$7,2),ROUND(Basisbedragen!$D$36*Basisbedragen!$I$7,2)),ROUND(ROUND(Basisbedragen!$D$28*0.6,4)*Basisbedragen!$I$7,2))&lt;= Basisbedragen!$I$8,MIN(MAX(ROUND(ROUND('Loonschijven_Tranches salariale'!$Q80*0.6,4)*Basisbedragen!$I$2,2),ROUND(Basisbedragen!$D$36*Basisbedragen!$I$2,2)),ROUND(ROUND(Basisbedragen!$D$28*0.6,4)*Basisbedragen!$I$2,2)),MIN(MAX(ROUND(ROUND('Loonschijven_Tranches salariale'!$Q80*0.6,4)*Basisbedragen!$I$7,2),ROUND(Basisbedragen!$D$36*Basisbedragen!$I$7,2)),ROUND(ROUND(Basisbedragen!$D$28*0.6,4)*Basisbedragen!$I$7,2))+Basisbedragen!$I$10)</f>
        <v>77.67</v>
      </c>
      <c r="K85" s="52">
        <f>MIN(MAX(ROUND(ROUND('Loonschijven_Tranches salariale'!$Q80*0.6,4)*Basisbedragen!$I$2,2),ROUND(Basisbedragen!$D$37*Basisbedragen!$I$2,2)),ROUND(ROUND(Basisbedragen!$D$29*0.6,4)*Basisbedragen!$I$2,2))</f>
        <v>76.81</v>
      </c>
      <c r="M85" s="52">
        <f t="shared" si="6"/>
        <v>57.53</v>
      </c>
      <c r="O85" s="52">
        <f>IF(MIN(MAX(ROUND(ROUND('Loonschijven_Tranches salariale'!$Q80*0.65,4)*Basisbedragen!$I$7,2),ROUND(Basisbedragen!$D$38*Basisbedragen!$I$7,2)),ROUND(ROUND(Basisbedragen!$D$27*0.65,4)*Basisbedragen!$I$7,2))&lt;= Basisbedragen!$I$8,MIN(MAX(ROUND(ROUND('Loonschijven_Tranches salariale'!$Q80*0.65,4)*Basisbedragen!$I$2,2),ROUND(Basisbedragen!$D$38*Basisbedragen!$I$2,2)),ROUND(ROUND(Basisbedragen!$D$27*0.65,4)*Basisbedragen!$I$2,2)),MIN(MAX(ROUND(ROUND('Loonschijven_Tranches salariale'!$Q80*0.65,4)*Basisbedragen!$I$7,2),ROUND(Basisbedragen!$D$38*Basisbedragen!$I$7,2)),ROUND(ROUND(Basisbedragen!$D$27*0.65,4)*Basisbedragen!$I$7,2))+Basisbedragen!$I$10)</f>
        <v>84.03</v>
      </c>
      <c r="P85" s="52">
        <f>IF(MIN(MAX(ROUND(ROUND('Loonschijven_Tranches salariale'!$Q80*0.6,4)*Basisbedragen!$I$7,2),ROUND(Basisbedragen!$D$39*Basisbedragen!$I$7,2)),ROUND(ROUND(Basisbedragen!$D$28*0.6,4)*Basisbedragen!$I$7,2))&lt;= Basisbedragen!$I$8,MIN(MAX(ROUND(ROUND('Loonschijven_Tranches salariale'!$Q80*0.6,4)*Basisbedragen!$I$2,2),ROUND(Basisbedragen!$D$39*Basisbedragen!$I$2,2)),ROUND(ROUND(Basisbedragen!$D$28*0.6,4)*Basisbedragen!$I$2,2)),MIN(MAX(ROUND(ROUND('Loonschijven_Tranches salariale'!$Q80*0.6,4)*Basisbedragen!$I$7,2),ROUND(Basisbedragen!$D$39*Basisbedragen!$I$7,2)),ROUND(ROUND(Basisbedragen!$D$28*0.6,4)*Basisbedragen!$I$7,2))+Basisbedragen!$I$10)</f>
        <v>77.67</v>
      </c>
      <c r="Q85" s="52">
        <f>MIN(MAX(ROUND(ROUND('Loonschijven_Tranches salariale'!$Q80*0.6,4)*Basisbedragen!$I$2,2),ROUND(Basisbedragen!$D$40*Basisbedragen!$I$2,2)),ROUND(ROUND(Basisbedragen!$D$29*0.6,4)*Basisbedragen!$I$2,2))</f>
        <v>76.81</v>
      </c>
      <c r="R85" s="38"/>
      <c r="S85" s="52">
        <f t="shared" si="7"/>
        <v>42.37</v>
      </c>
      <c r="T85" s="52">
        <f t="shared" si="8"/>
        <v>29.85</v>
      </c>
    </row>
    <row r="86" spans="1:20" ht="15" thickBot="1">
      <c r="A86" s="47">
        <f t="shared" ref="A86:A111" si="10">A85+1</f>
        <v>74</v>
      </c>
      <c r="C86" s="52">
        <f>IF(MIN(MAX(ROUND(ROUND('Loonschijven_Tranches salariale'!$Q81*0.65,4)*Basisbedragen!$I$7,2),ROUND(Basisbedragen!$D$34*Basisbedragen!$I$7,2)),ROUND(ROUND(Basisbedragen!$D$27*0.65,4)*Basisbedragen!$I$7,2))&lt;= Basisbedragen!$I$8,MIN(MAX(ROUND(ROUND('Loonschijven_Tranches salariale'!$Q81*0.65,4)*Basisbedragen!$I$2,2),ROUND(Basisbedragen!$D$34*Basisbedragen!$I$2,2)),ROUND(ROUND(Basisbedragen!$D$27*0.65,4)*Basisbedragen!$I$2,2)),MIN(MAX(ROUND(ROUND('Loonschijven_Tranches salariale'!$Q81*0.65,4)*Basisbedragen!$I$7,2),ROUND(Basisbedragen!$D$34*Basisbedragen!$I$7,2)),ROUND(ROUND(Basisbedragen!$D$27*0.65,4)*Basisbedragen!$I$7,2))+Basisbedragen!$I$10)</f>
        <v>84.53</v>
      </c>
      <c r="D86" s="52">
        <f>IF(MIN(MAX(ROUND(ROUND('Loonschijven_Tranches salariale'!$Q81*0.6,4)*Basisbedragen!$I$7,2),ROUND(Basisbedragen!$D$34*Basisbedragen!$I$7,2)),ROUND(ROUND(Basisbedragen!$D$28*0.6,4)*Basisbedragen!$I$7,2))&lt;= Basisbedragen!$I$8,MIN(MAX(ROUND(ROUND('Loonschijven_Tranches salariale'!$Q81*0.6,4)*Basisbedragen!$I$2,2),ROUND(Basisbedragen!$D$34*Basisbedragen!$I$2,2)),ROUND(ROUND(Basisbedragen!$D$28*0.6,4)*Basisbedragen!$I$2,2)),MIN(MAX(ROUND(ROUND('Loonschijven_Tranches salariale'!$Q81*0.6,4)*Basisbedragen!$I$7,2),ROUND(Basisbedragen!$D$34*Basisbedragen!$I$7,2)),ROUND(ROUND(Basisbedragen!$D$28*0.6,4)*Basisbedragen!$I$7,2))+Basisbedragen!$I$10)</f>
        <v>78.14</v>
      </c>
      <c r="E86" s="52">
        <f>MIN(MAX(ROUND(ROUND('Loonschijven_Tranches salariale'!$Q81*0.6,4)*Basisbedragen!$I$2,2),ROUND(Basisbedragen!$D$35*Basisbedragen!$I$2,2)),ROUND(ROUND(Basisbedragen!$D$29*0.6,4)*Basisbedragen!$I$2,2))</f>
        <v>76.81</v>
      </c>
      <c r="G86" s="52">
        <f t="shared" si="5"/>
        <v>70.989999999999995</v>
      </c>
      <c r="I86" s="52">
        <f>IF(MIN(MAX(ROUND(ROUND('Loonschijven_Tranches salariale'!$Q81*0.65,4)*Basisbedragen!$I$7,2),ROUND(Basisbedragen!$D$36*Basisbedragen!$I$7,2)),ROUND(ROUND(Basisbedragen!$D$27*0.65,4)*Basisbedragen!$I$7,2))&lt;= Basisbedragen!$I$8,MIN(MAX(ROUND(ROUND('Loonschijven_Tranches salariale'!$Q81*0.65,4)*Basisbedragen!$I$2,2),ROUND(Basisbedragen!$D$36*Basisbedragen!$I$2,2)),ROUND(ROUND(Basisbedragen!$D$27*0.65,4)*Basisbedragen!$I$2,2)),MIN(MAX(ROUND(ROUND('Loonschijven_Tranches salariale'!$Q81*0.65,4)*Basisbedragen!$I$7,2),ROUND(Basisbedragen!$D$36*Basisbedragen!$I$7,2)),ROUND(ROUND(Basisbedragen!$D$27*0.65,4)*Basisbedragen!$I$7,2))+Basisbedragen!$I$10)</f>
        <v>84.53</v>
      </c>
      <c r="J86" s="52">
        <f>IF(MIN(MAX(ROUND(ROUND('Loonschijven_Tranches salariale'!$Q81*0.6,4)*Basisbedragen!$I$7,2),ROUND(Basisbedragen!$D$36*Basisbedragen!$I$7,2)),ROUND(ROUND(Basisbedragen!$D$28*0.6,4)*Basisbedragen!$I$7,2))&lt;= Basisbedragen!$I$8,MIN(MAX(ROUND(ROUND('Loonschijven_Tranches salariale'!$Q81*0.6,4)*Basisbedragen!$I$2,2),ROUND(Basisbedragen!$D$36*Basisbedragen!$I$2,2)),ROUND(ROUND(Basisbedragen!$D$28*0.6,4)*Basisbedragen!$I$2,2)),MIN(MAX(ROUND(ROUND('Loonschijven_Tranches salariale'!$Q81*0.6,4)*Basisbedragen!$I$7,2),ROUND(Basisbedragen!$D$36*Basisbedragen!$I$7,2)),ROUND(ROUND(Basisbedragen!$D$28*0.6,4)*Basisbedragen!$I$7,2))+Basisbedragen!$I$10)</f>
        <v>78.14</v>
      </c>
      <c r="K86" s="52">
        <f>MIN(MAX(ROUND(ROUND('Loonschijven_Tranches salariale'!$Q81*0.6,4)*Basisbedragen!$I$2,2),ROUND(Basisbedragen!$D$37*Basisbedragen!$I$2,2)),ROUND(ROUND(Basisbedragen!$D$29*0.6,4)*Basisbedragen!$I$2,2))</f>
        <v>76.81</v>
      </c>
      <c r="M86" s="52">
        <f t="shared" si="6"/>
        <v>57.53</v>
      </c>
      <c r="O86" s="52">
        <f>IF(MIN(MAX(ROUND(ROUND('Loonschijven_Tranches salariale'!$Q81*0.65,4)*Basisbedragen!$I$7,2),ROUND(Basisbedragen!$D$38*Basisbedragen!$I$7,2)),ROUND(ROUND(Basisbedragen!$D$27*0.65,4)*Basisbedragen!$I$7,2))&lt;= Basisbedragen!$I$8,MIN(MAX(ROUND(ROUND('Loonschijven_Tranches salariale'!$Q81*0.65,4)*Basisbedragen!$I$2,2),ROUND(Basisbedragen!$D$38*Basisbedragen!$I$2,2)),ROUND(ROUND(Basisbedragen!$D$27*0.65,4)*Basisbedragen!$I$2,2)),MIN(MAX(ROUND(ROUND('Loonschijven_Tranches salariale'!$Q81*0.65,4)*Basisbedragen!$I$7,2),ROUND(Basisbedragen!$D$38*Basisbedragen!$I$7,2)),ROUND(ROUND(Basisbedragen!$D$27*0.65,4)*Basisbedragen!$I$7,2))+Basisbedragen!$I$10)</f>
        <v>84.53</v>
      </c>
      <c r="P86" s="52">
        <f>IF(MIN(MAX(ROUND(ROUND('Loonschijven_Tranches salariale'!$Q81*0.6,4)*Basisbedragen!$I$7,2),ROUND(Basisbedragen!$D$39*Basisbedragen!$I$7,2)),ROUND(ROUND(Basisbedragen!$D$28*0.6,4)*Basisbedragen!$I$7,2))&lt;= Basisbedragen!$I$8,MIN(MAX(ROUND(ROUND('Loonschijven_Tranches salariale'!$Q81*0.6,4)*Basisbedragen!$I$2,2),ROUND(Basisbedragen!$D$39*Basisbedragen!$I$2,2)),ROUND(ROUND(Basisbedragen!$D$28*0.6,4)*Basisbedragen!$I$2,2)),MIN(MAX(ROUND(ROUND('Loonschijven_Tranches salariale'!$Q81*0.6,4)*Basisbedragen!$I$7,2),ROUND(Basisbedragen!$D$39*Basisbedragen!$I$7,2)),ROUND(ROUND(Basisbedragen!$D$28*0.6,4)*Basisbedragen!$I$7,2))+Basisbedragen!$I$10)</f>
        <v>78.14</v>
      </c>
      <c r="Q86" s="52">
        <f>MIN(MAX(ROUND(ROUND('Loonschijven_Tranches salariale'!$Q81*0.6,4)*Basisbedragen!$I$2,2),ROUND(Basisbedragen!$D$40*Basisbedragen!$I$2,2)),ROUND(ROUND(Basisbedragen!$D$29*0.6,4)*Basisbedragen!$I$2,2))</f>
        <v>76.81</v>
      </c>
      <c r="R86" s="38"/>
      <c r="S86" s="52">
        <f t="shared" si="7"/>
        <v>42.37</v>
      </c>
      <c r="T86" s="52">
        <f t="shared" si="8"/>
        <v>29.85</v>
      </c>
    </row>
    <row r="87" spans="1:20" ht="15" thickBot="1">
      <c r="A87" s="47">
        <f t="shared" si="10"/>
        <v>75</v>
      </c>
      <c r="C87" s="52">
        <f>IF(MIN(MAX(ROUND(ROUND('Loonschijven_Tranches salariale'!$Q82*0.65,4)*Basisbedragen!$I$7,2),ROUND(Basisbedragen!$D$34*Basisbedragen!$I$7,2)),ROUND(ROUND(Basisbedragen!$D$27*0.65,4)*Basisbedragen!$I$7,2))&lt;= Basisbedragen!$I$8,MIN(MAX(ROUND(ROUND('Loonschijven_Tranches salariale'!$Q82*0.65,4)*Basisbedragen!$I$2,2),ROUND(Basisbedragen!$D$34*Basisbedragen!$I$2,2)),ROUND(ROUND(Basisbedragen!$D$27*0.65,4)*Basisbedragen!$I$2,2)),MIN(MAX(ROUND(ROUND('Loonschijven_Tranches salariale'!$Q82*0.65,4)*Basisbedragen!$I$7,2),ROUND(Basisbedragen!$D$34*Basisbedragen!$I$7,2)),ROUND(ROUND(Basisbedragen!$D$27*0.65,4)*Basisbedragen!$I$7,2))+Basisbedragen!$I$10)</f>
        <v>85.570000000000007</v>
      </c>
      <c r="D87" s="52">
        <f>IF(MIN(MAX(ROUND(ROUND('Loonschijven_Tranches salariale'!$Q82*0.6,4)*Basisbedragen!$I$7,2),ROUND(Basisbedragen!$D$34*Basisbedragen!$I$7,2)),ROUND(ROUND(Basisbedragen!$D$28*0.6,4)*Basisbedragen!$I$7,2))&lt;= Basisbedragen!$I$8,MIN(MAX(ROUND(ROUND('Loonschijven_Tranches salariale'!$Q82*0.6,4)*Basisbedragen!$I$2,2),ROUND(Basisbedragen!$D$34*Basisbedragen!$I$2,2)),ROUND(ROUND(Basisbedragen!$D$28*0.6,4)*Basisbedragen!$I$2,2)),MIN(MAX(ROUND(ROUND('Loonschijven_Tranches salariale'!$Q82*0.6,4)*Basisbedragen!$I$7,2),ROUND(Basisbedragen!$D$34*Basisbedragen!$I$7,2)),ROUND(ROUND(Basisbedragen!$D$28*0.6,4)*Basisbedragen!$I$7,2))+Basisbedragen!$I$10)</f>
        <v>79.100000000000009</v>
      </c>
      <c r="E87" s="52">
        <f>MIN(MAX(ROUND(ROUND('Loonschijven_Tranches salariale'!$Q82*0.6,4)*Basisbedragen!$I$2,2),ROUND(Basisbedragen!$D$35*Basisbedragen!$I$2,2)),ROUND(ROUND(Basisbedragen!$D$29*0.6,4)*Basisbedragen!$I$2,2))</f>
        <v>76.81</v>
      </c>
      <c r="G87" s="52">
        <f t="shared" si="5"/>
        <v>70.989999999999995</v>
      </c>
      <c r="I87" s="52">
        <f>IF(MIN(MAX(ROUND(ROUND('Loonschijven_Tranches salariale'!$Q82*0.65,4)*Basisbedragen!$I$7,2),ROUND(Basisbedragen!$D$36*Basisbedragen!$I$7,2)),ROUND(ROUND(Basisbedragen!$D$27*0.65,4)*Basisbedragen!$I$7,2))&lt;= Basisbedragen!$I$8,MIN(MAX(ROUND(ROUND('Loonschijven_Tranches salariale'!$Q82*0.65,4)*Basisbedragen!$I$2,2),ROUND(Basisbedragen!$D$36*Basisbedragen!$I$2,2)),ROUND(ROUND(Basisbedragen!$D$27*0.65,4)*Basisbedragen!$I$2,2)),MIN(MAX(ROUND(ROUND('Loonschijven_Tranches salariale'!$Q82*0.65,4)*Basisbedragen!$I$7,2),ROUND(Basisbedragen!$D$36*Basisbedragen!$I$7,2)),ROUND(ROUND(Basisbedragen!$D$27*0.65,4)*Basisbedragen!$I$7,2))+Basisbedragen!$I$10)</f>
        <v>85.570000000000007</v>
      </c>
      <c r="J87" s="52">
        <f>IF(MIN(MAX(ROUND(ROUND('Loonschijven_Tranches salariale'!$Q82*0.6,4)*Basisbedragen!$I$7,2),ROUND(Basisbedragen!$D$36*Basisbedragen!$I$7,2)),ROUND(ROUND(Basisbedragen!$D$28*0.6,4)*Basisbedragen!$I$7,2))&lt;= Basisbedragen!$I$8,MIN(MAX(ROUND(ROUND('Loonschijven_Tranches salariale'!$Q82*0.6,4)*Basisbedragen!$I$2,2),ROUND(Basisbedragen!$D$36*Basisbedragen!$I$2,2)),ROUND(ROUND(Basisbedragen!$D$28*0.6,4)*Basisbedragen!$I$2,2)),MIN(MAX(ROUND(ROUND('Loonschijven_Tranches salariale'!$Q82*0.6,4)*Basisbedragen!$I$7,2),ROUND(Basisbedragen!$D$36*Basisbedragen!$I$7,2)),ROUND(ROUND(Basisbedragen!$D$28*0.6,4)*Basisbedragen!$I$7,2))+Basisbedragen!$I$10)</f>
        <v>79.100000000000009</v>
      </c>
      <c r="K87" s="52">
        <f>MIN(MAX(ROUND(ROUND('Loonschijven_Tranches salariale'!$Q82*0.6,4)*Basisbedragen!$I$2,2),ROUND(Basisbedragen!$D$37*Basisbedragen!$I$2,2)),ROUND(ROUND(Basisbedragen!$D$29*0.6,4)*Basisbedragen!$I$2,2))</f>
        <v>76.81</v>
      </c>
      <c r="M87" s="52">
        <f t="shared" si="6"/>
        <v>57.53</v>
      </c>
      <c r="O87" s="52">
        <f>IF(MIN(MAX(ROUND(ROUND('Loonschijven_Tranches salariale'!$Q82*0.65,4)*Basisbedragen!$I$7,2),ROUND(Basisbedragen!$D$38*Basisbedragen!$I$7,2)),ROUND(ROUND(Basisbedragen!$D$27*0.65,4)*Basisbedragen!$I$7,2))&lt;= Basisbedragen!$I$8,MIN(MAX(ROUND(ROUND('Loonschijven_Tranches salariale'!$Q82*0.65,4)*Basisbedragen!$I$2,2),ROUND(Basisbedragen!$D$38*Basisbedragen!$I$2,2)),ROUND(ROUND(Basisbedragen!$D$27*0.65,4)*Basisbedragen!$I$2,2)),MIN(MAX(ROUND(ROUND('Loonschijven_Tranches salariale'!$Q82*0.65,4)*Basisbedragen!$I$7,2),ROUND(Basisbedragen!$D$38*Basisbedragen!$I$7,2)),ROUND(ROUND(Basisbedragen!$D$27*0.65,4)*Basisbedragen!$I$7,2))+Basisbedragen!$I$10)</f>
        <v>85.570000000000007</v>
      </c>
      <c r="P87" s="52">
        <f>IF(MIN(MAX(ROUND(ROUND('Loonschijven_Tranches salariale'!$Q82*0.6,4)*Basisbedragen!$I$7,2),ROUND(Basisbedragen!$D$39*Basisbedragen!$I$7,2)),ROUND(ROUND(Basisbedragen!$D$28*0.6,4)*Basisbedragen!$I$7,2))&lt;= Basisbedragen!$I$8,MIN(MAX(ROUND(ROUND('Loonschijven_Tranches salariale'!$Q82*0.6,4)*Basisbedragen!$I$2,2),ROUND(Basisbedragen!$D$39*Basisbedragen!$I$2,2)),ROUND(ROUND(Basisbedragen!$D$28*0.6,4)*Basisbedragen!$I$2,2)),MIN(MAX(ROUND(ROUND('Loonschijven_Tranches salariale'!$Q82*0.6,4)*Basisbedragen!$I$7,2),ROUND(Basisbedragen!$D$39*Basisbedragen!$I$7,2)),ROUND(ROUND(Basisbedragen!$D$28*0.6,4)*Basisbedragen!$I$7,2))+Basisbedragen!$I$10)</f>
        <v>79.100000000000009</v>
      </c>
      <c r="Q87" s="52">
        <f>MIN(MAX(ROUND(ROUND('Loonschijven_Tranches salariale'!$Q82*0.6,4)*Basisbedragen!$I$2,2),ROUND(Basisbedragen!$D$40*Basisbedragen!$I$2,2)),ROUND(ROUND(Basisbedragen!$D$29*0.6,4)*Basisbedragen!$I$2,2))</f>
        <v>76.81</v>
      </c>
      <c r="R87" s="38"/>
      <c r="S87" s="52">
        <f t="shared" si="7"/>
        <v>42.37</v>
      </c>
      <c r="T87" s="52">
        <f t="shared" si="8"/>
        <v>29.85</v>
      </c>
    </row>
    <row r="88" spans="1:20" ht="15" thickBot="1">
      <c r="A88" s="47">
        <f t="shared" si="10"/>
        <v>76</v>
      </c>
      <c r="C88" s="52">
        <f>IF(MIN(MAX(ROUND(ROUND('Loonschijven_Tranches salariale'!$Q83*0.65,4)*Basisbedragen!$I$7,2),ROUND(Basisbedragen!$D$34*Basisbedragen!$I$7,2)),ROUND(ROUND(Basisbedragen!$D$27*0.65,4)*Basisbedragen!$I$7,2))&lt;= Basisbedragen!$I$8,MIN(MAX(ROUND(ROUND('Loonschijven_Tranches salariale'!$Q83*0.65,4)*Basisbedragen!$I$2,2),ROUND(Basisbedragen!$D$34*Basisbedragen!$I$2,2)),ROUND(ROUND(Basisbedragen!$D$27*0.65,4)*Basisbedragen!$I$2,2)),MIN(MAX(ROUND(ROUND('Loonschijven_Tranches salariale'!$Q83*0.65,4)*Basisbedragen!$I$7,2),ROUND(Basisbedragen!$D$34*Basisbedragen!$I$7,2)),ROUND(ROUND(Basisbedragen!$D$27*0.65,4)*Basisbedragen!$I$7,2))+Basisbedragen!$I$10)</f>
        <v>86.240000000000009</v>
      </c>
      <c r="D88" s="52">
        <f>IF(MIN(MAX(ROUND(ROUND('Loonschijven_Tranches salariale'!$Q83*0.6,4)*Basisbedragen!$I$7,2),ROUND(Basisbedragen!$D$34*Basisbedragen!$I$7,2)),ROUND(ROUND(Basisbedragen!$D$28*0.6,4)*Basisbedragen!$I$7,2))&lt;= Basisbedragen!$I$8,MIN(MAX(ROUND(ROUND('Loonschijven_Tranches salariale'!$Q83*0.6,4)*Basisbedragen!$I$2,2),ROUND(Basisbedragen!$D$34*Basisbedragen!$I$2,2)),ROUND(ROUND(Basisbedragen!$D$28*0.6,4)*Basisbedragen!$I$2,2)),MIN(MAX(ROUND(ROUND('Loonschijven_Tranches salariale'!$Q83*0.6,4)*Basisbedragen!$I$7,2),ROUND(Basisbedragen!$D$34*Basisbedragen!$I$7,2)),ROUND(ROUND(Basisbedragen!$D$28*0.6,4)*Basisbedragen!$I$7,2))+Basisbedragen!$I$10)</f>
        <v>79.720000000000013</v>
      </c>
      <c r="E88" s="52">
        <f>MIN(MAX(ROUND(ROUND('Loonschijven_Tranches salariale'!$Q83*0.6,4)*Basisbedragen!$I$2,2),ROUND(Basisbedragen!$D$35*Basisbedragen!$I$2,2)),ROUND(ROUND(Basisbedragen!$D$29*0.6,4)*Basisbedragen!$I$2,2))</f>
        <v>76.81</v>
      </c>
      <c r="G88" s="52">
        <f t="shared" si="5"/>
        <v>70.989999999999995</v>
      </c>
      <c r="I88" s="52">
        <f>IF(MIN(MAX(ROUND(ROUND('Loonschijven_Tranches salariale'!$Q83*0.65,4)*Basisbedragen!$I$7,2),ROUND(Basisbedragen!$D$36*Basisbedragen!$I$7,2)),ROUND(ROUND(Basisbedragen!$D$27*0.65,4)*Basisbedragen!$I$7,2))&lt;= Basisbedragen!$I$8,MIN(MAX(ROUND(ROUND('Loonschijven_Tranches salariale'!$Q83*0.65,4)*Basisbedragen!$I$2,2),ROUND(Basisbedragen!$D$36*Basisbedragen!$I$2,2)),ROUND(ROUND(Basisbedragen!$D$27*0.65,4)*Basisbedragen!$I$2,2)),MIN(MAX(ROUND(ROUND('Loonschijven_Tranches salariale'!$Q83*0.65,4)*Basisbedragen!$I$7,2),ROUND(Basisbedragen!$D$36*Basisbedragen!$I$7,2)),ROUND(ROUND(Basisbedragen!$D$27*0.65,4)*Basisbedragen!$I$7,2))+Basisbedragen!$I$10)</f>
        <v>86.240000000000009</v>
      </c>
      <c r="J88" s="52">
        <f>IF(MIN(MAX(ROUND(ROUND('Loonschijven_Tranches salariale'!$Q83*0.6,4)*Basisbedragen!$I$7,2),ROUND(Basisbedragen!$D$36*Basisbedragen!$I$7,2)),ROUND(ROUND(Basisbedragen!$D$28*0.6,4)*Basisbedragen!$I$7,2))&lt;= Basisbedragen!$I$8,MIN(MAX(ROUND(ROUND('Loonschijven_Tranches salariale'!$Q83*0.6,4)*Basisbedragen!$I$2,2),ROUND(Basisbedragen!$D$36*Basisbedragen!$I$2,2)),ROUND(ROUND(Basisbedragen!$D$28*0.6,4)*Basisbedragen!$I$2,2)),MIN(MAX(ROUND(ROUND('Loonschijven_Tranches salariale'!$Q83*0.6,4)*Basisbedragen!$I$7,2),ROUND(Basisbedragen!$D$36*Basisbedragen!$I$7,2)),ROUND(ROUND(Basisbedragen!$D$28*0.6,4)*Basisbedragen!$I$7,2))+Basisbedragen!$I$10)</f>
        <v>79.720000000000013</v>
      </c>
      <c r="K88" s="52">
        <f>MIN(MAX(ROUND(ROUND('Loonschijven_Tranches salariale'!$Q83*0.6,4)*Basisbedragen!$I$2,2),ROUND(Basisbedragen!$D$37*Basisbedragen!$I$2,2)),ROUND(ROUND(Basisbedragen!$D$29*0.6,4)*Basisbedragen!$I$2,2))</f>
        <v>76.81</v>
      </c>
      <c r="M88" s="52">
        <f t="shared" si="6"/>
        <v>57.53</v>
      </c>
      <c r="O88" s="52">
        <f>IF(MIN(MAX(ROUND(ROUND('Loonschijven_Tranches salariale'!$Q83*0.65,4)*Basisbedragen!$I$7,2),ROUND(Basisbedragen!$D$38*Basisbedragen!$I$7,2)),ROUND(ROUND(Basisbedragen!$D$27*0.65,4)*Basisbedragen!$I$7,2))&lt;= Basisbedragen!$I$8,MIN(MAX(ROUND(ROUND('Loonschijven_Tranches salariale'!$Q83*0.65,4)*Basisbedragen!$I$2,2),ROUND(Basisbedragen!$D$38*Basisbedragen!$I$2,2)),ROUND(ROUND(Basisbedragen!$D$27*0.65,4)*Basisbedragen!$I$2,2)),MIN(MAX(ROUND(ROUND('Loonschijven_Tranches salariale'!$Q83*0.65,4)*Basisbedragen!$I$7,2),ROUND(Basisbedragen!$D$38*Basisbedragen!$I$7,2)),ROUND(ROUND(Basisbedragen!$D$27*0.65,4)*Basisbedragen!$I$7,2))+Basisbedragen!$I$10)</f>
        <v>86.240000000000009</v>
      </c>
      <c r="P88" s="52">
        <f>IF(MIN(MAX(ROUND(ROUND('Loonschijven_Tranches salariale'!$Q83*0.6,4)*Basisbedragen!$I$7,2),ROUND(Basisbedragen!$D$39*Basisbedragen!$I$7,2)),ROUND(ROUND(Basisbedragen!$D$28*0.6,4)*Basisbedragen!$I$7,2))&lt;= Basisbedragen!$I$8,MIN(MAX(ROUND(ROUND('Loonschijven_Tranches salariale'!$Q83*0.6,4)*Basisbedragen!$I$2,2),ROUND(Basisbedragen!$D$39*Basisbedragen!$I$2,2)),ROUND(ROUND(Basisbedragen!$D$28*0.6,4)*Basisbedragen!$I$2,2)),MIN(MAX(ROUND(ROUND('Loonschijven_Tranches salariale'!$Q83*0.6,4)*Basisbedragen!$I$7,2),ROUND(Basisbedragen!$D$39*Basisbedragen!$I$7,2)),ROUND(ROUND(Basisbedragen!$D$28*0.6,4)*Basisbedragen!$I$7,2))+Basisbedragen!$I$10)</f>
        <v>79.720000000000013</v>
      </c>
      <c r="Q88" s="52">
        <f>MIN(MAX(ROUND(ROUND('Loonschijven_Tranches salariale'!$Q83*0.6,4)*Basisbedragen!$I$2,2),ROUND(Basisbedragen!$D$40*Basisbedragen!$I$2,2)),ROUND(ROUND(Basisbedragen!$D$29*0.6,4)*Basisbedragen!$I$2,2))</f>
        <v>76.81</v>
      </c>
      <c r="R88" s="38"/>
      <c r="S88" s="52">
        <f t="shared" si="7"/>
        <v>42.37</v>
      </c>
      <c r="T88" s="52">
        <f t="shared" si="8"/>
        <v>29.85</v>
      </c>
    </row>
    <row r="89" spans="1:20" ht="15" thickBot="1">
      <c r="A89" s="47">
        <f t="shared" si="10"/>
        <v>77</v>
      </c>
      <c r="C89" s="52">
        <f>IF(MIN(MAX(ROUND(ROUND('Loonschijven_Tranches salariale'!$Q84*0.65,4)*Basisbedragen!$I$7,2),ROUND(Basisbedragen!$D$34*Basisbedragen!$I$7,2)),ROUND(ROUND(Basisbedragen!$D$27*0.65,4)*Basisbedragen!$I$7,2))&lt;= Basisbedragen!$I$8,MIN(MAX(ROUND(ROUND('Loonschijven_Tranches salariale'!$Q84*0.65,4)*Basisbedragen!$I$2,2),ROUND(Basisbedragen!$D$34*Basisbedragen!$I$2,2)),ROUND(ROUND(Basisbedragen!$D$27*0.65,4)*Basisbedragen!$I$2,2)),MIN(MAX(ROUND(ROUND('Loonschijven_Tranches salariale'!$Q84*0.65,4)*Basisbedragen!$I$7,2),ROUND(Basisbedragen!$D$34*Basisbedragen!$I$7,2)),ROUND(ROUND(Basisbedragen!$D$27*0.65,4)*Basisbedragen!$I$7,2))+Basisbedragen!$I$10)</f>
        <v>87.17</v>
      </c>
      <c r="D89" s="52">
        <f>IF(MIN(MAX(ROUND(ROUND('Loonschijven_Tranches salariale'!$Q84*0.6,4)*Basisbedragen!$I$7,2),ROUND(Basisbedragen!$D$34*Basisbedragen!$I$7,2)),ROUND(ROUND(Basisbedragen!$D$28*0.6,4)*Basisbedragen!$I$7,2))&lt;= Basisbedragen!$I$8,MIN(MAX(ROUND(ROUND('Loonschijven_Tranches salariale'!$Q84*0.6,4)*Basisbedragen!$I$2,2),ROUND(Basisbedragen!$D$34*Basisbedragen!$I$2,2)),ROUND(ROUND(Basisbedragen!$D$28*0.6,4)*Basisbedragen!$I$2,2)),MIN(MAX(ROUND(ROUND('Loonschijven_Tranches salariale'!$Q84*0.6,4)*Basisbedragen!$I$7,2),ROUND(Basisbedragen!$D$34*Basisbedragen!$I$7,2)),ROUND(ROUND(Basisbedragen!$D$28*0.6,4)*Basisbedragen!$I$7,2))+Basisbedragen!$I$10)</f>
        <v>80.580000000000013</v>
      </c>
      <c r="E89" s="52">
        <f>MIN(MAX(ROUND(ROUND('Loonschijven_Tranches salariale'!$Q84*0.6,4)*Basisbedragen!$I$2,2),ROUND(Basisbedragen!$D$35*Basisbedragen!$I$2,2)),ROUND(ROUND(Basisbedragen!$D$29*0.6,4)*Basisbedragen!$I$2,2))</f>
        <v>76.81</v>
      </c>
      <c r="G89" s="52">
        <f t="shared" si="5"/>
        <v>70.989999999999995</v>
      </c>
      <c r="I89" s="52">
        <f>IF(MIN(MAX(ROUND(ROUND('Loonschijven_Tranches salariale'!$Q84*0.65,4)*Basisbedragen!$I$7,2),ROUND(Basisbedragen!$D$36*Basisbedragen!$I$7,2)),ROUND(ROUND(Basisbedragen!$D$27*0.65,4)*Basisbedragen!$I$7,2))&lt;= Basisbedragen!$I$8,MIN(MAX(ROUND(ROUND('Loonschijven_Tranches salariale'!$Q84*0.65,4)*Basisbedragen!$I$2,2),ROUND(Basisbedragen!$D$36*Basisbedragen!$I$2,2)),ROUND(ROUND(Basisbedragen!$D$27*0.65,4)*Basisbedragen!$I$2,2)),MIN(MAX(ROUND(ROUND('Loonschijven_Tranches salariale'!$Q84*0.65,4)*Basisbedragen!$I$7,2),ROUND(Basisbedragen!$D$36*Basisbedragen!$I$7,2)),ROUND(ROUND(Basisbedragen!$D$27*0.65,4)*Basisbedragen!$I$7,2))+Basisbedragen!$I$10)</f>
        <v>87.17</v>
      </c>
      <c r="J89" s="52">
        <f>IF(MIN(MAX(ROUND(ROUND('Loonschijven_Tranches salariale'!$Q84*0.6,4)*Basisbedragen!$I$7,2),ROUND(Basisbedragen!$D$36*Basisbedragen!$I$7,2)),ROUND(ROUND(Basisbedragen!$D$28*0.6,4)*Basisbedragen!$I$7,2))&lt;= Basisbedragen!$I$8,MIN(MAX(ROUND(ROUND('Loonschijven_Tranches salariale'!$Q84*0.6,4)*Basisbedragen!$I$2,2),ROUND(Basisbedragen!$D$36*Basisbedragen!$I$2,2)),ROUND(ROUND(Basisbedragen!$D$28*0.6,4)*Basisbedragen!$I$2,2)),MIN(MAX(ROUND(ROUND('Loonschijven_Tranches salariale'!$Q84*0.6,4)*Basisbedragen!$I$7,2),ROUND(Basisbedragen!$D$36*Basisbedragen!$I$7,2)),ROUND(ROUND(Basisbedragen!$D$28*0.6,4)*Basisbedragen!$I$7,2))+Basisbedragen!$I$10)</f>
        <v>80.580000000000013</v>
      </c>
      <c r="K89" s="52">
        <f>MIN(MAX(ROUND(ROUND('Loonschijven_Tranches salariale'!$Q84*0.6,4)*Basisbedragen!$I$2,2),ROUND(Basisbedragen!$D$37*Basisbedragen!$I$2,2)),ROUND(ROUND(Basisbedragen!$D$29*0.6,4)*Basisbedragen!$I$2,2))</f>
        <v>76.81</v>
      </c>
      <c r="M89" s="52">
        <f t="shared" si="6"/>
        <v>57.53</v>
      </c>
      <c r="O89" s="52">
        <f>IF(MIN(MAX(ROUND(ROUND('Loonschijven_Tranches salariale'!$Q84*0.65,4)*Basisbedragen!$I$7,2),ROUND(Basisbedragen!$D$38*Basisbedragen!$I$7,2)),ROUND(ROUND(Basisbedragen!$D$27*0.65,4)*Basisbedragen!$I$7,2))&lt;= Basisbedragen!$I$8,MIN(MAX(ROUND(ROUND('Loonschijven_Tranches salariale'!$Q84*0.65,4)*Basisbedragen!$I$2,2),ROUND(Basisbedragen!$D$38*Basisbedragen!$I$2,2)),ROUND(ROUND(Basisbedragen!$D$27*0.65,4)*Basisbedragen!$I$2,2)),MIN(MAX(ROUND(ROUND('Loonschijven_Tranches salariale'!$Q84*0.65,4)*Basisbedragen!$I$7,2),ROUND(Basisbedragen!$D$38*Basisbedragen!$I$7,2)),ROUND(ROUND(Basisbedragen!$D$27*0.65,4)*Basisbedragen!$I$7,2))+Basisbedragen!$I$10)</f>
        <v>87.17</v>
      </c>
      <c r="P89" s="52">
        <f>IF(MIN(MAX(ROUND(ROUND('Loonschijven_Tranches salariale'!$Q84*0.6,4)*Basisbedragen!$I$7,2),ROUND(Basisbedragen!$D$39*Basisbedragen!$I$7,2)),ROUND(ROUND(Basisbedragen!$D$28*0.6,4)*Basisbedragen!$I$7,2))&lt;= Basisbedragen!$I$8,MIN(MAX(ROUND(ROUND('Loonschijven_Tranches salariale'!$Q84*0.6,4)*Basisbedragen!$I$2,2),ROUND(Basisbedragen!$D$39*Basisbedragen!$I$2,2)),ROUND(ROUND(Basisbedragen!$D$28*0.6,4)*Basisbedragen!$I$2,2)),MIN(MAX(ROUND(ROUND('Loonschijven_Tranches salariale'!$Q84*0.6,4)*Basisbedragen!$I$7,2),ROUND(Basisbedragen!$D$39*Basisbedragen!$I$7,2)),ROUND(ROUND(Basisbedragen!$D$28*0.6,4)*Basisbedragen!$I$7,2))+Basisbedragen!$I$10)</f>
        <v>80.580000000000013</v>
      </c>
      <c r="Q89" s="52">
        <f>MIN(MAX(ROUND(ROUND('Loonschijven_Tranches salariale'!$Q84*0.6,4)*Basisbedragen!$I$2,2),ROUND(Basisbedragen!$D$40*Basisbedragen!$I$2,2)),ROUND(ROUND(Basisbedragen!$D$29*0.6,4)*Basisbedragen!$I$2,2))</f>
        <v>76.81</v>
      </c>
      <c r="R89" s="38"/>
      <c r="S89" s="52">
        <f t="shared" si="7"/>
        <v>42.37</v>
      </c>
      <c r="T89" s="52">
        <f t="shared" si="8"/>
        <v>29.85</v>
      </c>
    </row>
    <row r="90" spans="1:20" ht="15" thickBot="1">
      <c r="A90" s="47">
        <f t="shared" si="10"/>
        <v>78</v>
      </c>
      <c r="C90" s="52">
        <f>IF(MIN(MAX(ROUND(ROUND('Loonschijven_Tranches salariale'!$Q85*0.65,4)*Basisbedragen!$I$7,2),ROUND(Basisbedragen!$D$34*Basisbedragen!$I$7,2)),ROUND(ROUND(Basisbedragen!$D$27*0.65,4)*Basisbedragen!$I$7,2))&lt;= Basisbedragen!$I$8,MIN(MAX(ROUND(ROUND('Loonschijven_Tranches salariale'!$Q85*0.65,4)*Basisbedragen!$I$2,2),ROUND(Basisbedragen!$D$34*Basisbedragen!$I$2,2)),ROUND(ROUND(Basisbedragen!$D$27*0.65,4)*Basisbedragen!$I$2,2)),MIN(MAX(ROUND(ROUND('Loonschijven_Tranches salariale'!$Q85*0.65,4)*Basisbedragen!$I$7,2),ROUND(Basisbedragen!$D$34*Basisbedragen!$I$7,2)),ROUND(ROUND(Basisbedragen!$D$27*0.65,4)*Basisbedragen!$I$7,2))+Basisbedragen!$I$10)</f>
        <v>88.11</v>
      </c>
      <c r="D90" s="52">
        <f>IF(MIN(MAX(ROUND(ROUND('Loonschijven_Tranches salariale'!$Q85*0.6,4)*Basisbedragen!$I$7,2),ROUND(Basisbedragen!$D$34*Basisbedragen!$I$7,2)),ROUND(ROUND(Basisbedragen!$D$28*0.6,4)*Basisbedragen!$I$7,2))&lt;= Basisbedragen!$I$8,MIN(MAX(ROUND(ROUND('Loonschijven_Tranches salariale'!$Q85*0.6,4)*Basisbedragen!$I$2,2),ROUND(Basisbedragen!$D$34*Basisbedragen!$I$2,2)),ROUND(ROUND(Basisbedragen!$D$28*0.6,4)*Basisbedragen!$I$2,2)),MIN(MAX(ROUND(ROUND('Loonschijven_Tranches salariale'!$Q85*0.6,4)*Basisbedragen!$I$7,2),ROUND(Basisbedragen!$D$34*Basisbedragen!$I$7,2)),ROUND(ROUND(Basisbedragen!$D$28*0.6,4)*Basisbedragen!$I$7,2))+Basisbedragen!$I$10)</f>
        <v>81.45</v>
      </c>
      <c r="E90" s="52">
        <f>MIN(MAX(ROUND(ROUND('Loonschijven_Tranches salariale'!$Q85*0.6,4)*Basisbedragen!$I$2,2),ROUND(Basisbedragen!$D$35*Basisbedragen!$I$2,2)),ROUND(ROUND(Basisbedragen!$D$29*0.6,4)*Basisbedragen!$I$2,2))</f>
        <v>76.81</v>
      </c>
      <c r="G90" s="52">
        <f t="shared" si="5"/>
        <v>70.989999999999995</v>
      </c>
      <c r="I90" s="52">
        <f>IF(MIN(MAX(ROUND(ROUND('Loonschijven_Tranches salariale'!$Q85*0.65,4)*Basisbedragen!$I$7,2),ROUND(Basisbedragen!$D$36*Basisbedragen!$I$7,2)),ROUND(ROUND(Basisbedragen!$D$27*0.65,4)*Basisbedragen!$I$7,2))&lt;= Basisbedragen!$I$8,MIN(MAX(ROUND(ROUND('Loonschijven_Tranches salariale'!$Q85*0.65,4)*Basisbedragen!$I$2,2),ROUND(Basisbedragen!$D$36*Basisbedragen!$I$2,2)),ROUND(ROUND(Basisbedragen!$D$27*0.65,4)*Basisbedragen!$I$2,2)),MIN(MAX(ROUND(ROUND('Loonschijven_Tranches salariale'!$Q85*0.65,4)*Basisbedragen!$I$7,2),ROUND(Basisbedragen!$D$36*Basisbedragen!$I$7,2)),ROUND(ROUND(Basisbedragen!$D$27*0.65,4)*Basisbedragen!$I$7,2))+Basisbedragen!$I$10)</f>
        <v>88.11</v>
      </c>
      <c r="J90" s="52">
        <f>IF(MIN(MAX(ROUND(ROUND('Loonschijven_Tranches salariale'!$Q85*0.6,4)*Basisbedragen!$I$7,2),ROUND(Basisbedragen!$D$36*Basisbedragen!$I$7,2)),ROUND(ROUND(Basisbedragen!$D$28*0.6,4)*Basisbedragen!$I$7,2))&lt;= Basisbedragen!$I$8,MIN(MAX(ROUND(ROUND('Loonschijven_Tranches salariale'!$Q85*0.6,4)*Basisbedragen!$I$2,2),ROUND(Basisbedragen!$D$36*Basisbedragen!$I$2,2)),ROUND(ROUND(Basisbedragen!$D$28*0.6,4)*Basisbedragen!$I$2,2)),MIN(MAX(ROUND(ROUND('Loonschijven_Tranches salariale'!$Q85*0.6,4)*Basisbedragen!$I$7,2),ROUND(Basisbedragen!$D$36*Basisbedragen!$I$7,2)),ROUND(ROUND(Basisbedragen!$D$28*0.6,4)*Basisbedragen!$I$7,2))+Basisbedragen!$I$10)</f>
        <v>81.45</v>
      </c>
      <c r="K90" s="52">
        <f>MIN(MAX(ROUND(ROUND('Loonschijven_Tranches salariale'!$Q85*0.6,4)*Basisbedragen!$I$2,2),ROUND(Basisbedragen!$D$37*Basisbedragen!$I$2,2)),ROUND(ROUND(Basisbedragen!$D$29*0.6,4)*Basisbedragen!$I$2,2))</f>
        <v>76.81</v>
      </c>
      <c r="M90" s="52">
        <f t="shared" si="6"/>
        <v>57.53</v>
      </c>
      <c r="O90" s="52">
        <f>IF(MIN(MAX(ROUND(ROUND('Loonschijven_Tranches salariale'!$Q85*0.65,4)*Basisbedragen!$I$7,2),ROUND(Basisbedragen!$D$38*Basisbedragen!$I$7,2)),ROUND(ROUND(Basisbedragen!$D$27*0.65,4)*Basisbedragen!$I$7,2))&lt;= Basisbedragen!$I$8,MIN(MAX(ROUND(ROUND('Loonschijven_Tranches salariale'!$Q85*0.65,4)*Basisbedragen!$I$2,2),ROUND(Basisbedragen!$D$38*Basisbedragen!$I$2,2)),ROUND(ROUND(Basisbedragen!$D$27*0.65,4)*Basisbedragen!$I$2,2)),MIN(MAX(ROUND(ROUND('Loonschijven_Tranches salariale'!$Q85*0.65,4)*Basisbedragen!$I$7,2),ROUND(Basisbedragen!$D$38*Basisbedragen!$I$7,2)),ROUND(ROUND(Basisbedragen!$D$27*0.65,4)*Basisbedragen!$I$7,2))+Basisbedragen!$I$10)</f>
        <v>88.11</v>
      </c>
      <c r="P90" s="52">
        <f>IF(MIN(MAX(ROUND(ROUND('Loonschijven_Tranches salariale'!$Q85*0.6,4)*Basisbedragen!$I$7,2),ROUND(Basisbedragen!$D$39*Basisbedragen!$I$7,2)),ROUND(ROUND(Basisbedragen!$D$28*0.6,4)*Basisbedragen!$I$7,2))&lt;= Basisbedragen!$I$8,MIN(MAX(ROUND(ROUND('Loonschijven_Tranches salariale'!$Q85*0.6,4)*Basisbedragen!$I$2,2),ROUND(Basisbedragen!$D$39*Basisbedragen!$I$2,2)),ROUND(ROUND(Basisbedragen!$D$28*0.6,4)*Basisbedragen!$I$2,2)),MIN(MAX(ROUND(ROUND('Loonschijven_Tranches salariale'!$Q85*0.6,4)*Basisbedragen!$I$7,2),ROUND(Basisbedragen!$D$39*Basisbedragen!$I$7,2)),ROUND(ROUND(Basisbedragen!$D$28*0.6,4)*Basisbedragen!$I$7,2))+Basisbedragen!$I$10)</f>
        <v>81.45</v>
      </c>
      <c r="Q90" s="52">
        <f>MIN(MAX(ROUND(ROUND('Loonschijven_Tranches salariale'!$Q85*0.6,4)*Basisbedragen!$I$2,2),ROUND(Basisbedragen!$D$40*Basisbedragen!$I$2,2)),ROUND(ROUND(Basisbedragen!$D$29*0.6,4)*Basisbedragen!$I$2,2))</f>
        <v>76.81</v>
      </c>
      <c r="R90" s="38"/>
      <c r="S90" s="52">
        <f t="shared" si="7"/>
        <v>42.37</v>
      </c>
      <c r="T90" s="52">
        <f t="shared" si="8"/>
        <v>29.85</v>
      </c>
    </row>
    <row r="91" spans="1:20" ht="15" thickBot="1">
      <c r="A91" s="47">
        <f t="shared" si="10"/>
        <v>79</v>
      </c>
      <c r="C91" s="52">
        <f>IF(MIN(MAX(ROUND(ROUND('Loonschijven_Tranches salariale'!$Q86*0.65,4)*Basisbedragen!$I$7,2),ROUND(Basisbedragen!$D$34*Basisbedragen!$I$7,2)),ROUND(ROUND(Basisbedragen!$D$27*0.65,4)*Basisbedragen!$I$7,2))&lt;= Basisbedragen!$I$8,MIN(MAX(ROUND(ROUND('Loonschijven_Tranches salariale'!$Q86*0.65,4)*Basisbedragen!$I$2,2),ROUND(Basisbedragen!$D$34*Basisbedragen!$I$2,2)),ROUND(ROUND(Basisbedragen!$D$27*0.65,4)*Basisbedragen!$I$2,2)),MIN(MAX(ROUND(ROUND('Loonschijven_Tranches salariale'!$Q86*0.65,4)*Basisbedragen!$I$7,2),ROUND(Basisbedragen!$D$34*Basisbedragen!$I$7,2)),ROUND(ROUND(Basisbedragen!$D$27*0.65,4)*Basisbedragen!$I$7,2))+Basisbedragen!$I$10)</f>
        <v>89.06</v>
      </c>
      <c r="D91" s="52">
        <f>IF(MIN(MAX(ROUND(ROUND('Loonschijven_Tranches salariale'!$Q86*0.6,4)*Basisbedragen!$I$7,2),ROUND(Basisbedragen!$D$34*Basisbedragen!$I$7,2)),ROUND(ROUND(Basisbedragen!$D$28*0.6,4)*Basisbedragen!$I$7,2))&lt;= Basisbedragen!$I$8,MIN(MAX(ROUND(ROUND('Loonschijven_Tranches salariale'!$Q86*0.6,4)*Basisbedragen!$I$2,2),ROUND(Basisbedragen!$D$34*Basisbedragen!$I$2,2)),ROUND(ROUND(Basisbedragen!$D$28*0.6,4)*Basisbedragen!$I$2,2)),MIN(MAX(ROUND(ROUND('Loonschijven_Tranches salariale'!$Q86*0.6,4)*Basisbedragen!$I$7,2),ROUND(Basisbedragen!$D$34*Basisbedragen!$I$7,2)),ROUND(ROUND(Basisbedragen!$D$28*0.6,4)*Basisbedragen!$I$7,2))+Basisbedragen!$I$10)</f>
        <v>82.330000000000013</v>
      </c>
      <c r="E91" s="52">
        <f>MIN(MAX(ROUND(ROUND('Loonschijven_Tranches salariale'!$Q86*0.6,4)*Basisbedragen!$I$2,2),ROUND(Basisbedragen!$D$35*Basisbedragen!$I$2,2)),ROUND(ROUND(Basisbedragen!$D$29*0.6,4)*Basisbedragen!$I$2,2))</f>
        <v>76.81</v>
      </c>
      <c r="G91" s="52">
        <f t="shared" si="5"/>
        <v>70.989999999999995</v>
      </c>
      <c r="I91" s="52">
        <f>IF(MIN(MAX(ROUND(ROUND('Loonschijven_Tranches salariale'!$Q86*0.65,4)*Basisbedragen!$I$7,2),ROUND(Basisbedragen!$D$36*Basisbedragen!$I$7,2)),ROUND(ROUND(Basisbedragen!$D$27*0.65,4)*Basisbedragen!$I$7,2))&lt;= Basisbedragen!$I$8,MIN(MAX(ROUND(ROUND('Loonschijven_Tranches salariale'!$Q86*0.65,4)*Basisbedragen!$I$2,2),ROUND(Basisbedragen!$D$36*Basisbedragen!$I$2,2)),ROUND(ROUND(Basisbedragen!$D$27*0.65,4)*Basisbedragen!$I$2,2)),MIN(MAX(ROUND(ROUND('Loonschijven_Tranches salariale'!$Q86*0.65,4)*Basisbedragen!$I$7,2),ROUND(Basisbedragen!$D$36*Basisbedragen!$I$7,2)),ROUND(ROUND(Basisbedragen!$D$27*0.65,4)*Basisbedragen!$I$7,2))+Basisbedragen!$I$10)</f>
        <v>89.06</v>
      </c>
      <c r="J91" s="52">
        <f>IF(MIN(MAX(ROUND(ROUND('Loonschijven_Tranches salariale'!$Q86*0.6,4)*Basisbedragen!$I$7,2),ROUND(Basisbedragen!$D$36*Basisbedragen!$I$7,2)),ROUND(ROUND(Basisbedragen!$D$28*0.6,4)*Basisbedragen!$I$7,2))&lt;= Basisbedragen!$I$8,MIN(MAX(ROUND(ROUND('Loonschijven_Tranches salariale'!$Q86*0.6,4)*Basisbedragen!$I$2,2),ROUND(Basisbedragen!$D$36*Basisbedragen!$I$2,2)),ROUND(ROUND(Basisbedragen!$D$28*0.6,4)*Basisbedragen!$I$2,2)),MIN(MAX(ROUND(ROUND('Loonschijven_Tranches salariale'!$Q86*0.6,4)*Basisbedragen!$I$7,2),ROUND(Basisbedragen!$D$36*Basisbedragen!$I$7,2)),ROUND(ROUND(Basisbedragen!$D$28*0.6,4)*Basisbedragen!$I$7,2))+Basisbedragen!$I$10)</f>
        <v>82.330000000000013</v>
      </c>
      <c r="K91" s="52">
        <f>MIN(MAX(ROUND(ROUND('Loonschijven_Tranches salariale'!$Q86*0.6,4)*Basisbedragen!$I$2,2),ROUND(Basisbedragen!$D$37*Basisbedragen!$I$2,2)),ROUND(ROUND(Basisbedragen!$D$29*0.6,4)*Basisbedragen!$I$2,2))</f>
        <v>76.81</v>
      </c>
      <c r="M91" s="52">
        <f t="shared" si="6"/>
        <v>57.53</v>
      </c>
      <c r="O91" s="52">
        <f>IF(MIN(MAX(ROUND(ROUND('Loonschijven_Tranches salariale'!$Q86*0.65,4)*Basisbedragen!$I$7,2),ROUND(Basisbedragen!$D$38*Basisbedragen!$I$7,2)),ROUND(ROUND(Basisbedragen!$D$27*0.65,4)*Basisbedragen!$I$7,2))&lt;= Basisbedragen!$I$8,MIN(MAX(ROUND(ROUND('Loonschijven_Tranches salariale'!$Q86*0.65,4)*Basisbedragen!$I$2,2),ROUND(Basisbedragen!$D$38*Basisbedragen!$I$2,2)),ROUND(ROUND(Basisbedragen!$D$27*0.65,4)*Basisbedragen!$I$2,2)),MIN(MAX(ROUND(ROUND('Loonschijven_Tranches salariale'!$Q86*0.65,4)*Basisbedragen!$I$7,2),ROUND(Basisbedragen!$D$38*Basisbedragen!$I$7,2)),ROUND(ROUND(Basisbedragen!$D$27*0.65,4)*Basisbedragen!$I$7,2))+Basisbedragen!$I$10)</f>
        <v>89.06</v>
      </c>
      <c r="P91" s="52">
        <f>IF(MIN(MAX(ROUND(ROUND('Loonschijven_Tranches salariale'!$Q86*0.6,4)*Basisbedragen!$I$7,2),ROUND(Basisbedragen!$D$39*Basisbedragen!$I$7,2)),ROUND(ROUND(Basisbedragen!$D$28*0.6,4)*Basisbedragen!$I$7,2))&lt;= Basisbedragen!$I$8,MIN(MAX(ROUND(ROUND('Loonschijven_Tranches salariale'!$Q86*0.6,4)*Basisbedragen!$I$2,2),ROUND(Basisbedragen!$D$39*Basisbedragen!$I$2,2)),ROUND(ROUND(Basisbedragen!$D$28*0.6,4)*Basisbedragen!$I$2,2)),MIN(MAX(ROUND(ROUND('Loonschijven_Tranches salariale'!$Q86*0.6,4)*Basisbedragen!$I$7,2),ROUND(Basisbedragen!$D$39*Basisbedragen!$I$7,2)),ROUND(ROUND(Basisbedragen!$D$28*0.6,4)*Basisbedragen!$I$7,2))+Basisbedragen!$I$10)</f>
        <v>82.330000000000013</v>
      </c>
      <c r="Q91" s="52">
        <f>MIN(MAX(ROUND(ROUND('Loonschijven_Tranches salariale'!$Q86*0.6,4)*Basisbedragen!$I$2,2),ROUND(Basisbedragen!$D$40*Basisbedragen!$I$2,2)),ROUND(ROUND(Basisbedragen!$D$29*0.6,4)*Basisbedragen!$I$2,2))</f>
        <v>76.81</v>
      </c>
      <c r="S91" s="52">
        <f t="shared" si="7"/>
        <v>42.37</v>
      </c>
      <c r="T91" s="52">
        <f t="shared" si="8"/>
        <v>29.85</v>
      </c>
    </row>
    <row r="92" spans="1:20" ht="15" thickBot="1">
      <c r="A92" s="47">
        <f t="shared" si="10"/>
        <v>80</v>
      </c>
      <c r="C92" s="52">
        <f>IF(MIN(MAX(ROUND(ROUND('Loonschijven_Tranches salariale'!$Q87*0.65,4)*Basisbedragen!$I$7,2),ROUND(Basisbedragen!$D$34*Basisbedragen!$I$7,2)),ROUND(ROUND(Basisbedragen!$D$27*0.65,4)*Basisbedragen!$I$7,2))&lt;= Basisbedragen!$I$8,MIN(MAX(ROUND(ROUND('Loonschijven_Tranches salariale'!$Q87*0.65,4)*Basisbedragen!$I$2,2),ROUND(Basisbedragen!$D$34*Basisbedragen!$I$2,2)),ROUND(ROUND(Basisbedragen!$D$27*0.65,4)*Basisbedragen!$I$2,2)),MIN(MAX(ROUND(ROUND('Loonschijven_Tranches salariale'!$Q87*0.65,4)*Basisbedragen!$I$7,2),ROUND(Basisbedragen!$D$34*Basisbedragen!$I$7,2)),ROUND(ROUND(Basisbedragen!$D$27*0.65,4)*Basisbedragen!$I$7,2))+Basisbedragen!$I$10)</f>
        <v>90.06</v>
      </c>
      <c r="D92" s="52">
        <f>IF(MIN(MAX(ROUND(ROUND('Loonschijven_Tranches salariale'!$Q87*0.6,4)*Basisbedragen!$I$7,2),ROUND(Basisbedragen!$D$34*Basisbedragen!$I$7,2)),ROUND(ROUND(Basisbedragen!$D$28*0.6,4)*Basisbedragen!$I$7,2))&lt;= Basisbedragen!$I$8,MIN(MAX(ROUND(ROUND('Loonschijven_Tranches salariale'!$Q87*0.6,4)*Basisbedragen!$I$2,2),ROUND(Basisbedragen!$D$34*Basisbedragen!$I$2,2)),ROUND(ROUND(Basisbedragen!$D$28*0.6,4)*Basisbedragen!$I$2,2)),MIN(MAX(ROUND(ROUND('Loonschijven_Tranches salariale'!$Q87*0.6,4)*Basisbedragen!$I$7,2),ROUND(Basisbedragen!$D$34*Basisbedragen!$I$7,2)),ROUND(ROUND(Basisbedragen!$D$28*0.6,4)*Basisbedragen!$I$7,2))+Basisbedragen!$I$10)</f>
        <v>83.25</v>
      </c>
      <c r="E92" s="52">
        <f>MIN(MAX(ROUND(ROUND('Loonschijven_Tranches salariale'!$Q87*0.6,4)*Basisbedragen!$I$2,2),ROUND(Basisbedragen!$D$35*Basisbedragen!$I$2,2)),ROUND(ROUND(Basisbedragen!$D$29*0.6,4)*Basisbedragen!$I$2,2))</f>
        <v>76.81</v>
      </c>
      <c r="G92" s="52">
        <f t="shared" si="5"/>
        <v>70.989999999999995</v>
      </c>
      <c r="I92" s="52">
        <f>IF(MIN(MAX(ROUND(ROUND('Loonschijven_Tranches salariale'!$Q87*0.65,4)*Basisbedragen!$I$7,2),ROUND(Basisbedragen!$D$36*Basisbedragen!$I$7,2)),ROUND(ROUND(Basisbedragen!$D$27*0.65,4)*Basisbedragen!$I$7,2))&lt;= Basisbedragen!$I$8,MIN(MAX(ROUND(ROUND('Loonschijven_Tranches salariale'!$Q87*0.65,4)*Basisbedragen!$I$2,2),ROUND(Basisbedragen!$D$36*Basisbedragen!$I$2,2)),ROUND(ROUND(Basisbedragen!$D$27*0.65,4)*Basisbedragen!$I$2,2)),MIN(MAX(ROUND(ROUND('Loonschijven_Tranches salariale'!$Q87*0.65,4)*Basisbedragen!$I$7,2),ROUND(Basisbedragen!$D$36*Basisbedragen!$I$7,2)),ROUND(ROUND(Basisbedragen!$D$27*0.65,4)*Basisbedragen!$I$7,2))+Basisbedragen!$I$10)</f>
        <v>90.06</v>
      </c>
      <c r="J92" s="52">
        <f>IF(MIN(MAX(ROUND(ROUND('Loonschijven_Tranches salariale'!$Q87*0.6,4)*Basisbedragen!$I$7,2),ROUND(Basisbedragen!$D$36*Basisbedragen!$I$7,2)),ROUND(ROUND(Basisbedragen!$D$28*0.6,4)*Basisbedragen!$I$7,2))&lt;= Basisbedragen!$I$8,MIN(MAX(ROUND(ROUND('Loonschijven_Tranches salariale'!$Q87*0.6,4)*Basisbedragen!$I$2,2),ROUND(Basisbedragen!$D$36*Basisbedragen!$I$2,2)),ROUND(ROUND(Basisbedragen!$D$28*0.6,4)*Basisbedragen!$I$2,2)),MIN(MAX(ROUND(ROUND('Loonschijven_Tranches salariale'!$Q87*0.6,4)*Basisbedragen!$I$7,2),ROUND(Basisbedragen!$D$36*Basisbedragen!$I$7,2)),ROUND(ROUND(Basisbedragen!$D$28*0.6,4)*Basisbedragen!$I$7,2))+Basisbedragen!$I$10)</f>
        <v>83.25</v>
      </c>
      <c r="K92" s="52">
        <f>MIN(MAX(ROUND(ROUND('Loonschijven_Tranches salariale'!$Q87*0.6,4)*Basisbedragen!$I$2,2),ROUND(Basisbedragen!$D$37*Basisbedragen!$I$2,2)),ROUND(ROUND(Basisbedragen!$D$29*0.6,4)*Basisbedragen!$I$2,2))</f>
        <v>76.81</v>
      </c>
      <c r="M92" s="52">
        <f t="shared" si="6"/>
        <v>57.53</v>
      </c>
      <c r="O92" s="52">
        <f>IF(MIN(MAX(ROUND(ROUND('Loonschijven_Tranches salariale'!$Q87*0.65,4)*Basisbedragen!$I$7,2),ROUND(Basisbedragen!$D$38*Basisbedragen!$I$7,2)),ROUND(ROUND(Basisbedragen!$D$27*0.65,4)*Basisbedragen!$I$7,2))&lt;= Basisbedragen!$I$8,MIN(MAX(ROUND(ROUND('Loonschijven_Tranches salariale'!$Q87*0.65,4)*Basisbedragen!$I$2,2),ROUND(Basisbedragen!$D$38*Basisbedragen!$I$2,2)),ROUND(ROUND(Basisbedragen!$D$27*0.65,4)*Basisbedragen!$I$2,2)),MIN(MAX(ROUND(ROUND('Loonschijven_Tranches salariale'!$Q87*0.65,4)*Basisbedragen!$I$7,2),ROUND(Basisbedragen!$D$38*Basisbedragen!$I$7,2)),ROUND(ROUND(Basisbedragen!$D$27*0.65,4)*Basisbedragen!$I$7,2))+Basisbedragen!$I$10)</f>
        <v>90.06</v>
      </c>
      <c r="P92" s="52">
        <f>IF(MIN(MAX(ROUND(ROUND('Loonschijven_Tranches salariale'!$Q87*0.6,4)*Basisbedragen!$I$7,2),ROUND(Basisbedragen!$D$39*Basisbedragen!$I$7,2)),ROUND(ROUND(Basisbedragen!$D$28*0.6,4)*Basisbedragen!$I$7,2))&lt;= Basisbedragen!$I$8,MIN(MAX(ROUND(ROUND('Loonschijven_Tranches salariale'!$Q87*0.6,4)*Basisbedragen!$I$2,2),ROUND(Basisbedragen!$D$39*Basisbedragen!$I$2,2)),ROUND(ROUND(Basisbedragen!$D$28*0.6,4)*Basisbedragen!$I$2,2)),MIN(MAX(ROUND(ROUND('Loonschijven_Tranches salariale'!$Q87*0.6,4)*Basisbedragen!$I$7,2),ROUND(Basisbedragen!$D$39*Basisbedragen!$I$7,2)),ROUND(ROUND(Basisbedragen!$D$28*0.6,4)*Basisbedragen!$I$7,2))+Basisbedragen!$I$10)</f>
        <v>83.25</v>
      </c>
      <c r="Q92" s="52">
        <f>MIN(MAX(ROUND(ROUND('Loonschijven_Tranches salariale'!$Q87*0.6,4)*Basisbedragen!$I$2,2),ROUND(Basisbedragen!$D$40*Basisbedragen!$I$2,2)),ROUND(ROUND(Basisbedragen!$D$29*0.6,4)*Basisbedragen!$I$2,2))</f>
        <v>76.81</v>
      </c>
      <c r="S92" s="52">
        <f t="shared" si="7"/>
        <v>42.37</v>
      </c>
      <c r="T92" s="52">
        <f t="shared" si="8"/>
        <v>29.85</v>
      </c>
    </row>
    <row r="93" spans="1:20" ht="15" thickBot="1">
      <c r="A93" s="47">
        <f t="shared" si="10"/>
        <v>81</v>
      </c>
      <c r="C93" s="52">
        <f>IF(MIN(MAX(ROUND(ROUND('Loonschijven_Tranches salariale'!$Q88*0.65,4)*Basisbedragen!$I$7,2),ROUND(Basisbedragen!$D$34*Basisbedragen!$I$7,2)),ROUND(ROUND(Basisbedragen!$D$27*0.65,4)*Basisbedragen!$I$7,2))&lt;= Basisbedragen!$I$8,MIN(MAX(ROUND(ROUND('Loonschijven_Tranches salariale'!$Q88*0.65,4)*Basisbedragen!$I$2,2),ROUND(Basisbedragen!$D$34*Basisbedragen!$I$2,2)),ROUND(ROUND(Basisbedragen!$D$27*0.65,4)*Basisbedragen!$I$2,2)),MIN(MAX(ROUND(ROUND('Loonschijven_Tranches salariale'!$Q88*0.65,4)*Basisbedragen!$I$7,2),ROUND(Basisbedragen!$D$34*Basisbedragen!$I$7,2)),ROUND(ROUND(Basisbedragen!$D$27*0.65,4)*Basisbedragen!$I$7,2))+Basisbedragen!$I$10)</f>
        <v>91.06</v>
      </c>
      <c r="D93" s="52">
        <f>IF(MIN(MAX(ROUND(ROUND('Loonschijven_Tranches salariale'!$Q88*0.6,4)*Basisbedragen!$I$7,2),ROUND(Basisbedragen!$D$34*Basisbedragen!$I$7,2)),ROUND(ROUND(Basisbedragen!$D$28*0.6,4)*Basisbedragen!$I$7,2))&lt;= Basisbedragen!$I$8,MIN(MAX(ROUND(ROUND('Loonschijven_Tranches salariale'!$Q88*0.6,4)*Basisbedragen!$I$2,2),ROUND(Basisbedragen!$D$34*Basisbedragen!$I$2,2)),ROUND(ROUND(Basisbedragen!$D$28*0.6,4)*Basisbedragen!$I$2,2)),MIN(MAX(ROUND(ROUND('Loonschijven_Tranches salariale'!$Q88*0.6,4)*Basisbedragen!$I$7,2),ROUND(Basisbedragen!$D$34*Basisbedragen!$I$7,2)),ROUND(ROUND(Basisbedragen!$D$28*0.6,4)*Basisbedragen!$I$7,2))+Basisbedragen!$I$10)</f>
        <v>84.17</v>
      </c>
      <c r="E93" s="52">
        <f>MIN(MAX(ROUND(ROUND('Loonschijven_Tranches salariale'!$Q88*0.6,4)*Basisbedragen!$I$2,2),ROUND(Basisbedragen!$D$35*Basisbedragen!$I$2,2)),ROUND(ROUND(Basisbedragen!$D$29*0.6,4)*Basisbedragen!$I$2,2))</f>
        <v>76.81</v>
      </c>
      <c r="G93" s="52">
        <f t="shared" si="5"/>
        <v>70.989999999999995</v>
      </c>
      <c r="I93" s="52">
        <f>IF(MIN(MAX(ROUND(ROUND('Loonschijven_Tranches salariale'!$Q88*0.65,4)*Basisbedragen!$I$7,2),ROUND(Basisbedragen!$D$36*Basisbedragen!$I$7,2)),ROUND(ROUND(Basisbedragen!$D$27*0.65,4)*Basisbedragen!$I$7,2))&lt;= Basisbedragen!$I$8,MIN(MAX(ROUND(ROUND('Loonschijven_Tranches salariale'!$Q88*0.65,4)*Basisbedragen!$I$2,2),ROUND(Basisbedragen!$D$36*Basisbedragen!$I$2,2)),ROUND(ROUND(Basisbedragen!$D$27*0.65,4)*Basisbedragen!$I$2,2)),MIN(MAX(ROUND(ROUND('Loonschijven_Tranches salariale'!$Q88*0.65,4)*Basisbedragen!$I$7,2),ROUND(Basisbedragen!$D$36*Basisbedragen!$I$7,2)),ROUND(ROUND(Basisbedragen!$D$27*0.65,4)*Basisbedragen!$I$7,2))+Basisbedragen!$I$10)</f>
        <v>91.06</v>
      </c>
      <c r="J93" s="52">
        <f>IF(MIN(MAX(ROUND(ROUND('Loonschijven_Tranches salariale'!$Q88*0.6,4)*Basisbedragen!$I$7,2),ROUND(Basisbedragen!$D$36*Basisbedragen!$I$7,2)),ROUND(ROUND(Basisbedragen!$D$28*0.6,4)*Basisbedragen!$I$7,2))&lt;= Basisbedragen!$I$8,MIN(MAX(ROUND(ROUND('Loonschijven_Tranches salariale'!$Q88*0.6,4)*Basisbedragen!$I$2,2),ROUND(Basisbedragen!$D$36*Basisbedragen!$I$2,2)),ROUND(ROUND(Basisbedragen!$D$28*0.6,4)*Basisbedragen!$I$2,2)),MIN(MAX(ROUND(ROUND('Loonschijven_Tranches salariale'!$Q88*0.6,4)*Basisbedragen!$I$7,2),ROUND(Basisbedragen!$D$36*Basisbedragen!$I$7,2)),ROUND(ROUND(Basisbedragen!$D$28*0.6,4)*Basisbedragen!$I$7,2))+Basisbedragen!$I$10)</f>
        <v>84.17</v>
      </c>
      <c r="K93" s="52">
        <f>MIN(MAX(ROUND(ROUND('Loonschijven_Tranches salariale'!$Q88*0.6,4)*Basisbedragen!$I$2,2),ROUND(Basisbedragen!$D$37*Basisbedragen!$I$2,2)),ROUND(ROUND(Basisbedragen!$D$29*0.6,4)*Basisbedragen!$I$2,2))</f>
        <v>76.81</v>
      </c>
      <c r="M93" s="52">
        <f t="shared" si="6"/>
        <v>57.53</v>
      </c>
      <c r="O93" s="52">
        <f>IF(MIN(MAX(ROUND(ROUND('Loonschijven_Tranches salariale'!$Q88*0.65,4)*Basisbedragen!$I$7,2),ROUND(Basisbedragen!$D$38*Basisbedragen!$I$7,2)),ROUND(ROUND(Basisbedragen!$D$27*0.65,4)*Basisbedragen!$I$7,2))&lt;= Basisbedragen!$I$8,MIN(MAX(ROUND(ROUND('Loonschijven_Tranches salariale'!$Q88*0.65,4)*Basisbedragen!$I$2,2),ROUND(Basisbedragen!$D$38*Basisbedragen!$I$2,2)),ROUND(ROUND(Basisbedragen!$D$27*0.65,4)*Basisbedragen!$I$2,2)),MIN(MAX(ROUND(ROUND('Loonschijven_Tranches salariale'!$Q88*0.65,4)*Basisbedragen!$I$7,2),ROUND(Basisbedragen!$D$38*Basisbedragen!$I$7,2)),ROUND(ROUND(Basisbedragen!$D$27*0.65,4)*Basisbedragen!$I$7,2))+Basisbedragen!$I$10)</f>
        <v>91.06</v>
      </c>
      <c r="P93" s="52">
        <f>IF(MIN(MAX(ROUND(ROUND('Loonschijven_Tranches salariale'!$Q88*0.6,4)*Basisbedragen!$I$7,2),ROUND(Basisbedragen!$D$39*Basisbedragen!$I$7,2)),ROUND(ROUND(Basisbedragen!$D$28*0.6,4)*Basisbedragen!$I$7,2))&lt;= Basisbedragen!$I$8,MIN(MAX(ROUND(ROUND('Loonschijven_Tranches salariale'!$Q88*0.6,4)*Basisbedragen!$I$2,2),ROUND(Basisbedragen!$D$39*Basisbedragen!$I$2,2)),ROUND(ROUND(Basisbedragen!$D$28*0.6,4)*Basisbedragen!$I$2,2)),MIN(MAX(ROUND(ROUND('Loonschijven_Tranches salariale'!$Q88*0.6,4)*Basisbedragen!$I$7,2),ROUND(Basisbedragen!$D$39*Basisbedragen!$I$7,2)),ROUND(ROUND(Basisbedragen!$D$28*0.6,4)*Basisbedragen!$I$7,2))+Basisbedragen!$I$10)</f>
        <v>84.17</v>
      </c>
      <c r="Q93" s="52">
        <f>MIN(MAX(ROUND(ROUND('Loonschijven_Tranches salariale'!$Q88*0.6,4)*Basisbedragen!$I$2,2),ROUND(Basisbedragen!$D$40*Basisbedragen!$I$2,2)),ROUND(ROUND(Basisbedragen!$D$29*0.6,4)*Basisbedragen!$I$2,2))</f>
        <v>76.81</v>
      </c>
      <c r="S93" s="52">
        <f t="shared" si="7"/>
        <v>42.37</v>
      </c>
      <c r="T93" s="52">
        <f t="shared" si="8"/>
        <v>29.85</v>
      </c>
    </row>
    <row r="94" spans="1:20" ht="15" thickBot="1">
      <c r="A94" s="47">
        <f t="shared" si="10"/>
        <v>82</v>
      </c>
      <c r="C94" s="52">
        <f>IF(MIN(MAX(ROUND(ROUND('Loonschijven_Tranches salariale'!$Q89*0.65,4)*Basisbedragen!$I$7,2),ROUND(Basisbedragen!$D$34*Basisbedragen!$I$7,2)),ROUND(ROUND(Basisbedragen!$D$27*0.65,4)*Basisbedragen!$I$7,2))&lt;= Basisbedragen!$I$8,MIN(MAX(ROUND(ROUND('Loonschijven_Tranches salariale'!$Q89*0.65,4)*Basisbedragen!$I$2,2),ROUND(Basisbedragen!$D$34*Basisbedragen!$I$2,2)),ROUND(ROUND(Basisbedragen!$D$27*0.65,4)*Basisbedragen!$I$2,2)),MIN(MAX(ROUND(ROUND('Loonschijven_Tranches salariale'!$Q89*0.65,4)*Basisbedragen!$I$7,2),ROUND(Basisbedragen!$D$34*Basisbedragen!$I$7,2)),ROUND(ROUND(Basisbedragen!$D$27*0.65,4)*Basisbedragen!$I$7,2))+Basisbedragen!$I$10)</f>
        <v>92.050000000000011</v>
      </c>
      <c r="D94" s="52">
        <f>IF(MIN(MAX(ROUND(ROUND('Loonschijven_Tranches salariale'!$Q89*0.6,4)*Basisbedragen!$I$7,2),ROUND(Basisbedragen!$D$34*Basisbedragen!$I$7,2)),ROUND(ROUND(Basisbedragen!$D$28*0.6,4)*Basisbedragen!$I$7,2))&lt;= Basisbedragen!$I$8,MIN(MAX(ROUND(ROUND('Loonschijven_Tranches salariale'!$Q89*0.6,4)*Basisbedragen!$I$2,2),ROUND(Basisbedragen!$D$34*Basisbedragen!$I$2,2)),ROUND(ROUND(Basisbedragen!$D$28*0.6,4)*Basisbedragen!$I$2,2)),MIN(MAX(ROUND(ROUND('Loonschijven_Tranches salariale'!$Q89*0.6,4)*Basisbedragen!$I$7,2),ROUND(Basisbedragen!$D$34*Basisbedragen!$I$7,2)),ROUND(ROUND(Basisbedragen!$D$28*0.6,4)*Basisbedragen!$I$7,2))+Basisbedragen!$I$10)</f>
        <v>85.09</v>
      </c>
      <c r="E94" s="52">
        <f>MIN(MAX(ROUND(ROUND('Loonschijven_Tranches salariale'!$Q89*0.6,4)*Basisbedragen!$I$2,2),ROUND(Basisbedragen!$D$35*Basisbedragen!$I$2,2)),ROUND(ROUND(Basisbedragen!$D$29*0.6,4)*Basisbedragen!$I$2,2))</f>
        <v>76.81</v>
      </c>
      <c r="G94" s="52">
        <f t="shared" si="5"/>
        <v>70.989999999999995</v>
      </c>
      <c r="I94" s="52">
        <f>IF(MIN(MAX(ROUND(ROUND('Loonschijven_Tranches salariale'!$Q89*0.65,4)*Basisbedragen!$I$7,2),ROUND(Basisbedragen!$D$36*Basisbedragen!$I$7,2)),ROUND(ROUND(Basisbedragen!$D$27*0.65,4)*Basisbedragen!$I$7,2))&lt;= Basisbedragen!$I$8,MIN(MAX(ROUND(ROUND('Loonschijven_Tranches salariale'!$Q89*0.65,4)*Basisbedragen!$I$2,2),ROUND(Basisbedragen!$D$36*Basisbedragen!$I$2,2)),ROUND(ROUND(Basisbedragen!$D$27*0.65,4)*Basisbedragen!$I$2,2)),MIN(MAX(ROUND(ROUND('Loonschijven_Tranches salariale'!$Q89*0.65,4)*Basisbedragen!$I$7,2),ROUND(Basisbedragen!$D$36*Basisbedragen!$I$7,2)),ROUND(ROUND(Basisbedragen!$D$27*0.65,4)*Basisbedragen!$I$7,2))+Basisbedragen!$I$10)</f>
        <v>92.050000000000011</v>
      </c>
      <c r="J94" s="52">
        <f>IF(MIN(MAX(ROUND(ROUND('Loonschijven_Tranches salariale'!$Q89*0.6,4)*Basisbedragen!$I$7,2),ROUND(Basisbedragen!$D$36*Basisbedragen!$I$7,2)),ROUND(ROUND(Basisbedragen!$D$28*0.6,4)*Basisbedragen!$I$7,2))&lt;= Basisbedragen!$I$8,MIN(MAX(ROUND(ROUND('Loonschijven_Tranches salariale'!$Q89*0.6,4)*Basisbedragen!$I$2,2),ROUND(Basisbedragen!$D$36*Basisbedragen!$I$2,2)),ROUND(ROUND(Basisbedragen!$D$28*0.6,4)*Basisbedragen!$I$2,2)),MIN(MAX(ROUND(ROUND('Loonschijven_Tranches salariale'!$Q89*0.6,4)*Basisbedragen!$I$7,2),ROUND(Basisbedragen!$D$36*Basisbedragen!$I$7,2)),ROUND(ROUND(Basisbedragen!$D$28*0.6,4)*Basisbedragen!$I$7,2))+Basisbedragen!$I$10)</f>
        <v>85.09</v>
      </c>
      <c r="K94" s="52">
        <f>MIN(MAX(ROUND(ROUND('Loonschijven_Tranches salariale'!$Q89*0.6,4)*Basisbedragen!$I$2,2),ROUND(Basisbedragen!$D$37*Basisbedragen!$I$2,2)),ROUND(ROUND(Basisbedragen!$D$29*0.6,4)*Basisbedragen!$I$2,2))</f>
        <v>76.81</v>
      </c>
      <c r="M94" s="52">
        <f t="shared" si="6"/>
        <v>57.53</v>
      </c>
      <c r="O94" s="52">
        <f>IF(MIN(MAX(ROUND(ROUND('Loonschijven_Tranches salariale'!$Q89*0.65,4)*Basisbedragen!$I$7,2),ROUND(Basisbedragen!$D$38*Basisbedragen!$I$7,2)),ROUND(ROUND(Basisbedragen!$D$27*0.65,4)*Basisbedragen!$I$7,2))&lt;= Basisbedragen!$I$8,MIN(MAX(ROUND(ROUND('Loonschijven_Tranches salariale'!$Q89*0.65,4)*Basisbedragen!$I$2,2),ROUND(Basisbedragen!$D$38*Basisbedragen!$I$2,2)),ROUND(ROUND(Basisbedragen!$D$27*0.65,4)*Basisbedragen!$I$2,2)),MIN(MAX(ROUND(ROUND('Loonschijven_Tranches salariale'!$Q89*0.65,4)*Basisbedragen!$I$7,2),ROUND(Basisbedragen!$D$38*Basisbedragen!$I$7,2)),ROUND(ROUND(Basisbedragen!$D$27*0.65,4)*Basisbedragen!$I$7,2))+Basisbedragen!$I$10)</f>
        <v>92.050000000000011</v>
      </c>
      <c r="P94" s="52">
        <f>IF(MIN(MAX(ROUND(ROUND('Loonschijven_Tranches salariale'!$Q89*0.6,4)*Basisbedragen!$I$7,2),ROUND(Basisbedragen!$D$39*Basisbedragen!$I$7,2)),ROUND(ROUND(Basisbedragen!$D$28*0.6,4)*Basisbedragen!$I$7,2))&lt;= Basisbedragen!$I$8,MIN(MAX(ROUND(ROUND('Loonschijven_Tranches salariale'!$Q89*0.6,4)*Basisbedragen!$I$2,2),ROUND(Basisbedragen!$D$39*Basisbedragen!$I$2,2)),ROUND(ROUND(Basisbedragen!$D$28*0.6,4)*Basisbedragen!$I$2,2)),MIN(MAX(ROUND(ROUND('Loonschijven_Tranches salariale'!$Q89*0.6,4)*Basisbedragen!$I$7,2),ROUND(Basisbedragen!$D$39*Basisbedragen!$I$7,2)),ROUND(ROUND(Basisbedragen!$D$28*0.6,4)*Basisbedragen!$I$7,2))+Basisbedragen!$I$10)</f>
        <v>85.09</v>
      </c>
      <c r="Q94" s="52">
        <f>MIN(MAX(ROUND(ROUND('Loonschijven_Tranches salariale'!$Q89*0.6,4)*Basisbedragen!$I$2,2),ROUND(Basisbedragen!$D$40*Basisbedragen!$I$2,2)),ROUND(ROUND(Basisbedragen!$D$29*0.6,4)*Basisbedragen!$I$2,2))</f>
        <v>76.81</v>
      </c>
      <c r="S94" s="52">
        <f t="shared" si="7"/>
        <v>42.37</v>
      </c>
      <c r="T94" s="52">
        <f t="shared" si="8"/>
        <v>29.85</v>
      </c>
    </row>
    <row r="95" spans="1:20" ht="15" thickBot="1">
      <c r="A95" s="47">
        <f t="shared" si="10"/>
        <v>83</v>
      </c>
      <c r="C95" s="52">
        <f>IF(MIN(MAX(ROUND(ROUND('Loonschijven_Tranches salariale'!$Q90*0.65,4)*Basisbedragen!$I$7,2),ROUND(Basisbedragen!$D$34*Basisbedragen!$I$7,2)),ROUND(ROUND(Basisbedragen!$D$27*0.65,4)*Basisbedragen!$I$7,2))&lt;= Basisbedragen!$I$8,MIN(MAX(ROUND(ROUND('Loonschijven_Tranches salariale'!$Q90*0.65,4)*Basisbedragen!$I$2,2),ROUND(Basisbedragen!$D$34*Basisbedragen!$I$2,2)),ROUND(ROUND(Basisbedragen!$D$27*0.65,4)*Basisbedragen!$I$2,2)),MIN(MAX(ROUND(ROUND('Loonschijven_Tranches salariale'!$Q90*0.65,4)*Basisbedragen!$I$7,2),ROUND(Basisbedragen!$D$34*Basisbedragen!$I$7,2)),ROUND(ROUND(Basisbedragen!$D$27*0.65,4)*Basisbedragen!$I$7,2))+Basisbedragen!$I$10)</f>
        <v>93.050000000000011</v>
      </c>
      <c r="D95" s="52">
        <f>IF(MIN(MAX(ROUND(ROUND('Loonschijven_Tranches salariale'!$Q90*0.6,4)*Basisbedragen!$I$7,2),ROUND(Basisbedragen!$D$34*Basisbedragen!$I$7,2)),ROUND(ROUND(Basisbedragen!$D$28*0.6,4)*Basisbedragen!$I$7,2))&lt;= Basisbedragen!$I$8,MIN(MAX(ROUND(ROUND('Loonschijven_Tranches salariale'!$Q90*0.6,4)*Basisbedragen!$I$2,2),ROUND(Basisbedragen!$D$34*Basisbedragen!$I$2,2)),ROUND(ROUND(Basisbedragen!$D$28*0.6,4)*Basisbedragen!$I$2,2)),MIN(MAX(ROUND(ROUND('Loonschijven_Tranches salariale'!$Q90*0.6,4)*Basisbedragen!$I$7,2),ROUND(Basisbedragen!$D$34*Basisbedragen!$I$7,2)),ROUND(ROUND(Basisbedragen!$D$28*0.6,4)*Basisbedragen!$I$7,2))+Basisbedragen!$I$10)</f>
        <v>86.01</v>
      </c>
      <c r="E95" s="52">
        <f>MIN(MAX(ROUND(ROUND('Loonschijven_Tranches salariale'!$Q90*0.6,4)*Basisbedragen!$I$2,2),ROUND(Basisbedragen!$D$35*Basisbedragen!$I$2,2)),ROUND(ROUND(Basisbedragen!$D$29*0.6,4)*Basisbedragen!$I$2,2))</f>
        <v>76.81</v>
      </c>
      <c r="G95" s="52">
        <f t="shared" si="5"/>
        <v>70.989999999999995</v>
      </c>
      <c r="I95" s="52">
        <f>IF(MIN(MAX(ROUND(ROUND('Loonschijven_Tranches salariale'!$Q90*0.65,4)*Basisbedragen!$I$7,2),ROUND(Basisbedragen!$D$36*Basisbedragen!$I$7,2)),ROUND(ROUND(Basisbedragen!$D$27*0.65,4)*Basisbedragen!$I$7,2))&lt;= Basisbedragen!$I$8,MIN(MAX(ROUND(ROUND('Loonschijven_Tranches salariale'!$Q90*0.65,4)*Basisbedragen!$I$2,2),ROUND(Basisbedragen!$D$36*Basisbedragen!$I$2,2)),ROUND(ROUND(Basisbedragen!$D$27*0.65,4)*Basisbedragen!$I$2,2)),MIN(MAX(ROUND(ROUND('Loonschijven_Tranches salariale'!$Q90*0.65,4)*Basisbedragen!$I$7,2),ROUND(Basisbedragen!$D$36*Basisbedragen!$I$7,2)),ROUND(ROUND(Basisbedragen!$D$27*0.65,4)*Basisbedragen!$I$7,2))+Basisbedragen!$I$10)</f>
        <v>93.050000000000011</v>
      </c>
      <c r="J95" s="52">
        <f>IF(MIN(MAX(ROUND(ROUND('Loonschijven_Tranches salariale'!$Q90*0.6,4)*Basisbedragen!$I$7,2),ROUND(Basisbedragen!$D$36*Basisbedragen!$I$7,2)),ROUND(ROUND(Basisbedragen!$D$28*0.6,4)*Basisbedragen!$I$7,2))&lt;= Basisbedragen!$I$8,MIN(MAX(ROUND(ROUND('Loonschijven_Tranches salariale'!$Q90*0.6,4)*Basisbedragen!$I$2,2),ROUND(Basisbedragen!$D$36*Basisbedragen!$I$2,2)),ROUND(ROUND(Basisbedragen!$D$28*0.6,4)*Basisbedragen!$I$2,2)),MIN(MAX(ROUND(ROUND('Loonschijven_Tranches salariale'!$Q90*0.6,4)*Basisbedragen!$I$7,2),ROUND(Basisbedragen!$D$36*Basisbedragen!$I$7,2)),ROUND(ROUND(Basisbedragen!$D$28*0.6,4)*Basisbedragen!$I$7,2))+Basisbedragen!$I$10)</f>
        <v>86.01</v>
      </c>
      <c r="K95" s="52">
        <f>MIN(MAX(ROUND(ROUND('Loonschijven_Tranches salariale'!$Q90*0.6,4)*Basisbedragen!$I$2,2),ROUND(Basisbedragen!$D$37*Basisbedragen!$I$2,2)),ROUND(ROUND(Basisbedragen!$D$29*0.6,4)*Basisbedragen!$I$2,2))</f>
        <v>76.81</v>
      </c>
      <c r="M95" s="52">
        <f t="shared" si="6"/>
        <v>57.53</v>
      </c>
      <c r="O95" s="52">
        <f>IF(MIN(MAX(ROUND(ROUND('Loonschijven_Tranches salariale'!$Q90*0.65,4)*Basisbedragen!$I$7,2),ROUND(Basisbedragen!$D$38*Basisbedragen!$I$7,2)),ROUND(ROUND(Basisbedragen!$D$27*0.65,4)*Basisbedragen!$I$7,2))&lt;= Basisbedragen!$I$8,MIN(MAX(ROUND(ROUND('Loonschijven_Tranches salariale'!$Q90*0.65,4)*Basisbedragen!$I$2,2),ROUND(Basisbedragen!$D$38*Basisbedragen!$I$2,2)),ROUND(ROUND(Basisbedragen!$D$27*0.65,4)*Basisbedragen!$I$2,2)),MIN(MAX(ROUND(ROUND('Loonschijven_Tranches salariale'!$Q90*0.65,4)*Basisbedragen!$I$7,2),ROUND(Basisbedragen!$D$38*Basisbedragen!$I$7,2)),ROUND(ROUND(Basisbedragen!$D$27*0.65,4)*Basisbedragen!$I$7,2))+Basisbedragen!$I$10)</f>
        <v>93.050000000000011</v>
      </c>
      <c r="P95" s="52">
        <f>IF(MIN(MAX(ROUND(ROUND('Loonschijven_Tranches salariale'!$Q90*0.6,4)*Basisbedragen!$I$7,2),ROUND(Basisbedragen!$D$39*Basisbedragen!$I$7,2)),ROUND(ROUND(Basisbedragen!$D$28*0.6,4)*Basisbedragen!$I$7,2))&lt;= Basisbedragen!$I$8,MIN(MAX(ROUND(ROUND('Loonschijven_Tranches salariale'!$Q90*0.6,4)*Basisbedragen!$I$2,2),ROUND(Basisbedragen!$D$39*Basisbedragen!$I$2,2)),ROUND(ROUND(Basisbedragen!$D$28*0.6,4)*Basisbedragen!$I$2,2)),MIN(MAX(ROUND(ROUND('Loonschijven_Tranches salariale'!$Q90*0.6,4)*Basisbedragen!$I$7,2),ROUND(Basisbedragen!$D$39*Basisbedragen!$I$7,2)),ROUND(ROUND(Basisbedragen!$D$28*0.6,4)*Basisbedragen!$I$7,2))+Basisbedragen!$I$10)</f>
        <v>86.01</v>
      </c>
      <c r="Q95" s="52">
        <f>MIN(MAX(ROUND(ROUND('Loonschijven_Tranches salariale'!$Q90*0.6,4)*Basisbedragen!$I$2,2),ROUND(Basisbedragen!$D$40*Basisbedragen!$I$2,2)),ROUND(ROUND(Basisbedragen!$D$29*0.6,4)*Basisbedragen!$I$2,2))</f>
        <v>76.81</v>
      </c>
      <c r="S95" s="52">
        <f t="shared" si="7"/>
        <v>42.37</v>
      </c>
      <c r="T95" s="52">
        <f t="shared" si="8"/>
        <v>29.85</v>
      </c>
    </row>
    <row r="96" spans="1:20" ht="15" thickBot="1">
      <c r="A96" s="47">
        <f t="shared" si="10"/>
        <v>84</v>
      </c>
      <c r="C96" s="52">
        <f>IF(MIN(MAX(ROUND(ROUND('Loonschijven_Tranches salariale'!$Q91*0.65,4)*Basisbedragen!$I$7,2),ROUND(Basisbedragen!$D$34*Basisbedragen!$I$7,2)),ROUND(ROUND(Basisbedragen!$D$27*0.65,4)*Basisbedragen!$I$7,2))&lt;= Basisbedragen!$I$8,MIN(MAX(ROUND(ROUND('Loonschijven_Tranches salariale'!$Q91*0.65,4)*Basisbedragen!$I$2,2),ROUND(Basisbedragen!$D$34*Basisbedragen!$I$2,2)),ROUND(ROUND(Basisbedragen!$D$27*0.65,4)*Basisbedragen!$I$2,2)),MIN(MAX(ROUND(ROUND('Loonschijven_Tranches salariale'!$Q91*0.65,4)*Basisbedragen!$I$7,2),ROUND(Basisbedragen!$D$34*Basisbedragen!$I$7,2)),ROUND(ROUND(Basisbedragen!$D$27*0.65,4)*Basisbedragen!$I$7,2))+Basisbedragen!$I$10)</f>
        <v>94.050000000000011</v>
      </c>
      <c r="D96" s="52">
        <f>IF(MIN(MAX(ROUND(ROUND('Loonschijven_Tranches salariale'!$Q91*0.6,4)*Basisbedragen!$I$7,2),ROUND(Basisbedragen!$D$34*Basisbedragen!$I$7,2)),ROUND(ROUND(Basisbedragen!$D$28*0.6,4)*Basisbedragen!$I$7,2))&lt;= Basisbedragen!$I$8,MIN(MAX(ROUND(ROUND('Loonschijven_Tranches salariale'!$Q91*0.6,4)*Basisbedragen!$I$2,2),ROUND(Basisbedragen!$D$34*Basisbedragen!$I$2,2)),ROUND(ROUND(Basisbedragen!$D$28*0.6,4)*Basisbedragen!$I$2,2)),MIN(MAX(ROUND(ROUND('Loonschijven_Tranches salariale'!$Q91*0.6,4)*Basisbedragen!$I$7,2),ROUND(Basisbedragen!$D$34*Basisbedragen!$I$7,2)),ROUND(ROUND(Basisbedragen!$D$28*0.6,4)*Basisbedragen!$I$7,2))+Basisbedragen!$I$10)</f>
        <v>86.93</v>
      </c>
      <c r="E96" s="52">
        <f>MIN(MAX(ROUND(ROUND('Loonschijven_Tranches salariale'!$Q91*0.6,4)*Basisbedragen!$I$2,2),ROUND(Basisbedragen!$D$35*Basisbedragen!$I$2,2)),ROUND(ROUND(Basisbedragen!$D$29*0.6,4)*Basisbedragen!$I$2,2))</f>
        <v>76.81</v>
      </c>
      <c r="G96" s="52">
        <f t="shared" si="5"/>
        <v>70.989999999999995</v>
      </c>
      <c r="I96" s="52">
        <f>IF(MIN(MAX(ROUND(ROUND('Loonschijven_Tranches salariale'!$Q91*0.65,4)*Basisbedragen!$I$7,2),ROUND(Basisbedragen!$D$36*Basisbedragen!$I$7,2)),ROUND(ROUND(Basisbedragen!$D$27*0.65,4)*Basisbedragen!$I$7,2))&lt;= Basisbedragen!$I$8,MIN(MAX(ROUND(ROUND('Loonschijven_Tranches salariale'!$Q91*0.65,4)*Basisbedragen!$I$2,2),ROUND(Basisbedragen!$D$36*Basisbedragen!$I$2,2)),ROUND(ROUND(Basisbedragen!$D$27*0.65,4)*Basisbedragen!$I$2,2)),MIN(MAX(ROUND(ROUND('Loonschijven_Tranches salariale'!$Q91*0.65,4)*Basisbedragen!$I$7,2),ROUND(Basisbedragen!$D$36*Basisbedragen!$I$7,2)),ROUND(ROUND(Basisbedragen!$D$27*0.65,4)*Basisbedragen!$I$7,2))+Basisbedragen!$I$10)</f>
        <v>94.050000000000011</v>
      </c>
      <c r="J96" s="52">
        <f>IF(MIN(MAX(ROUND(ROUND('Loonschijven_Tranches salariale'!$Q91*0.6,4)*Basisbedragen!$I$7,2),ROUND(Basisbedragen!$D$36*Basisbedragen!$I$7,2)),ROUND(ROUND(Basisbedragen!$D$28*0.6,4)*Basisbedragen!$I$7,2))&lt;= Basisbedragen!$I$8,MIN(MAX(ROUND(ROUND('Loonschijven_Tranches salariale'!$Q91*0.6,4)*Basisbedragen!$I$2,2),ROUND(Basisbedragen!$D$36*Basisbedragen!$I$2,2)),ROUND(ROUND(Basisbedragen!$D$28*0.6,4)*Basisbedragen!$I$2,2)),MIN(MAX(ROUND(ROUND('Loonschijven_Tranches salariale'!$Q91*0.6,4)*Basisbedragen!$I$7,2),ROUND(Basisbedragen!$D$36*Basisbedragen!$I$7,2)),ROUND(ROUND(Basisbedragen!$D$28*0.6,4)*Basisbedragen!$I$7,2))+Basisbedragen!$I$10)</f>
        <v>86.93</v>
      </c>
      <c r="K96" s="52">
        <f>MIN(MAX(ROUND(ROUND('Loonschijven_Tranches salariale'!$Q91*0.6,4)*Basisbedragen!$I$2,2),ROUND(Basisbedragen!$D$37*Basisbedragen!$I$2,2)),ROUND(ROUND(Basisbedragen!$D$29*0.6,4)*Basisbedragen!$I$2,2))</f>
        <v>76.81</v>
      </c>
      <c r="M96" s="52">
        <f t="shared" si="6"/>
        <v>57.53</v>
      </c>
      <c r="O96" s="52">
        <f>IF(MIN(MAX(ROUND(ROUND('Loonschijven_Tranches salariale'!$Q91*0.65,4)*Basisbedragen!$I$7,2),ROUND(Basisbedragen!$D$38*Basisbedragen!$I$7,2)),ROUND(ROUND(Basisbedragen!$D$27*0.65,4)*Basisbedragen!$I$7,2))&lt;= Basisbedragen!$I$8,MIN(MAX(ROUND(ROUND('Loonschijven_Tranches salariale'!$Q91*0.65,4)*Basisbedragen!$I$2,2),ROUND(Basisbedragen!$D$38*Basisbedragen!$I$2,2)),ROUND(ROUND(Basisbedragen!$D$27*0.65,4)*Basisbedragen!$I$2,2)),MIN(MAX(ROUND(ROUND('Loonschijven_Tranches salariale'!$Q91*0.65,4)*Basisbedragen!$I$7,2),ROUND(Basisbedragen!$D$38*Basisbedragen!$I$7,2)),ROUND(ROUND(Basisbedragen!$D$27*0.65,4)*Basisbedragen!$I$7,2))+Basisbedragen!$I$10)</f>
        <v>94.050000000000011</v>
      </c>
      <c r="P96" s="52">
        <f>IF(MIN(MAX(ROUND(ROUND('Loonschijven_Tranches salariale'!$Q91*0.6,4)*Basisbedragen!$I$7,2),ROUND(Basisbedragen!$D$39*Basisbedragen!$I$7,2)),ROUND(ROUND(Basisbedragen!$D$28*0.6,4)*Basisbedragen!$I$7,2))&lt;= Basisbedragen!$I$8,MIN(MAX(ROUND(ROUND('Loonschijven_Tranches salariale'!$Q91*0.6,4)*Basisbedragen!$I$2,2),ROUND(Basisbedragen!$D$39*Basisbedragen!$I$2,2)),ROUND(ROUND(Basisbedragen!$D$28*0.6,4)*Basisbedragen!$I$2,2)),MIN(MAX(ROUND(ROUND('Loonschijven_Tranches salariale'!$Q91*0.6,4)*Basisbedragen!$I$7,2),ROUND(Basisbedragen!$D$39*Basisbedragen!$I$7,2)),ROUND(ROUND(Basisbedragen!$D$28*0.6,4)*Basisbedragen!$I$7,2))+Basisbedragen!$I$10)</f>
        <v>86.93</v>
      </c>
      <c r="Q96" s="52">
        <f>MIN(MAX(ROUND(ROUND('Loonschijven_Tranches salariale'!$Q91*0.6,4)*Basisbedragen!$I$2,2),ROUND(Basisbedragen!$D$40*Basisbedragen!$I$2,2)),ROUND(ROUND(Basisbedragen!$D$29*0.6,4)*Basisbedragen!$I$2,2))</f>
        <v>76.81</v>
      </c>
      <c r="S96" s="52">
        <f t="shared" si="7"/>
        <v>42.37</v>
      </c>
      <c r="T96" s="52">
        <f t="shared" si="8"/>
        <v>29.85</v>
      </c>
    </row>
    <row r="97" spans="1:20" ht="15" thickBot="1">
      <c r="A97" s="47">
        <f t="shared" si="10"/>
        <v>85</v>
      </c>
      <c r="C97" s="52">
        <f>IF(MIN(MAX(ROUND(ROUND('Loonschijven_Tranches salariale'!$Q92*0.65,4)*Basisbedragen!$I$7,2),ROUND(Basisbedragen!$D$34*Basisbedragen!$I$7,2)),ROUND(ROUND(Basisbedragen!$D$27*0.65,4)*Basisbedragen!$I$7,2))&lt;= Basisbedragen!$I$8,MIN(MAX(ROUND(ROUND('Loonschijven_Tranches salariale'!$Q92*0.65,4)*Basisbedragen!$I$2,2),ROUND(Basisbedragen!$D$34*Basisbedragen!$I$2,2)),ROUND(ROUND(Basisbedragen!$D$27*0.65,4)*Basisbedragen!$I$2,2)),MIN(MAX(ROUND(ROUND('Loonschijven_Tranches salariale'!$Q92*0.65,4)*Basisbedragen!$I$7,2),ROUND(Basisbedragen!$D$34*Basisbedragen!$I$7,2)),ROUND(ROUND(Basisbedragen!$D$27*0.65,4)*Basisbedragen!$I$7,2))+Basisbedragen!$I$10)</f>
        <v>95.04</v>
      </c>
      <c r="D97" s="52">
        <f>IF(MIN(MAX(ROUND(ROUND('Loonschijven_Tranches salariale'!$Q92*0.6,4)*Basisbedragen!$I$7,2),ROUND(Basisbedragen!$D$34*Basisbedragen!$I$7,2)),ROUND(ROUND(Basisbedragen!$D$28*0.6,4)*Basisbedragen!$I$7,2))&lt;= Basisbedragen!$I$8,MIN(MAX(ROUND(ROUND('Loonschijven_Tranches salariale'!$Q92*0.6,4)*Basisbedragen!$I$2,2),ROUND(Basisbedragen!$D$34*Basisbedragen!$I$2,2)),ROUND(ROUND(Basisbedragen!$D$28*0.6,4)*Basisbedragen!$I$2,2)),MIN(MAX(ROUND(ROUND('Loonschijven_Tranches salariale'!$Q92*0.6,4)*Basisbedragen!$I$7,2),ROUND(Basisbedragen!$D$34*Basisbedragen!$I$7,2)),ROUND(ROUND(Basisbedragen!$D$28*0.6,4)*Basisbedragen!$I$7,2))+Basisbedragen!$I$10)</f>
        <v>87.850000000000009</v>
      </c>
      <c r="E97" s="52">
        <f>MIN(MAX(ROUND(ROUND('Loonschijven_Tranches salariale'!$Q92*0.6,4)*Basisbedragen!$I$2,2),ROUND(Basisbedragen!$D$35*Basisbedragen!$I$2,2)),ROUND(ROUND(Basisbedragen!$D$29*0.6,4)*Basisbedragen!$I$2,2))</f>
        <v>76.81</v>
      </c>
      <c r="G97" s="52">
        <f t="shared" si="5"/>
        <v>70.989999999999995</v>
      </c>
      <c r="I97" s="52">
        <f>IF(MIN(MAX(ROUND(ROUND('Loonschijven_Tranches salariale'!$Q92*0.65,4)*Basisbedragen!$I$7,2),ROUND(Basisbedragen!$D$36*Basisbedragen!$I$7,2)),ROUND(ROUND(Basisbedragen!$D$27*0.65,4)*Basisbedragen!$I$7,2))&lt;= Basisbedragen!$I$8,MIN(MAX(ROUND(ROUND('Loonschijven_Tranches salariale'!$Q92*0.65,4)*Basisbedragen!$I$2,2),ROUND(Basisbedragen!$D$36*Basisbedragen!$I$2,2)),ROUND(ROUND(Basisbedragen!$D$27*0.65,4)*Basisbedragen!$I$2,2)),MIN(MAX(ROUND(ROUND('Loonschijven_Tranches salariale'!$Q92*0.65,4)*Basisbedragen!$I$7,2),ROUND(Basisbedragen!$D$36*Basisbedragen!$I$7,2)),ROUND(ROUND(Basisbedragen!$D$27*0.65,4)*Basisbedragen!$I$7,2))+Basisbedragen!$I$10)</f>
        <v>95.04</v>
      </c>
      <c r="J97" s="52">
        <f>IF(MIN(MAX(ROUND(ROUND('Loonschijven_Tranches salariale'!$Q92*0.6,4)*Basisbedragen!$I$7,2),ROUND(Basisbedragen!$D$36*Basisbedragen!$I$7,2)),ROUND(ROUND(Basisbedragen!$D$28*0.6,4)*Basisbedragen!$I$7,2))&lt;= Basisbedragen!$I$8,MIN(MAX(ROUND(ROUND('Loonschijven_Tranches salariale'!$Q92*0.6,4)*Basisbedragen!$I$2,2),ROUND(Basisbedragen!$D$36*Basisbedragen!$I$2,2)),ROUND(ROUND(Basisbedragen!$D$28*0.6,4)*Basisbedragen!$I$2,2)),MIN(MAX(ROUND(ROUND('Loonschijven_Tranches salariale'!$Q92*0.6,4)*Basisbedragen!$I$7,2),ROUND(Basisbedragen!$D$36*Basisbedragen!$I$7,2)),ROUND(ROUND(Basisbedragen!$D$28*0.6,4)*Basisbedragen!$I$7,2))+Basisbedragen!$I$10)</f>
        <v>87.850000000000009</v>
      </c>
      <c r="K97" s="52">
        <f>MIN(MAX(ROUND(ROUND('Loonschijven_Tranches salariale'!$Q92*0.6,4)*Basisbedragen!$I$2,2),ROUND(Basisbedragen!$D$37*Basisbedragen!$I$2,2)),ROUND(ROUND(Basisbedragen!$D$29*0.6,4)*Basisbedragen!$I$2,2))</f>
        <v>76.81</v>
      </c>
      <c r="M97" s="52">
        <f t="shared" si="6"/>
        <v>57.53</v>
      </c>
      <c r="O97" s="52">
        <f>IF(MIN(MAX(ROUND(ROUND('Loonschijven_Tranches salariale'!$Q92*0.65,4)*Basisbedragen!$I$7,2),ROUND(Basisbedragen!$D$38*Basisbedragen!$I$7,2)),ROUND(ROUND(Basisbedragen!$D$27*0.65,4)*Basisbedragen!$I$7,2))&lt;= Basisbedragen!$I$8,MIN(MAX(ROUND(ROUND('Loonschijven_Tranches salariale'!$Q92*0.65,4)*Basisbedragen!$I$2,2),ROUND(Basisbedragen!$D$38*Basisbedragen!$I$2,2)),ROUND(ROUND(Basisbedragen!$D$27*0.65,4)*Basisbedragen!$I$2,2)),MIN(MAX(ROUND(ROUND('Loonschijven_Tranches salariale'!$Q92*0.65,4)*Basisbedragen!$I$7,2),ROUND(Basisbedragen!$D$38*Basisbedragen!$I$7,2)),ROUND(ROUND(Basisbedragen!$D$27*0.65,4)*Basisbedragen!$I$7,2))+Basisbedragen!$I$10)</f>
        <v>95.04</v>
      </c>
      <c r="P97" s="52">
        <f>IF(MIN(MAX(ROUND(ROUND('Loonschijven_Tranches salariale'!$Q92*0.6,4)*Basisbedragen!$I$7,2),ROUND(Basisbedragen!$D$39*Basisbedragen!$I$7,2)),ROUND(ROUND(Basisbedragen!$D$28*0.6,4)*Basisbedragen!$I$7,2))&lt;= Basisbedragen!$I$8,MIN(MAX(ROUND(ROUND('Loonschijven_Tranches salariale'!$Q92*0.6,4)*Basisbedragen!$I$2,2),ROUND(Basisbedragen!$D$39*Basisbedragen!$I$2,2)),ROUND(ROUND(Basisbedragen!$D$28*0.6,4)*Basisbedragen!$I$2,2)),MIN(MAX(ROUND(ROUND('Loonschijven_Tranches salariale'!$Q92*0.6,4)*Basisbedragen!$I$7,2),ROUND(Basisbedragen!$D$39*Basisbedragen!$I$7,2)),ROUND(ROUND(Basisbedragen!$D$28*0.6,4)*Basisbedragen!$I$7,2))+Basisbedragen!$I$10)</f>
        <v>87.850000000000009</v>
      </c>
      <c r="Q97" s="52">
        <f>MIN(MAX(ROUND(ROUND('Loonschijven_Tranches salariale'!$Q92*0.6,4)*Basisbedragen!$I$2,2),ROUND(Basisbedragen!$D$40*Basisbedragen!$I$2,2)),ROUND(ROUND(Basisbedragen!$D$29*0.6,4)*Basisbedragen!$I$2,2))</f>
        <v>76.81</v>
      </c>
      <c r="S97" s="52">
        <f t="shared" si="7"/>
        <v>42.37</v>
      </c>
      <c r="T97" s="52">
        <f t="shared" si="8"/>
        <v>29.85</v>
      </c>
    </row>
    <row r="98" spans="1:20" ht="15" thickBot="1">
      <c r="A98" s="47">
        <f t="shared" si="10"/>
        <v>86</v>
      </c>
      <c r="C98" s="52">
        <f>IF(MIN(MAX(ROUND(ROUND('Loonschijven_Tranches salariale'!$Q93*0.65,4)*Basisbedragen!$I$7,2),ROUND(Basisbedragen!$D$34*Basisbedragen!$I$7,2)),ROUND(ROUND(Basisbedragen!$D$27*0.65,4)*Basisbedragen!$I$7,2))&lt;= Basisbedragen!$I$8,MIN(MAX(ROUND(ROUND('Loonschijven_Tranches salariale'!$Q93*0.65,4)*Basisbedragen!$I$2,2),ROUND(Basisbedragen!$D$34*Basisbedragen!$I$2,2)),ROUND(ROUND(Basisbedragen!$D$27*0.65,4)*Basisbedragen!$I$2,2)),MIN(MAX(ROUND(ROUND('Loonschijven_Tranches salariale'!$Q93*0.65,4)*Basisbedragen!$I$7,2),ROUND(Basisbedragen!$D$34*Basisbedragen!$I$7,2)),ROUND(ROUND(Basisbedragen!$D$27*0.65,4)*Basisbedragen!$I$7,2))+Basisbedragen!$I$10)</f>
        <v>96.04</v>
      </c>
      <c r="D98" s="52">
        <f>IF(MIN(MAX(ROUND(ROUND('Loonschijven_Tranches salariale'!$Q93*0.6,4)*Basisbedragen!$I$7,2),ROUND(Basisbedragen!$D$34*Basisbedragen!$I$7,2)),ROUND(ROUND(Basisbedragen!$D$28*0.6,4)*Basisbedragen!$I$7,2))&lt;= Basisbedragen!$I$8,MIN(MAX(ROUND(ROUND('Loonschijven_Tranches salariale'!$Q93*0.6,4)*Basisbedragen!$I$2,2),ROUND(Basisbedragen!$D$34*Basisbedragen!$I$2,2)),ROUND(ROUND(Basisbedragen!$D$28*0.6,4)*Basisbedragen!$I$2,2)),MIN(MAX(ROUND(ROUND('Loonschijven_Tranches salariale'!$Q93*0.6,4)*Basisbedragen!$I$7,2),ROUND(Basisbedragen!$D$34*Basisbedragen!$I$7,2)),ROUND(ROUND(Basisbedragen!$D$28*0.6,4)*Basisbedragen!$I$7,2))+Basisbedragen!$I$10)</f>
        <v>88.77000000000001</v>
      </c>
      <c r="E98" s="52">
        <f>MIN(MAX(ROUND(ROUND('Loonschijven_Tranches salariale'!$Q93*0.6,4)*Basisbedragen!$I$2,2),ROUND(Basisbedragen!$D$35*Basisbedragen!$I$2,2)),ROUND(ROUND(Basisbedragen!$D$29*0.6,4)*Basisbedragen!$I$2,2))</f>
        <v>76.81</v>
      </c>
      <c r="G98" s="52">
        <f t="shared" si="5"/>
        <v>70.989999999999995</v>
      </c>
      <c r="I98" s="52">
        <f>IF(MIN(MAX(ROUND(ROUND('Loonschijven_Tranches salariale'!$Q93*0.65,4)*Basisbedragen!$I$7,2),ROUND(Basisbedragen!$D$36*Basisbedragen!$I$7,2)),ROUND(ROUND(Basisbedragen!$D$27*0.65,4)*Basisbedragen!$I$7,2))&lt;= Basisbedragen!$I$8,MIN(MAX(ROUND(ROUND('Loonschijven_Tranches salariale'!$Q93*0.65,4)*Basisbedragen!$I$2,2),ROUND(Basisbedragen!$D$36*Basisbedragen!$I$2,2)),ROUND(ROUND(Basisbedragen!$D$27*0.65,4)*Basisbedragen!$I$2,2)),MIN(MAX(ROUND(ROUND('Loonschijven_Tranches salariale'!$Q93*0.65,4)*Basisbedragen!$I$7,2),ROUND(Basisbedragen!$D$36*Basisbedragen!$I$7,2)),ROUND(ROUND(Basisbedragen!$D$27*0.65,4)*Basisbedragen!$I$7,2))+Basisbedragen!$I$10)</f>
        <v>96.04</v>
      </c>
      <c r="J98" s="52">
        <f>IF(MIN(MAX(ROUND(ROUND('Loonschijven_Tranches salariale'!$Q93*0.6,4)*Basisbedragen!$I$7,2),ROUND(Basisbedragen!$D$36*Basisbedragen!$I$7,2)),ROUND(ROUND(Basisbedragen!$D$28*0.6,4)*Basisbedragen!$I$7,2))&lt;= Basisbedragen!$I$8,MIN(MAX(ROUND(ROUND('Loonschijven_Tranches salariale'!$Q93*0.6,4)*Basisbedragen!$I$2,2),ROUND(Basisbedragen!$D$36*Basisbedragen!$I$2,2)),ROUND(ROUND(Basisbedragen!$D$28*0.6,4)*Basisbedragen!$I$2,2)),MIN(MAX(ROUND(ROUND('Loonschijven_Tranches salariale'!$Q93*0.6,4)*Basisbedragen!$I$7,2),ROUND(Basisbedragen!$D$36*Basisbedragen!$I$7,2)),ROUND(ROUND(Basisbedragen!$D$28*0.6,4)*Basisbedragen!$I$7,2))+Basisbedragen!$I$10)</f>
        <v>88.77000000000001</v>
      </c>
      <c r="K98" s="52">
        <f>MIN(MAX(ROUND(ROUND('Loonschijven_Tranches salariale'!$Q93*0.6,4)*Basisbedragen!$I$2,2),ROUND(Basisbedragen!$D$37*Basisbedragen!$I$2,2)),ROUND(ROUND(Basisbedragen!$D$29*0.6,4)*Basisbedragen!$I$2,2))</f>
        <v>76.81</v>
      </c>
      <c r="M98" s="52">
        <f t="shared" si="6"/>
        <v>57.53</v>
      </c>
      <c r="O98" s="52">
        <f>IF(MIN(MAX(ROUND(ROUND('Loonschijven_Tranches salariale'!$Q93*0.65,4)*Basisbedragen!$I$7,2),ROUND(Basisbedragen!$D$38*Basisbedragen!$I$7,2)),ROUND(ROUND(Basisbedragen!$D$27*0.65,4)*Basisbedragen!$I$7,2))&lt;= Basisbedragen!$I$8,MIN(MAX(ROUND(ROUND('Loonschijven_Tranches salariale'!$Q93*0.65,4)*Basisbedragen!$I$2,2),ROUND(Basisbedragen!$D$38*Basisbedragen!$I$2,2)),ROUND(ROUND(Basisbedragen!$D$27*0.65,4)*Basisbedragen!$I$2,2)),MIN(MAX(ROUND(ROUND('Loonschijven_Tranches salariale'!$Q93*0.65,4)*Basisbedragen!$I$7,2),ROUND(Basisbedragen!$D$38*Basisbedragen!$I$7,2)),ROUND(ROUND(Basisbedragen!$D$27*0.65,4)*Basisbedragen!$I$7,2))+Basisbedragen!$I$10)</f>
        <v>96.04</v>
      </c>
      <c r="P98" s="52">
        <f>IF(MIN(MAX(ROUND(ROUND('Loonschijven_Tranches salariale'!$Q93*0.6,4)*Basisbedragen!$I$7,2),ROUND(Basisbedragen!$D$39*Basisbedragen!$I$7,2)),ROUND(ROUND(Basisbedragen!$D$28*0.6,4)*Basisbedragen!$I$7,2))&lt;= Basisbedragen!$I$8,MIN(MAX(ROUND(ROUND('Loonschijven_Tranches salariale'!$Q93*0.6,4)*Basisbedragen!$I$2,2),ROUND(Basisbedragen!$D$39*Basisbedragen!$I$2,2)),ROUND(ROUND(Basisbedragen!$D$28*0.6,4)*Basisbedragen!$I$2,2)),MIN(MAX(ROUND(ROUND('Loonschijven_Tranches salariale'!$Q93*0.6,4)*Basisbedragen!$I$7,2),ROUND(Basisbedragen!$D$39*Basisbedragen!$I$7,2)),ROUND(ROUND(Basisbedragen!$D$28*0.6,4)*Basisbedragen!$I$7,2))+Basisbedragen!$I$10)</f>
        <v>88.77000000000001</v>
      </c>
      <c r="Q98" s="52">
        <f>MIN(MAX(ROUND(ROUND('Loonschijven_Tranches salariale'!$Q93*0.6,4)*Basisbedragen!$I$2,2),ROUND(Basisbedragen!$D$40*Basisbedragen!$I$2,2)),ROUND(ROUND(Basisbedragen!$D$29*0.6,4)*Basisbedragen!$I$2,2))</f>
        <v>76.81</v>
      </c>
      <c r="S98" s="52">
        <f t="shared" si="7"/>
        <v>42.37</v>
      </c>
      <c r="T98" s="52">
        <f t="shared" si="8"/>
        <v>29.85</v>
      </c>
    </row>
    <row r="99" spans="1:20" ht="15" thickBot="1">
      <c r="A99" s="47">
        <f t="shared" si="10"/>
        <v>87</v>
      </c>
      <c r="C99" s="52">
        <f>IF(MIN(MAX(ROUND(ROUND('Loonschijven_Tranches salariale'!$Q94*0.65,4)*Basisbedragen!$I$7,2),ROUND(Basisbedragen!$D$34*Basisbedragen!$I$7,2)),ROUND(ROUND(Basisbedragen!$D$27*0.65,4)*Basisbedragen!$I$7,2))&lt;= Basisbedragen!$I$8,MIN(MAX(ROUND(ROUND('Loonschijven_Tranches salariale'!$Q94*0.65,4)*Basisbedragen!$I$2,2),ROUND(Basisbedragen!$D$34*Basisbedragen!$I$2,2)),ROUND(ROUND(Basisbedragen!$D$27*0.65,4)*Basisbedragen!$I$2,2)),MIN(MAX(ROUND(ROUND('Loonschijven_Tranches salariale'!$Q94*0.65,4)*Basisbedragen!$I$7,2),ROUND(Basisbedragen!$D$34*Basisbedragen!$I$7,2)),ROUND(ROUND(Basisbedragen!$D$27*0.65,4)*Basisbedragen!$I$7,2))+Basisbedragen!$I$10)</f>
        <v>97.03</v>
      </c>
      <c r="D99" s="52">
        <f>IF(MIN(MAX(ROUND(ROUND('Loonschijven_Tranches salariale'!$Q94*0.6,4)*Basisbedragen!$I$7,2),ROUND(Basisbedragen!$D$34*Basisbedragen!$I$7,2)),ROUND(ROUND(Basisbedragen!$D$28*0.6,4)*Basisbedragen!$I$7,2))&lt;= Basisbedragen!$I$8,MIN(MAX(ROUND(ROUND('Loonschijven_Tranches salariale'!$Q94*0.6,4)*Basisbedragen!$I$2,2),ROUND(Basisbedragen!$D$34*Basisbedragen!$I$2,2)),ROUND(ROUND(Basisbedragen!$D$28*0.6,4)*Basisbedragen!$I$2,2)),MIN(MAX(ROUND(ROUND('Loonschijven_Tranches salariale'!$Q94*0.6,4)*Basisbedragen!$I$7,2),ROUND(Basisbedragen!$D$34*Basisbedragen!$I$7,2)),ROUND(ROUND(Basisbedragen!$D$28*0.6,4)*Basisbedragen!$I$7,2))+Basisbedragen!$I$10)</f>
        <v>89.690000000000012</v>
      </c>
      <c r="E99" s="52">
        <f>MIN(MAX(ROUND(ROUND('Loonschijven_Tranches salariale'!$Q94*0.6,4)*Basisbedragen!$I$2,2),ROUND(Basisbedragen!$D$35*Basisbedragen!$I$2,2)),ROUND(ROUND(Basisbedragen!$D$29*0.6,4)*Basisbedragen!$I$2,2))</f>
        <v>76.81</v>
      </c>
      <c r="G99" s="52">
        <f t="shared" si="5"/>
        <v>70.989999999999995</v>
      </c>
      <c r="I99" s="52">
        <f>IF(MIN(MAX(ROUND(ROUND('Loonschijven_Tranches salariale'!$Q94*0.65,4)*Basisbedragen!$I$7,2),ROUND(Basisbedragen!$D$36*Basisbedragen!$I$7,2)),ROUND(ROUND(Basisbedragen!$D$27*0.65,4)*Basisbedragen!$I$7,2))&lt;= Basisbedragen!$I$8,MIN(MAX(ROUND(ROUND('Loonschijven_Tranches salariale'!$Q94*0.65,4)*Basisbedragen!$I$2,2),ROUND(Basisbedragen!$D$36*Basisbedragen!$I$2,2)),ROUND(ROUND(Basisbedragen!$D$27*0.65,4)*Basisbedragen!$I$2,2)),MIN(MAX(ROUND(ROUND('Loonschijven_Tranches salariale'!$Q94*0.65,4)*Basisbedragen!$I$7,2),ROUND(Basisbedragen!$D$36*Basisbedragen!$I$7,2)),ROUND(ROUND(Basisbedragen!$D$27*0.65,4)*Basisbedragen!$I$7,2))+Basisbedragen!$I$10)</f>
        <v>97.03</v>
      </c>
      <c r="J99" s="52">
        <f>IF(MIN(MAX(ROUND(ROUND('Loonschijven_Tranches salariale'!$Q94*0.6,4)*Basisbedragen!$I$7,2),ROUND(Basisbedragen!$D$36*Basisbedragen!$I$7,2)),ROUND(ROUND(Basisbedragen!$D$28*0.6,4)*Basisbedragen!$I$7,2))&lt;= Basisbedragen!$I$8,MIN(MAX(ROUND(ROUND('Loonschijven_Tranches salariale'!$Q94*0.6,4)*Basisbedragen!$I$2,2),ROUND(Basisbedragen!$D$36*Basisbedragen!$I$2,2)),ROUND(ROUND(Basisbedragen!$D$28*0.6,4)*Basisbedragen!$I$2,2)),MIN(MAX(ROUND(ROUND('Loonschijven_Tranches salariale'!$Q94*0.6,4)*Basisbedragen!$I$7,2),ROUND(Basisbedragen!$D$36*Basisbedragen!$I$7,2)),ROUND(ROUND(Basisbedragen!$D$28*0.6,4)*Basisbedragen!$I$7,2))+Basisbedragen!$I$10)</f>
        <v>89.690000000000012</v>
      </c>
      <c r="K99" s="52">
        <f>MIN(MAX(ROUND(ROUND('Loonschijven_Tranches salariale'!$Q94*0.6,4)*Basisbedragen!$I$2,2),ROUND(Basisbedragen!$D$37*Basisbedragen!$I$2,2)),ROUND(ROUND(Basisbedragen!$D$29*0.6,4)*Basisbedragen!$I$2,2))</f>
        <v>76.81</v>
      </c>
      <c r="M99" s="52">
        <f t="shared" si="6"/>
        <v>57.53</v>
      </c>
      <c r="O99" s="52">
        <f>IF(MIN(MAX(ROUND(ROUND('Loonschijven_Tranches salariale'!$Q94*0.65,4)*Basisbedragen!$I$7,2),ROUND(Basisbedragen!$D$38*Basisbedragen!$I$7,2)),ROUND(ROUND(Basisbedragen!$D$27*0.65,4)*Basisbedragen!$I$7,2))&lt;= Basisbedragen!$I$8,MIN(MAX(ROUND(ROUND('Loonschijven_Tranches salariale'!$Q94*0.65,4)*Basisbedragen!$I$2,2),ROUND(Basisbedragen!$D$38*Basisbedragen!$I$2,2)),ROUND(ROUND(Basisbedragen!$D$27*0.65,4)*Basisbedragen!$I$2,2)),MIN(MAX(ROUND(ROUND('Loonschijven_Tranches salariale'!$Q94*0.65,4)*Basisbedragen!$I$7,2),ROUND(Basisbedragen!$D$38*Basisbedragen!$I$7,2)),ROUND(ROUND(Basisbedragen!$D$27*0.65,4)*Basisbedragen!$I$7,2))+Basisbedragen!$I$10)</f>
        <v>97.03</v>
      </c>
      <c r="P99" s="52">
        <f>IF(MIN(MAX(ROUND(ROUND('Loonschijven_Tranches salariale'!$Q94*0.6,4)*Basisbedragen!$I$7,2),ROUND(Basisbedragen!$D$39*Basisbedragen!$I$7,2)),ROUND(ROUND(Basisbedragen!$D$28*0.6,4)*Basisbedragen!$I$7,2))&lt;= Basisbedragen!$I$8,MIN(MAX(ROUND(ROUND('Loonschijven_Tranches salariale'!$Q94*0.6,4)*Basisbedragen!$I$2,2),ROUND(Basisbedragen!$D$39*Basisbedragen!$I$2,2)),ROUND(ROUND(Basisbedragen!$D$28*0.6,4)*Basisbedragen!$I$2,2)),MIN(MAX(ROUND(ROUND('Loonschijven_Tranches salariale'!$Q94*0.6,4)*Basisbedragen!$I$7,2),ROUND(Basisbedragen!$D$39*Basisbedragen!$I$7,2)),ROUND(ROUND(Basisbedragen!$D$28*0.6,4)*Basisbedragen!$I$7,2))+Basisbedragen!$I$10)</f>
        <v>89.690000000000012</v>
      </c>
      <c r="Q99" s="52">
        <f>MIN(MAX(ROUND(ROUND('Loonschijven_Tranches salariale'!$Q94*0.6,4)*Basisbedragen!$I$2,2),ROUND(Basisbedragen!$D$40*Basisbedragen!$I$2,2)),ROUND(ROUND(Basisbedragen!$D$29*0.6,4)*Basisbedragen!$I$2,2))</f>
        <v>76.81</v>
      </c>
      <c r="S99" s="52">
        <f t="shared" si="7"/>
        <v>42.37</v>
      </c>
      <c r="T99" s="52">
        <f t="shared" si="8"/>
        <v>29.85</v>
      </c>
    </row>
    <row r="100" spans="1:20" ht="15" thickBot="1">
      <c r="A100" s="47">
        <f t="shared" si="10"/>
        <v>88</v>
      </c>
      <c r="C100" s="52">
        <f>IF(MIN(MAX(ROUND(ROUND('Loonschijven_Tranches salariale'!$Q95*0.65,4)*Basisbedragen!$I$7,2),ROUND(Basisbedragen!$D$34*Basisbedragen!$I$7,2)),ROUND(ROUND(Basisbedragen!$D$27*0.65,4)*Basisbedragen!$I$7,2))&lt;= Basisbedragen!$I$8,MIN(MAX(ROUND(ROUND('Loonschijven_Tranches salariale'!$Q95*0.65,4)*Basisbedragen!$I$2,2),ROUND(Basisbedragen!$D$34*Basisbedragen!$I$2,2)),ROUND(ROUND(Basisbedragen!$D$27*0.65,4)*Basisbedragen!$I$2,2)),MIN(MAX(ROUND(ROUND('Loonschijven_Tranches salariale'!$Q95*0.65,4)*Basisbedragen!$I$7,2),ROUND(Basisbedragen!$D$34*Basisbedragen!$I$7,2)),ROUND(ROUND(Basisbedragen!$D$27*0.65,4)*Basisbedragen!$I$7,2))+Basisbedragen!$I$10)</f>
        <v>98.03</v>
      </c>
      <c r="D100" s="52">
        <f>IF(MIN(MAX(ROUND(ROUND('Loonschijven_Tranches salariale'!$Q95*0.6,4)*Basisbedragen!$I$7,2),ROUND(Basisbedragen!$D$34*Basisbedragen!$I$7,2)),ROUND(ROUND(Basisbedragen!$D$28*0.6,4)*Basisbedragen!$I$7,2))&lt;= Basisbedragen!$I$8,MIN(MAX(ROUND(ROUND('Loonschijven_Tranches salariale'!$Q95*0.6,4)*Basisbedragen!$I$2,2),ROUND(Basisbedragen!$D$34*Basisbedragen!$I$2,2)),ROUND(ROUND(Basisbedragen!$D$28*0.6,4)*Basisbedragen!$I$2,2)),MIN(MAX(ROUND(ROUND('Loonschijven_Tranches salariale'!$Q95*0.6,4)*Basisbedragen!$I$7,2),ROUND(Basisbedragen!$D$34*Basisbedragen!$I$7,2)),ROUND(ROUND(Basisbedragen!$D$28*0.6,4)*Basisbedragen!$I$7,2))+Basisbedragen!$I$10)</f>
        <v>90.61</v>
      </c>
      <c r="E100" s="52">
        <f>MIN(MAX(ROUND(ROUND('Loonschijven_Tranches salariale'!$Q95*0.6,4)*Basisbedragen!$I$2,2),ROUND(Basisbedragen!$D$35*Basisbedragen!$I$2,2)),ROUND(ROUND(Basisbedragen!$D$29*0.6,4)*Basisbedragen!$I$2,2))</f>
        <v>76.81</v>
      </c>
      <c r="G100" s="52">
        <f t="shared" si="5"/>
        <v>70.989999999999995</v>
      </c>
      <c r="I100" s="52">
        <f>IF(MIN(MAX(ROUND(ROUND('Loonschijven_Tranches salariale'!$Q95*0.65,4)*Basisbedragen!$I$7,2),ROUND(Basisbedragen!$D$36*Basisbedragen!$I$7,2)),ROUND(ROUND(Basisbedragen!$D$27*0.65,4)*Basisbedragen!$I$7,2))&lt;= Basisbedragen!$I$8,MIN(MAX(ROUND(ROUND('Loonschijven_Tranches salariale'!$Q95*0.65,4)*Basisbedragen!$I$2,2),ROUND(Basisbedragen!$D$36*Basisbedragen!$I$2,2)),ROUND(ROUND(Basisbedragen!$D$27*0.65,4)*Basisbedragen!$I$2,2)),MIN(MAX(ROUND(ROUND('Loonschijven_Tranches salariale'!$Q95*0.65,4)*Basisbedragen!$I$7,2),ROUND(Basisbedragen!$D$36*Basisbedragen!$I$7,2)),ROUND(ROUND(Basisbedragen!$D$27*0.65,4)*Basisbedragen!$I$7,2))+Basisbedragen!$I$10)</f>
        <v>98.03</v>
      </c>
      <c r="J100" s="52">
        <f>IF(MIN(MAX(ROUND(ROUND('Loonschijven_Tranches salariale'!$Q95*0.6,4)*Basisbedragen!$I$7,2),ROUND(Basisbedragen!$D$36*Basisbedragen!$I$7,2)),ROUND(ROUND(Basisbedragen!$D$28*0.6,4)*Basisbedragen!$I$7,2))&lt;= Basisbedragen!$I$8,MIN(MAX(ROUND(ROUND('Loonschijven_Tranches salariale'!$Q95*0.6,4)*Basisbedragen!$I$2,2),ROUND(Basisbedragen!$D$36*Basisbedragen!$I$2,2)),ROUND(ROUND(Basisbedragen!$D$28*0.6,4)*Basisbedragen!$I$2,2)),MIN(MAX(ROUND(ROUND('Loonschijven_Tranches salariale'!$Q95*0.6,4)*Basisbedragen!$I$7,2),ROUND(Basisbedragen!$D$36*Basisbedragen!$I$7,2)),ROUND(ROUND(Basisbedragen!$D$28*0.6,4)*Basisbedragen!$I$7,2))+Basisbedragen!$I$10)</f>
        <v>90.61</v>
      </c>
      <c r="K100" s="52">
        <f>MIN(MAX(ROUND(ROUND('Loonschijven_Tranches salariale'!$Q95*0.6,4)*Basisbedragen!$I$2,2),ROUND(Basisbedragen!$D$37*Basisbedragen!$I$2,2)),ROUND(ROUND(Basisbedragen!$D$29*0.6,4)*Basisbedragen!$I$2,2))</f>
        <v>76.81</v>
      </c>
      <c r="M100" s="52">
        <f t="shared" si="6"/>
        <v>57.53</v>
      </c>
      <c r="O100" s="52">
        <f>IF(MIN(MAX(ROUND(ROUND('Loonschijven_Tranches salariale'!$Q95*0.65,4)*Basisbedragen!$I$7,2),ROUND(Basisbedragen!$D$38*Basisbedragen!$I$7,2)),ROUND(ROUND(Basisbedragen!$D$27*0.65,4)*Basisbedragen!$I$7,2))&lt;= Basisbedragen!$I$8,MIN(MAX(ROUND(ROUND('Loonschijven_Tranches salariale'!$Q95*0.65,4)*Basisbedragen!$I$2,2),ROUND(Basisbedragen!$D$38*Basisbedragen!$I$2,2)),ROUND(ROUND(Basisbedragen!$D$27*0.65,4)*Basisbedragen!$I$2,2)),MIN(MAX(ROUND(ROUND('Loonschijven_Tranches salariale'!$Q95*0.65,4)*Basisbedragen!$I$7,2),ROUND(Basisbedragen!$D$38*Basisbedragen!$I$7,2)),ROUND(ROUND(Basisbedragen!$D$27*0.65,4)*Basisbedragen!$I$7,2))+Basisbedragen!$I$10)</f>
        <v>98.03</v>
      </c>
      <c r="P100" s="52">
        <f>IF(MIN(MAX(ROUND(ROUND('Loonschijven_Tranches salariale'!$Q95*0.6,4)*Basisbedragen!$I$7,2),ROUND(Basisbedragen!$D$39*Basisbedragen!$I$7,2)),ROUND(ROUND(Basisbedragen!$D$28*0.6,4)*Basisbedragen!$I$7,2))&lt;= Basisbedragen!$I$8,MIN(MAX(ROUND(ROUND('Loonschijven_Tranches salariale'!$Q95*0.6,4)*Basisbedragen!$I$2,2),ROUND(Basisbedragen!$D$39*Basisbedragen!$I$2,2)),ROUND(ROUND(Basisbedragen!$D$28*0.6,4)*Basisbedragen!$I$2,2)),MIN(MAX(ROUND(ROUND('Loonschijven_Tranches salariale'!$Q95*0.6,4)*Basisbedragen!$I$7,2),ROUND(Basisbedragen!$D$39*Basisbedragen!$I$7,2)),ROUND(ROUND(Basisbedragen!$D$28*0.6,4)*Basisbedragen!$I$7,2))+Basisbedragen!$I$10)</f>
        <v>90.61</v>
      </c>
      <c r="Q100" s="52">
        <f>MIN(MAX(ROUND(ROUND('Loonschijven_Tranches salariale'!$Q95*0.6,4)*Basisbedragen!$I$2,2),ROUND(Basisbedragen!$D$40*Basisbedragen!$I$2,2)),ROUND(ROUND(Basisbedragen!$D$29*0.6,4)*Basisbedragen!$I$2,2))</f>
        <v>76.81</v>
      </c>
      <c r="S100" s="52">
        <f t="shared" si="7"/>
        <v>42.37</v>
      </c>
      <c r="T100" s="52">
        <f t="shared" si="8"/>
        <v>29.85</v>
      </c>
    </row>
    <row r="101" spans="1:20" ht="15" thickBot="1">
      <c r="A101" s="47">
        <f t="shared" si="10"/>
        <v>89</v>
      </c>
      <c r="C101" s="52">
        <f>IF(MIN(MAX(ROUND(ROUND('Loonschijven_Tranches salariale'!$Q96*0.65,4)*Basisbedragen!$I$7,2),ROUND(Basisbedragen!$D$34*Basisbedragen!$I$7,2)),ROUND(ROUND(Basisbedragen!$D$27*0.65,4)*Basisbedragen!$I$7,2))&lt;= Basisbedragen!$I$8,MIN(MAX(ROUND(ROUND('Loonschijven_Tranches salariale'!$Q96*0.65,4)*Basisbedragen!$I$2,2),ROUND(Basisbedragen!$D$34*Basisbedragen!$I$2,2)),ROUND(ROUND(Basisbedragen!$D$27*0.65,4)*Basisbedragen!$I$2,2)),MIN(MAX(ROUND(ROUND('Loonschijven_Tranches salariale'!$Q96*0.65,4)*Basisbedragen!$I$7,2),ROUND(Basisbedragen!$D$34*Basisbedragen!$I$7,2)),ROUND(ROUND(Basisbedragen!$D$27*0.65,4)*Basisbedragen!$I$7,2))+Basisbedragen!$I$10)</f>
        <v>99.03</v>
      </c>
      <c r="D101" s="52">
        <f>IF(MIN(MAX(ROUND(ROUND('Loonschijven_Tranches salariale'!$Q96*0.6,4)*Basisbedragen!$I$7,2),ROUND(Basisbedragen!$D$34*Basisbedragen!$I$7,2)),ROUND(ROUND(Basisbedragen!$D$28*0.6,4)*Basisbedragen!$I$7,2))&lt;= Basisbedragen!$I$8,MIN(MAX(ROUND(ROUND('Loonschijven_Tranches salariale'!$Q96*0.6,4)*Basisbedragen!$I$2,2),ROUND(Basisbedragen!$D$34*Basisbedragen!$I$2,2)),ROUND(ROUND(Basisbedragen!$D$28*0.6,4)*Basisbedragen!$I$2,2)),MIN(MAX(ROUND(ROUND('Loonschijven_Tranches salariale'!$Q96*0.6,4)*Basisbedragen!$I$7,2),ROUND(Basisbedragen!$D$34*Basisbedragen!$I$7,2)),ROUND(ROUND(Basisbedragen!$D$28*0.6,4)*Basisbedragen!$I$7,2))+Basisbedragen!$I$10)</f>
        <v>91.53</v>
      </c>
      <c r="E101" s="52">
        <f>MIN(MAX(ROUND(ROUND('Loonschijven_Tranches salariale'!$Q96*0.6,4)*Basisbedragen!$I$2,2),ROUND(Basisbedragen!$D$35*Basisbedragen!$I$2,2)),ROUND(ROUND(Basisbedragen!$D$29*0.6,4)*Basisbedragen!$I$2,2))</f>
        <v>76.81</v>
      </c>
      <c r="G101" s="52">
        <f t="shared" si="5"/>
        <v>70.989999999999995</v>
      </c>
      <c r="I101" s="52">
        <f>IF(MIN(MAX(ROUND(ROUND('Loonschijven_Tranches salariale'!$Q96*0.65,4)*Basisbedragen!$I$7,2),ROUND(Basisbedragen!$D$36*Basisbedragen!$I$7,2)),ROUND(ROUND(Basisbedragen!$D$27*0.65,4)*Basisbedragen!$I$7,2))&lt;= Basisbedragen!$I$8,MIN(MAX(ROUND(ROUND('Loonschijven_Tranches salariale'!$Q96*0.65,4)*Basisbedragen!$I$2,2),ROUND(Basisbedragen!$D$36*Basisbedragen!$I$2,2)),ROUND(ROUND(Basisbedragen!$D$27*0.65,4)*Basisbedragen!$I$2,2)),MIN(MAX(ROUND(ROUND('Loonschijven_Tranches salariale'!$Q96*0.65,4)*Basisbedragen!$I$7,2),ROUND(Basisbedragen!$D$36*Basisbedragen!$I$7,2)),ROUND(ROUND(Basisbedragen!$D$27*0.65,4)*Basisbedragen!$I$7,2))+Basisbedragen!$I$10)</f>
        <v>99.03</v>
      </c>
      <c r="J101" s="52">
        <f>IF(MIN(MAX(ROUND(ROUND('Loonschijven_Tranches salariale'!$Q96*0.6,4)*Basisbedragen!$I$7,2),ROUND(Basisbedragen!$D$36*Basisbedragen!$I$7,2)),ROUND(ROUND(Basisbedragen!$D$28*0.6,4)*Basisbedragen!$I$7,2))&lt;= Basisbedragen!$I$8,MIN(MAX(ROUND(ROUND('Loonschijven_Tranches salariale'!$Q96*0.6,4)*Basisbedragen!$I$2,2),ROUND(Basisbedragen!$D$36*Basisbedragen!$I$2,2)),ROUND(ROUND(Basisbedragen!$D$28*0.6,4)*Basisbedragen!$I$2,2)),MIN(MAX(ROUND(ROUND('Loonschijven_Tranches salariale'!$Q96*0.6,4)*Basisbedragen!$I$7,2),ROUND(Basisbedragen!$D$36*Basisbedragen!$I$7,2)),ROUND(ROUND(Basisbedragen!$D$28*0.6,4)*Basisbedragen!$I$7,2))+Basisbedragen!$I$10)</f>
        <v>91.53</v>
      </c>
      <c r="K101" s="52">
        <f>MIN(MAX(ROUND(ROUND('Loonschijven_Tranches salariale'!$Q96*0.6,4)*Basisbedragen!$I$2,2),ROUND(Basisbedragen!$D$37*Basisbedragen!$I$2,2)),ROUND(ROUND(Basisbedragen!$D$29*0.6,4)*Basisbedragen!$I$2,2))</f>
        <v>76.81</v>
      </c>
      <c r="M101" s="52">
        <f t="shared" si="6"/>
        <v>57.53</v>
      </c>
      <c r="O101" s="52">
        <f>IF(MIN(MAX(ROUND(ROUND('Loonschijven_Tranches salariale'!$Q96*0.65,4)*Basisbedragen!$I$7,2),ROUND(Basisbedragen!$D$38*Basisbedragen!$I$7,2)),ROUND(ROUND(Basisbedragen!$D$27*0.65,4)*Basisbedragen!$I$7,2))&lt;= Basisbedragen!$I$8,MIN(MAX(ROUND(ROUND('Loonschijven_Tranches salariale'!$Q96*0.65,4)*Basisbedragen!$I$2,2),ROUND(Basisbedragen!$D$38*Basisbedragen!$I$2,2)),ROUND(ROUND(Basisbedragen!$D$27*0.65,4)*Basisbedragen!$I$2,2)),MIN(MAX(ROUND(ROUND('Loonschijven_Tranches salariale'!$Q96*0.65,4)*Basisbedragen!$I$7,2),ROUND(Basisbedragen!$D$38*Basisbedragen!$I$7,2)),ROUND(ROUND(Basisbedragen!$D$27*0.65,4)*Basisbedragen!$I$7,2))+Basisbedragen!$I$10)</f>
        <v>99.03</v>
      </c>
      <c r="P101" s="52">
        <f>IF(MIN(MAX(ROUND(ROUND('Loonschijven_Tranches salariale'!$Q96*0.6,4)*Basisbedragen!$I$7,2),ROUND(Basisbedragen!$D$39*Basisbedragen!$I$7,2)),ROUND(ROUND(Basisbedragen!$D$28*0.6,4)*Basisbedragen!$I$7,2))&lt;= Basisbedragen!$I$8,MIN(MAX(ROUND(ROUND('Loonschijven_Tranches salariale'!$Q96*0.6,4)*Basisbedragen!$I$2,2),ROUND(Basisbedragen!$D$39*Basisbedragen!$I$2,2)),ROUND(ROUND(Basisbedragen!$D$28*0.6,4)*Basisbedragen!$I$2,2)),MIN(MAX(ROUND(ROUND('Loonschijven_Tranches salariale'!$Q96*0.6,4)*Basisbedragen!$I$7,2),ROUND(Basisbedragen!$D$39*Basisbedragen!$I$7,2)),ROUND(ROUND(Basisbedragen!$D$28*0.6,4)*Basisbedragen!$I$7,2))+Basisbedragen!$I$10)</f>
        <v>91.53</v>
      </c>
      <c r="Q101" s="52">
        <f>MIN(MAX(ROUND(ROUND('Loonschijven_Tranches salariale'!$Q96*0.6,4)*Basisbedragen!$I$2,2),ROUND(Basisbedragen!$D$40*Basisbedragen!$I$2,2)),ROUND(ROUND(Basisbedragen!$D$29*0.6,4)*Basisbedragen!$I$2,2))</f>
        <v>76.81</v>
      </c>
      <c r="S101" s="52">
        <f t="shared" si="7"/>
        <v>42.37</v>
      </c>
      <c r="T101" s="52">
        <f t="shared" si="8"/>
        <v>29.85</v>
      </c>
    </row>
    <row r="102" spans="1:20" ht="15" thickBot="1">
      <c r="A102" s="47">
        <f t="shared" si="10"/>
        <v>90</v>
      </c>
      <c r="C102" s="52">
        <f>IF(MIN(MAX(ROUND(ROUND('Loonschijven_Tranches salariale'!$Q97*0.65,4)*Basisbedragen!$I$7,2),ROUND(Basisbedragen!$D$34*Basisbedragen!$I$7,2)),ROUND(ROUND(Basisbedragen!$D$27*0.65,4)*Basisbedragen!$I$7,2))&lt;= Basisbedragen!$I$8,MIN(MAX(ROUND(ROUND('Loonschijven_Tranches salariale'!$Q97*0.65,4)*Basisbedragen!$I$2,2),ROUND(Basisbedragen!$D$34*Basisbedragen!$I$2,2)),ROUND(ROUND(Basisbedragen!$D$27*0.65,4)*Basisbedragen!$I$2,2)),MIN(MAX(ROUND(ROUND('Loonschijven_Tranches salariale'!$Q97*0.65,4)*Basisbedragen!$I$7,2),ROUND(Basisbedragen!$D$34*Basisbedragen!$I$7,2)),ROUND(ROUND(Basisbedragen!$D$27*0.65,4)*Basisbedragen!$I$7,2))+Basisbedragen!$I$10)</f>
        <v>100.02000000000001</v>
      </c>
      <c r="D102" s="52">
        <f>IF(MIN(MAX(ROUND(ROUND('Loonschijven_Tranches salariale'!$Q97*0.6,4)*Basisbedragen!$I$7,2),ROUND(Basisbedragen!$D$34*Basisbedragen!$I$7,2)),ROUND(ROUND(Basisbedragen!$D$28*0.6,4)*Basisbedragen!$I$7,2))&lt;= Basisbedragen!$I$8,MIN(MAX(ROUND(ROUND('Loonschijven_Tranches salariale'!$Q97*0.6,4)*Basisbedragen!$I$2,2),ROUND(Basisbedragen!$D$34*Basisbedragen!$I$2,2)),ROUND(ROUND(Basisbedragen!$D$28*0.6,4)*Basisbedragen!$I$2,2)),MIN(MAX(ROUND(ROUND('Loonschijven_Tranches salariale'!$Q97*0.6,4)*Basisbedragen!$I$7,2),ROUND(Basisbedragen!$D$34*Basisbedragen!$I$7,2)),ROUND(ROUND(Basisbedragen!$D$28*0.6,4)*Basisbedragen!$I$7,2))+Basisbedragen!$I$10)</f>
        <v>92.45</v>
      </c>
      <c r="E102" s="52">
        <f>MIN(MAX(ROUND(ROUND('Loonschijven_Tranches salariale'!$Q97*0.6,4)*Basisbedragen!$I$2,2),ROUND(Basisbedragen!$D$35*Basisbedragen!$I$2,2)),ROUND(ROUND(Basisbedragen!$D$29*0.6,4)*Basisbedragen!$I$2,2))</f>
        <v>76.81</v>
      </c>
      <c r="G102" s="52">
        <f t="shared" si="5"/>
        <v>70.989999999999995</v>
      </c>
      <c r="I102" s="52">
        <f>IF(MIN(MAX(ROUND(ROUND('Loonschijven_Tranches salariale'!$Q97*0.65,4)*Basisbedragen!$I$7,2),ROUND(Basisbedragen!$D$36*Basisbedragen!$I$7,2)),ROUND(ROUND(Basisbedragen!$D$27*0.65,4)*Basisbedragen!$I$7,2))&lt;= Basisbedragen!$I$8,MIN(MAX(ROUND(ROUND('Loonschijven_Tranches salariale'!$Q97*0.65,4)*Basisbedragen!$I$2,2),ROUND(Basisbedragen!$D$36*Basisbedragen!$I$2,2)),ROUND(ROUND(Basisbedragen!$D$27*0.65,4)*Basisbedragen!$I$2,2)),MIN(MAX(ROUND(ROUND('Loonschijven_Tranches salariale'!$Q97*0.65,4)*Basisbedragen!$I$7,2),ROUND(Basisbedragen!$D$36*Basisbedragen!$I$7,2)),ROUND(ROUND(Basisbedragen!$D$27*0.65,4)*Basisbedragen!$I$7,2))+Basisbedragen!$I$10)</f>
        <v>100.02000000000001</v>
      </c>
      <c r="J102" s="52">
        <f>IF(MIN(MAX(ROUND(ROUND('Loonschijven_Tranches salariale'!$Q97*0.6,4)*Basisbedragen!$I$7,2),ROUND(Basisbedragen!$D$36*Basisbedragen!$I$7,2)),ROUND(ROUND(Basisbedragen!$D$28*0.6,4)*Basisbedragen!$I$7,2))&lt;= Basisbedragen!$I$8,MIN(MAX(ROUND(ROUND('Loonschijven_Tranches salariale'!$Q97*0.6,4)*Basisbedragen!$I$2,2),ROUND(Basisbedragen!$D$36*Basisbedragen!$I$2,2)),ROUND(ROUND(Basisbedragen!$D$28*0.6,4)*Basisbedragen!$I$2,2)),MIN(MAX(ROUND(ROUND('Loonschijven_Tranches salariale'!$Q97*0.6,4)*Basisbedragen!$I$7,2),ROUND(Basisbedragen!$D$36*Basisbedragen!$I$7,2)),ROUND(ROUND(Basisbedragen!$D$28*0.6,4)*Basisbedragen!$I$7,2))+Basisbedragen!$I$10)</f>
        <v>92.45</v>
      </c>
      <c r="K102" s="52">
        <f>MIN(MAX(ROUND(ROUND('Loonschijven_Tranches salariale'!$Q97*0.6,4)*Basisbedragen!$I$2,2),ROUND(Basisbedragen!$D$37*Basisbedragen!$I$2,2)),ROUND(ROUND(Basisbedragen!$D$29*0.6,4)*Basisbedragen!$I$2,2))</f>
        <v>76.81</v>
      </c>
      <c r="M102" s="52">
        <f t="shared" si="6"/>
        <v>57.53</v>
      </c>
      <c r="O102" s="52">
        <f>IF(MIN(MAX(ROUND(ROUND('Loonschijven_Tranches salariale'!$Q97*0.65,4)*Basisbedragen!$I$7,2),ROUND(Basisbedragen!$D$38*Basisbedragen!$I$7,2)),ROUND(ROUND(Basisbedragen!$D$27*0.65,4)*Basisbedragen!$I$7,2))&lt;= Basisbedragen!$I$8,MIN(MAX(ROUND(ROUND('Loonschijven_Tranches salariale'!$Q97*0.65,4)*Basisbedragen!$I$2,2),ROUND(Basisbedragen!$D$38*Basisbedragen!$I$2,2)),ROUND(ROUND(Basisbedragen!$D$27*0.65,4)*Basisbedragen!$I$2,2)),MIN(MAX(ROUND(ROUND('Loonschijven_Tranches salariale'!$Q97*0.65,4)*Basisbedragen!$I$7,2),ROUND(Basisbedragen!$D$38*Basisbedragen!$I$7,2)),ROUND(ROUND(Basisbedragen!$D$27*0.65,4)*Basisbedragen!$I$7,2))+Basisbedragen!$I$10)</f>
        <v>100.02000000000001</v>
      </c>
      <c r="P102" s="52">
        <f>IF(MIN(MAX(ROUND(ROUND('Loonschijven_Tranches salariale'!$Q97*0.6,4)*Basisbedragen!$I$7,2),ROUND(Basisbedragen!$D$39*Basisbedragen!$I$7,2)),ROUND(ROUND(Basisbedragen!$D$28*0.6,4)*Basisbedragen!$I$7,2))&lt;= Basisbedragen!$I$8,MIN(MAX(ROUND(ROUND('Loonschijven_Tranches salariale'!$Q97*0.6,4)*Basisbedragen!$I$2,2),ROUND(Basisbedragen!$D$39*Basisbedragen!$I$2,2)),ROUND(ROUND(Basisbedragen!$D$28*0.6,4)*Basisbedragen!$I$2,2)),MIN(MAX(ROUND(ROUND('Loonschijven_Tranches salariale'!$Q97*0.6,4)*Basisbedragen!$I$7,2),ROUND(Basisbedragen!$D$39*Basisbedragen!$I$7,2)),ROUND(ROUND(Basisbedragen!$D$28*0.6,4)*Basisbedragen!$I$7,2))+Basisbedragen!$I$10)</f>
        <v>92.45</v>
      </c>
      <c r="Q102" s="52">
        <f>MIN(MAX(ROUND(ROUND('Loonschijven_Tranches salariale'!$Q97*0.6,4)*Basisbedragen!$I$2,2),ROUND(Basisbedragen!$D$40*Basisbedragen!$I$2,2)),ROUND(ROUND(Basisbedragen!$D$29*0.6,4)*Basisbedragen!$I$2,2))</f>
        <v>76.81</v>
      </c>
      <c r="S102" s="52">
        <f t="shared" si="7"/>
        <v>42.37</v>
      </c>
      <c r="T102" s="52">
        <f t="shared" si="8"/>
        <v>29.85</v>
      </c>
    </row>
    <row r="103" spans="1:20" ht="15" thickBot="1">
      <c r="A103" s="47">
        <f t="shared" si="10"/>
        <v>91</v>
      </c>
      <c r="C103" s="52">
        <f>IF(MIN(MAX(ROUND(ROUND('Loonschijven_Tranches salariale'!$Q98*0.65,4)*Basisbedragen!$I$7,2),ROUND(Basisbedragen!$D$34*Basisbedragen!$I$7,2)),ROUND(ROUND(Basisbedragen!$D$27*0.65,4)*Basisbedragen!$I$7,2))&lt;= Basisbedragen!$I$8,MIN(MAX(ROUND(ROUND('Loonschijven_Tranches salariale'!$Q98*0.65,4)*Basisbedragen!$I$2,2),ROUND(Basisbedragen!$D$34*Basisbedragen!$I$2,2)),ROUND(ROUND(Basisbedragen!$D$27*0.65,4)*Basisbedragen!$I$2,2)),MIN(MAX(ROUND(ROUND('Loonschijven_Tranches salariale'!$Q98*0.65,4)*Basisbedragen!$I$7,2),ROUND(Basisbedragen!$D$34*Basisbedragen!$I$7,2)),ROUND(ROUND(Basisbedragen!$D$27*0.65,4)*Basisbedragen!$I$7,2))+Basisbedragen!$I$10)</f>
        <v>101.02000000000001</v>
      </c>
      <c r="D103" s="52">
        <f>IF(MIN(MAX(ROUND(ROUND('Loonschijven_Tranches salariale'!$Q98*0.6,4)*Basisbedragen!$I$7,2),ROUND(Basisbedragen!$D$34*Basisbedragen!$I$7,2)),ROUND(ROUND(Basisbedragen!$D$28*0.6,4)*Basisbedragen!$I$7,2))&lt;= Basisbedragen!$I$8,MIN(MAX(ROUND(ROUND('Loonschijven_Tranches salariale'!$Q98*0.6,4)*Basisbedragen!$I$2,2),ROUND(Basisbedragen!$D$34*Basisbedragen!$I$2,2)),ROUND(ROUND(Basisbedragen!$D$28*0.6,4)*Basisbedragen!$I$2,2)),MIN(MAX(ROUND(ROUND('Loonschijven_Tranches salariale'!$Q98*0.6,4)*Basisbedragen!$I$7,2),ROUND(Basisbedragen!$D$34*Basisbedragen!$I$7,2)),ROUND(ROUND(Basisbedragen!$D$28*0.6,4)*Basisbedragen!$I$7,2))+Basisbedragen!$I$10)</f>
        <v>93.37</v>
      </c>
      <c r="E103" s="52">
        <f>MIN(MAX(ROUND(ROUND('Loonschijven_Tranches salariale'!$Q98*0.6,4)*Basisbedragen!$I$2,2),ROUND(Basisbedragen!$D$35*Basisbedragen!$I$2,2)),ROUND(ROUND(Basisbedragen!$D$29*0.6,4)*Basisbedragen!$I$2,2))</f>
        <v>76.81</v>
      </c>
      <c r="G103" s="52">
        <f t="shared" si="5"/>
        <v>70.989999999999995</v>
      </c>
      <c r="I103" s="52">
        <f>IF(MIN(MAX(ROUND(ROUND('Loonschijven_Tranches salariale'!$Q98*0.65,4)*Basisbedragen!$I$7,2),ROUND(Basisbedragen!$D$36*Basisbedragen!$I$7,2)),ROUND(ROUND(Basisbedragen!$D$27*0.65,4)*Basisbedragen!$I$7,2))&lt;= Basisbedragen!$I$8,MIN(MAX(ROUND(ROUND('Loonschijven_Tranches salariale'!$Q98*0.65,4)*Basisbedragen!$I$2,2),ROUND(Basisbedragen!$D$36*Basisbedragen!$I$2,2)),ROUND(ROUND(Basisbedragen!$D$27*0.65,4)*Basisbedragen!$I$2,2)),MIN(MAX(ROUND(ROUND('Loonschijven_Tranches salariale'!$Q98*0.65,4)*Basisbedragen!$I$7,2),ROUND(Basisbedragen!$D$36*Basisbedragen!$I$7,2)),ROUND(ROUND(Basisbedragen!$D$27*0.65,4)*Basisbedragen!$I$7,2))+Basisbedragen!$I$10)</f>
        <v>101.02000000000001</v>
      </c>
      <c r="J103" s="52">
        <f>IF(MIN(MAX(ROUND(ROUND('Loonschijven_Tranches salariale'!$Q98*0.6,4)*Basisbedragen!$I$7,2),ROUND(Basisbedragen!$D$36*Basisbedragen!$I$7,2)),ROUND(ROUND(Basisbedragen!$D$28*0.6,4)*Basisbedragen!$I$7,2))&lt;= Basisbedragen!$I$8,MIN(MAX(ROUND(ROUND('Loonschijven_Tranches salariale'!$Q98*0.6,4)*Basisbedragen!$I$2,2),ROUND(Basisbedragen!$D$36*Basisbedragen!$I$2,2)),ROUND(ROUND(Basisbedragen!$D$28*0.6,4)*Basisbedragen!$I$2,2)),MIN(MAX(ROUND(ROUND('Loonschijven_Tranches salariale'!$Q98*0.6,4)*Basisbedragen!$I$7,2),ROUND(Basisbedragen!$D$36*Basisbedragen!$I$7,2)),ROUND(ROUND(Basisbedragen!$D$28*0.6,4)*Basisbedragen!$I$7,2))+Basisbedragen!$I$10)</f>
        <v>93.37</v>
      </c>
      <c r="K103" s="52">
        <f>MIN(MAX(ROUND(ROUND('Loonschijven_Tranches salariale'!$Q98*0.6,4)*Basisbedragen!$I$2,2),ROUND(Basisbedragen!$D$37*Basisbedragen!$I$2,2)),ROUND(ROUND(Basisbedragen!$D$29*0.6,4)*Basisbedragen!$I$2,2))</f>
        <v>76.81</v>
      </c>
      <c r="M103" s="52">
        <f t="shared" si="6"/>
        <v>57.53</v>
      </c>
      <c r="O103" s="52">
        <f>IF(MIN(MAX(ROUND(ROUND('Loonschijven_Tranches salariale'!$Q98*0.65,4)*Basisbedragen!$I$7,2),ROUND(Basisbedragen!$D$38*Basisbedragen!$I$7,2)),ROUND(ROUND(Basisbedragen!$D$27*0.65,4)*Basisbedragen!$I$7,2))&lt;= Basisbedragen!$I$8,MIN(MAX(ROUND(ROUND('Loonschijven_Tranches salariale'!$Q98*0.65,4)*Basisbedragen!$I$2,2),ROUND(Basisbedragen!$D$38*Basisbedragen!$I$2,2)),ROUND(ROUND(Basisbedragen!$D$27*0.65,4)*Basisbedragen!$I$2,2)),MIN(MAX(ROUND(ROUND('Loonschijven_Tranches salariale'!$Q98*0.65,4)*Basisbedragen!$I$7,2),ROUND(Basisbedragen!$D$38*Basisbedragen!$I$7,2)),ROUND(ROUND(Basisbedragen!$D$27*0.65,4)*Basisbedragen!$I$7,2))+Basisbedragen!$I$10)</f>
        <v>101.02000000000001</v>
      </c>
      <c r="P103" s="52">
        <f>IF(MIN(MAX(ROUND(ROUND('Loonschijven_Tranches salariale'!$Q98*0.6,4)*Basisbedragen!$I$7,2),ROUND(Basisbedragen!$D$39*Basisbedragen!$I$7,2)),ROUND(ROUND(Basisbedragen!$D$28*0.6,4)*Basisbedragen!$I$7,2))&lt;= Basisbedragen!$I$8,MIN(MAX(ROUND(ROUND('Loonschijven_Tranches salariale'!$Q98*0.6,4)*Basisbedragen!$I$2,2),ROUND(Basisbedragen!$D$39*Basisbedragen!$I$2,2)),ROUND(ROUND(Basisbedragen!$D$28*0.6,4)*Basisbedragen!$I$2,2)),MIN(MAX(ROUND(ROUND('Loonschijven_Tranches salariale'!$Q98*0.6,4)*Basisbedragen!$I$7,2),ROUND(Basisbedragen!$D$39*Basisbedragen!$I$7,2)),ROUND(ROUND(Basisbedragen!$D$28*0.6,4)*Basisbedragen!$I$7,2))+Basisbedragen!$I$10)</f>
        <v>93.37</v>
      </c>
      <c r="Q103" s="52">
        <f>MIN(MAX(ROUND(ROUND('Loonschijven_Tranches salariale'!$Q98*0.6,4)*Basisbedragen!$I$2,2),ROUND(Basisbedragen!$D$40*Basisbedragen!$I$2,2)),ROUND(ROUND(Basisbedragen!$D$29*0.6,4)*Basisbedragen!$I$2,2))</f>
        <v>76.81</v>
      </c>
      <c r="S103" s="52">
        <f t="shared" si="7"/>
        <v>42.37</v>
      </c>
      <c r="T103" s="52">
        <f t="shared" si="8"/>
        <v>29.85</v>
      </c>
    </row>
    <row r="104" spans="1:20" ht="15" thickBot="1">
      <c r="A104" s="47">
        <f t="shared" si="10"/>
        <v>92</v>
      </c>
      <c r="C104" s="52">
        <f>IF(MIN(MAX(ROUND(ROUND('Loonschijven_Tranches salariale'!$Q99*0.65,4)*Basisbedragen!$I$7,2),ROUND(Basisbedragen!$D$34*Basisbedragen!$I$7,2)),ROUND(ROUND(Basisbedragen!$D$27*0.65,4)*Basisbedragen!$I$7,2))&lt;= Basisbedragen!$I$8,MIN(MAX(ROUND(ROUND('Loonschijven_Tranches salariale'!$Q99*0.65,4)*Basisbedragen!$I$2,2),ROUND(Basisbedragen!$D$34*Basisbedragen!$I$2,2)),ROUND(ROUND(Basisbedragen!$D$27*0.65,4)*Basisbedragen!$I$2,2)),MIN(MAX(ROUND(ROUND('Loonschijven_Tranches salariale'!$Q99*0.65,4)*Basisbedragen!$I$7,2),ROUND(Basisbedragen!$D$34*Basisbedragen!$I$7,2)),ROUND(ROUND(Basisbedragen!$D$27*0.65,4)*Basisbedragen!$I$7,2))+Basisbedragen!$I$10)</f>
        <v>102.01</v>
      </c>
      <c r="D104" s="52">
        <f>IF(MIN(MAX(ROUND(ROUND('Loonschijven_Tranches salariale'!$Q99*0.6,4)*Basisbedragen!$I$7,2),ROUND(Basisbedragen!$D$34*Basisbedragen!$I$7,2)),ROUND(ROUND(Basisbedragen!$D$28*0.6,4)*Basisbedragen!$I$7,2))&lt;= Basisbedragen!$I$8,MIN(MAX(ROUND(ROUND('Loonschijven_Tranches salariale'!$Q99*0.6,4)*Basisbedragen!$I$2,2),ROUND(Basisbedragen!$D$34*Basisbedragen!$I$2,2)),ROUND(ROUND(Basisbedragen!$D$28*0.6,4)*Basisbedragen!$I$2,2)),MIN(MAX(ROUND(ROUND('Loonschijven_Tranches salariale'!$Q99*0.6,4)*Basisbedragen!$I$7,2),ROUND(Basisbedragen!$D$34*Basisbedragen!$I$7,2)),ROUND(ROUND(Basisbedragen!$D$28*0.6,4)*Basisbedragen!$I$7,2))+Basisbedragen!$I$10)</f>
        <v>94.100000000000009</v>
      </c>
      <c r="E104" s="52">
        <f>MIN(MAX(ROUND(ROUND('Loonschijven_Tranches salariale'!$Q99*0.6,4)*Basisbedragen!$I$2,2),ROUND(Basisbedragen!$D$35*Basisbedragen!$I$2,2)),ROUND(ROUND(Basisbedragen!$D$29*0.6,4)*Basisbedragen!$I$2,2))</f>
        <v>76.81</v>
      </c>
      <c r="G104" s="52">
        <f t="shared" si="5"/>
        <v>70.989999999999995</v>
      </c>
      <c r="I104" s="52">
        <f>IF(MIN(MAX(ROUND(ROUND('Loonschijven_Tranches salariale'!$Q99*0.65,4)*Basisbedragen!$I$7,2),ROUND(Basisbedragen!$D$36*Basisbedragen!$I$7,2)),ROUND(ROUND(Basisbedragen!$D$27*0.65,4)*Basisbedragen!$I$7,2))&lt;= Basisbedragen!$I$8,MIN(MAX(ROUND(ROUND('Loonschijven_Tranches salariale'!$Q99*0.65,4)*Basisbedragen!$I$2,2),ROUND(Basisbedragen!$D$36*Basisbedragen!$I$2,2)),ROUND(ROUND(Basisbedragen!$D$27*0.65,4)*Basisbedragen!$I$2,2)),MIN(MAX(ROUND(ROUND('Loonschijven_Tranches salariale'!$Q99*0.65,4)*Basisbedragen!$I$7,2),ROUND(Basisbedragen!$D$36*Basisbedragen!$I$7,2)),ROUND(ROUND(Basisbedragen!$D$27*0.65,4)*Basisbedragen!$I$7,2))+Basisbedragen!$I$10)</f>
        <v>102.01</v>
      </c>
      <c r="J104" s="52">
        <f>IF(MIN(MAX(ROUND(ROUND('Loonschijven_Tranches salariale'!$Q99*0.6,4)*Basisbedragen!$I$7,2),ROUND(Basisbedragen!$D$36*Basisbedragen!$I$7,2)),ROUND(ROUND(Basisbedragen!$D$28*0.6,4)*Basisbedragen!$I$7,2))&lt;= Basisbedragen!$I$8,MIN(MAX(ROUND(ROUND('Loonschijven_Tranches salariale'!$Q99*0.6,4)*Basisbedragen!$I$2,2),ROUND(Basisbedragen!$D$36*Basisbedragen!$I$2,2)),ROUND(ROUND(Basisbedragen!$D$28*0.6,4)*Basisbedragen!$I$2,2)),MIN(MAX(ROUND(ROUND('Loonschijven_Tranches salariale'!$Q99*0.6,4)*Basisbedragen!$I$7,2),ROUND(Basisbedragen!$D$36*Basisbedragen!$I$7,2)),ROUND(ROUND(Basisbedragen!$D$28*0.6,4)*Basisbedragen!$I$7,2))+Basisbedragen!$I$10)</f>
        <v>94.100000000000009</v>
      </c>
      <c r="K104" s="52">
        <f>MIN(MAX(ROUND(ROUND('Loonschijven_Tranches salariale'!$Q99*0.6,4)*Basisbedragen!$I$2,2),ROUND(Basisbedragen!$D$37*Basisbedragen!$I$2,2)),ROUND(ROUND(Basisbedragen!$D$29*0.6,4)*Basisbedragen!$I$2,2))</f>
        <v>76.81</v>
      </c>
      <c r="M104" s="52">
        <f t="shared" si="6"/>
        <v>57.53</v>
      </c>
      <c r="O104" s="52">
        <f>IF(MIN(MAX(ROUND(ROUND('Loonschijven_Tranches salariale'!$Q99*0.65,4)*Basisbedragen!$I$7,2),ROUND(Basisbedragen!$D$38*Basisbedragen!$I$7,2)),ROUND(ROUND(Basisbedragen!$D$27*0.65,4)*Basisbedragen!$I$7,2))&lt;= Basisbedragen!$I$8,MIN(MAX(ROUND(ROUND('Loonschijven_Tranches salariale'!$Q99*0.65,4)*Basisbedragen!$I$2,2),ROUND(Basisbedragen!$D$38*Basisbedragen!$I$2,2)),ROUND(ROUND(Basisbedragen!$D$27*0.65,4)*Basisbedragen!$I$2,2)),MIN(MAX(ROUND(ROUND('Loonschijven_Tranches salariale'!$Q99*0.65,4)*Basisbedragen!$I$7,2),ROUND(Basisbedragen!$D$38*Basisbedragen!$I$7,2)),ROUND(ROUND(Basisbedragen!$D$27*0.65,4)*Basisbedragen!$I$7,2))+Basisbedragen!$I$10)</f>
        <v>102.01</v>
      </c>
      <c r="P104" s="52">
        <f>IF(MIN(MAX(ROUND(ROUND('Loonschijven_Tranches salariale'!$Q99*0.6,4)*Basisbedragen!$I$7,2),ROUND(Basisbedragen!$D$39*Basisbedragen!$I$7,2)),ROUND(ROUND(Basisbedragen!$D$28*0.6,4)*Basisbedragen!$I$7,2))&lt;= Basisbedragen!$I$8,MIN(MAX(ROUND(ROUND('Loonschijven_Tranches salariale'!$Q99*0.6,4)*Basisbedragen!$I$2,2),ROUND(Basisbedragen!$D$39*Basisbedragen!$I$2,2)),ROUND(ROUND(Basisbedragen!$D$28*0.6,4)*Basisbedragen!$I$2,2)),MIN(MAX(ROUND(ROUND('Loonschijven_Tranches salariale'!$Q99*0.6,4)*Basisbedragen!$I$7,2),ROUND(Basisbedragen!$D$39*Basisbedragen!$I$7,2)),ROUND(ROUND(Basisbedragen!$D$28*0.6,4)*Basisbedragen!$I$7,2))+Basisbedragen!$I$10)</f>
        <v>94.100000000000009</v>
      </c>
      <c r="Q104" s="52">
        <f>MIN(MAX(ROUND(ROUND('Loonschijven_Tranches salariale'!$Q99*0.6,4)*Basisbedragen!$I$2,2),ROUND(Basisbedragen!$D$40*Basisbedragen!$I$2,2)),ROUND(ROUND(Basisbedragen!$D$29*0.6,4)*Basisbedragen!$I$2,2))</f>
        <v>76.81</v>
      </c>
      <c r="S104" s="52">
        <f t="shared" si="7"/>
        <v>42.37</v>
      </c>
      <c r="T104" s="52">
        <f t="shared" si="8"/>
        <v>29.85</v>
      </c>
    </row>
    <row r="105" spans="1:20" ht="15" thickBot="1">
      <c r="A105" s="47">
        <f t="shared" si="10"/>
        <v>93</v>
      </c>
      <c r="C105" s="52">
        <f>IF(MIN(MAX(ROUND(ROUND('Loonschijven_Tranches salariale'!$Q100*0.65,4)*Basisbedragen!$I$7,2),ROUND(Basisbedragen!$D$34*Basisbedragen!$I$7,2)),ROUND(ROUND(Basisbedragen!$D$27*0.65,4)*Basisbedragen!$I$7,2))&lt;= Basisbedragen!$I$8,MIN(MAX(ROUND(ROUND('Loonschijven_Tranches salariale'!$Q100*0.65,4)*Basisbedragen!$I$2,2),ROUND(Basisbedragen!$D$34*Basisbedragen!$I$2,2)),ROUND(ROUND(Basisbedragen!$D$27*0.65,4)*Basisbedragen!$I$2,2)),MIN(MAX(ROUND(ROUND('Loonschijven_Tranches salariale'!$Q100*0.65,4)*Basisbedragen!$I$7,2),ROUND(Basisbedragen!$D$34*Basisbedragen!$I$7,2)),ROUND(ROUND(Basisbedragen!$D$27*0.65,4)*Basisbedragen!$I$7,2))+Basisbedragen!$I$10)</f>
        <v>103.01</v>
      </c>
      <c r="D105" s="52">
        <f>IF(MIN(MAX(ROUND(ROUND('Loonschijven_Tranches salariale'!$Q100*0.6,4)*Basisbedragen!$I$7,2),ROUND(Basisbedragen!$D$34*Basisbedragen!$I$7,2)),ROUND(ROUND(Basisbedragen!$D$28*0.6,4)*Basisbedragen!$I$7,2))&lt;= Basisbedragen!$I$8,MIN(MAX(ROUND(ROUND('Loonschijven_Tranches salariale'!$Q100*0.6,4)*Basisbedragen!$I$2,2),ROUND(Basisbedragen!$D$34*Basisbedragen!$I$2,2)),ROUND(ROUND(Basisbedragen!$D$28*0.6,4)*Basisbedragen!$I$2,2)),MIN(MAX(ROUND(ROUND('Loonschijven_Tranches salariale'!$Q100*0.6,4)*Basisbedragen!$I$7,2),ROUND(Basisbedragen!$D$34*Basisbedragen!$I$7,2)),ROUND(ROUND(Basisbedragen!$D$28*0.6,4)*Basisbedragen!$I$7,2))+Basisbedragen!$I$10)</f>
        <v>94.100000000000009</v>
      </c>
      <c r="E105" s="52">
        <f>MIN(MAX(ROUND(ROUND('Loonschijven_Tranches salariale'!$Q100*0.6,4)*Basisbedragen!$I$2,2),ROUND(Basisbedragen!$D$35*Basisbedragen!$I$2,2)),ROUND(ROUND(Basisbedragen!$D$29*0.6,4)*Basisbedragen!$I$2,2))</f>
        <v>76.81</v>
      </c>
      <c r="G105" s="52">
        <f t="shared" si="5"/>
        <v>70.989999999999995</v>
      </c>
      <c r="I105" s="52">
        <f>IF(MIN(MAX(ROUND(ROUND('Loonschijven_Tranches salariale'!$Q100*0.65,4)*Basisbedragen!$I$7,2),ROUND(Basisbedragen!$D$36*Basisbedragen!$I$7,2)),ROUND(ROUND(Basisbedragen!$D$27*0.65,4)*Basisbedragen!$I$7,2))&lt;= Basisbedragen!$I$8,MIN(MAX(ROUND(ROUND('Loonschijven_Tranches salariale'!$Q100*0.65,4)*Basisbedragen!$I$2,2),ROUND(Basisbedragen!$D$36*Basisbedragen!$I$2,2)),ROUND(ROUND(Basisbedragen!$D$27*0.65,4)*Basisbedragen!$I$2,2)),MIN(MAX(ROUND(ROUND('Loonschijven_Tranches salariale'!$Q100*0.65,4)*Basisbedragen!$I$7,2),ROUND(Basisbedragen!$D$36*Basisbedragen!$I$7,2)),ROUND(ROUND(Basisbedragen!$D$27*0.65,4)*Basisbedragen!$I$7,2))+Basisbedragen!$I$10)</f>
        <v>103.01</v>
      </c>
      <c r="J105" s="52">
        <f>IF(MIN(MAX(ROUND(ROUND('Loonschijven_Tranches salariale'!$Q100*0.6,4)*Basisbedragen!$I$7,2),ROUND(Basisbedragen!$D$36*Basisbedragen!$I$7,2)),ROUND(ROUND(Basisbedragen!$D$28*0.6,4)*Basisbedragen!$I$7,2))&lt;= Basisbedragen!$I$8,MIN(MAX(ROUND(ROUND('Loonschijven_Tranches salariale'!$Q100*0.6,4)*Basisbedragen!$I$2,2),ROUND(Basisbedragen!$D$36*Basisbedragen!$I$2,2)),ROUND(ROUND(Basisbedragen!$D$28*0.6,4)*Basisbedragen!$I$2,2)),MIN(MAX(ROUND(ROUND('Loonschijven_Tranches salariale'!$Q100*0.6,4)*Basisbedragen!$I$7,2),ROUND(Basisbedragen!$D$36*Basisbedragen!$I$7,2)),ROUND(ROUND(Basisbedragen!$D$28*0.6,4)*Basisbedragen!$I$7,2))+Basisbedragen!$I$10)</f>
        <v>94.100000000000009</v>
      </c>
      <c r="K105" s="52">
        <f>MIN(MAX(ROUND(ROUND('Loonschijven_Tranches salariale'!$Q100*0.6,4)*Basisbedragen!$I$2,2),ROUND(Basisbedragen!$D$37*Basisbedragen!$I$2,2)),ROUND(ROUND(Basisbedragen!$D$29*0.6,4)*Basisbedragen!$I$2,2))</f>
        <v>76.81</v>
      </c>
      <c r="M105" s="52">
        <f t="shared" si="6"/>
        <v>57.53</v>
      </c>
      <c r="O105" s="52">
        <f>IF(MIN(MAX(ROUND(ROUND('Loonschijven_Tranches salariale'!$Q100*0.65,4)*Basisbedragen!$I$7,2),ROUND(Basisbedragen!$D$38*Basisbedragen!$I$7,2)),ROUND(ROUND(Basisbedragen!$D$27*0.65,4)*Basisbedragen!$I$7,2))&lt;= Basisbedragen!$I$8,MIN(MAX(ROUND(ROUND('Loonschijven_Tranches salariale'!$Q100*0.65,4)*Basisbedragen!$I$2,2),ROUND(Basisbedragen!$D$38*Basisbedragen!$I$2,2)),ROUND(ROUND(Basisbedragen!$D$27*0.65,4)*Basisbedragen!$I$2,2)),MIN(MAX(ROUND(ROUND('Loonschijven_Tranches salariale'!$Q100*0.65,4)*Basisbedragen!$I$7,2),ROUND(Basisbedragen!$D$38*Basisbedragen!$I$7,2)),ROUND(ROUND(Basisbedragen!$D$27*0.65,4)*Basisbedragen!$I$7,2))+Basisbedragen!$I$10)</f>
        <v>103.01</v>
      </c>
      <c r="P105" s="52">
        <f>IF(MIN(MAX(ROUND(ROUND('Loonschijven_Tranches salariale'!$Q100*0.6,4)*Basisbedragen!$I$7,2),ROUND(Basisbedragen!$D$39*Basisbedragen!$I$7,2)),ROUND(ROUND(Basisbedragen!$D$28*0.6,4)*Basisbedragen!$I$7,2))&lt;= Basisbedragen!$I$8,MIN(MAX(ROUND(ROUND('Loonschijven_Tranches salariale'!$Q100*0.6,4)*Basisbedragen!$I$2,2),ROUND(Basisbedragen!$D$39*Basisbedragen!$I$2,2)),ROUND(ROUND(Basisbedragen!$D$28*0.6,4)*Basisbedragen!$I$2,2)),MIN(MAX(ROUND(ROUND('Loonschijven_Tranches salariale'!$Q100*0.6,4)*Basisbedragen!$I$7,2),ROUND(Basisbedragen!$D$39*Basisbedragen!$I$7,2)),ROUND(ROUND(Basisbedragen!$D$28*0.6,4)*Basisbedragen!$I$7,2))+Basisbedragen!$I$10)</f>
        <v>94.100000000000009</v>
      </c>
      <c r="Q105" s="52">
        <f>MIN(MAX(ROUND(ROUND('Loonschijven_Tranches salariale'!$Q100*0.6,4)*Basisbedragen!$I$2,2),ROUND(Basisbedragen!$D$40*Basisbedragen!$I$2,2)),ROUND(ROUND(Basisbedragen!$D$29*0.6,4)*Basisbedragen!$I$2,2))</f>
        <v>76.81</v>
      </c>
      <c r="S105" s="52">
        <f t="shared" si="7"/>
        <v>42.37</v>
      </c>
      <c r="T105" s="52">
        <f t="shared" si="8"/>
        <v>29.85</v>
      </c>
    </row>
    <row r="106" spans="1:20" ht="15" thickBot="1">
      <c r="A106" s="47">
        <f t="shared" si="10"/>
        <v>94</v>
      </c>
      <c r="C106" s="52">
        <f>IF(MIN(MAX(ROUND(ROUND('Loonschijven_Tranches salariale'!$Q101*0.65,4)*Basisbedragen!$I$7,2),ROUND(Basisbedragen!$D$34*Basisbedragen!$I$7,2)),ROUND(ROUND(Basisbedragen!$D$27*0.65,4)*Basisbedragen!$I$7,2))&lt;= Basisbedragen!$I$8,MIN(MAX(ROUND(ROUND('Loonschijven_Tranches salariale'!$Q101*0.65,4)*Basisbedragen!$I$2,2),ROUND(Basisbedragen!$D$34*Basisbedragen!$I$2,2)),ROUND(ROUND(Basisbedragen!$D$27*0.65,4)*Basisbedragen!$I$2,2)),MIN(MAX(ROUND(ROUND('Loonschijven_Tranches salariale'!$Q101*0.65,4)*Basisbedragen!$I$7,2),ROUND(Basisbedragen!$D$34*Basisbedragen!$I$7,2)),ROUND(ROUND(Basisbedragen!$D$27*0.65,4)*Basisbedragen!$I$7,2))+Basisbedragen!$I$10)</f>
        <v>104.01</v>
      </c>
      <c r="D106" s="52">
        <f>IF(MIN(MAX(ROUND(ROUND('Loonschijven_Tranches salariale'!$Q101*0.6,4)*Basisbedragen!$I$7,2),ROUND(Basisbedragen!$D$34*Basisbedragen!$I$7,2)),ROUND(ROUND(Basisbedragen!$D$28*0.6,4)*Basisbedragen!$I$7,2))&lt;= Basisbedragen!$I$8,MIN(MAX(ROUND(ROUND('Loonschijven_Tranches salariale'!$Q101*0.6,4)*Basisbedragen!$I$2,2),ROUND(Basisbedragen!$D$34*Basisbedragen!$I$2,2)),ROUND(ROUND(Basisbedragen!$D$28*0.6,4)*Basisbedragen!$I$2,2)),MIN(MAX(ROUND(ROUND('Loonschijven_Tranches salariale'!$Q101*0.6,4)*Basisbedragen!$I$7,2),ROUND(Basisbedragen!$D$34*Basisbedragen!$I$7,2)),ROUND(ROUND(Basisbedragen!$D$28*0.6,4)*Basisbedragen!$I$7,2))+Basisbedragen!$I$10)</f>
        <v>94.100000000000009</v>
      </c>
      <c r="E106" s="52">
        <f>MIN(MAX(ROUND(ROUND('Loonschijven_Tranches salariale'!$Q101*0.6,4)*Basisbedragen!$I$2,2),ROUND(Basisbedragen!$D$35*Basisbedragen!$I$2,2)),ROUND(ROUND(Basisbedragen!$D$29*0.6,4)*Basisbedragen!$I$2,2))</f>
        <v>76.81</v>
      </c>
      <c r="G106" s="52">
        <f t="shared" si="5"/>
        <v>70.989999999999995</v>
      </c>
      <c r="I106" s="52">
        <f>IF(MIN(MAX(ROUND(ROUND('Loonschijven_Tranches salariale'!$Q101*0.65,4)*Basisbedragen!$I$7,2),ROUND(Basisbedragen!$D$36*Basisbedragen!$I$7,2)),ROUND(ROUND(Basisbedragen!$D$27*0.65,4)*Basisbedragen!$I$7,2))&lt;= Basisbedragen!$I$8,MIN(MAX(ROUND(ROUND('Loonschijven_Tranches salariale'!$Q101*0.65,4)*Basisbedragen!$I$2,2),ROUND(Basisbedragen!$D$36*Basisbedragen!$I$2,2)),ROUND(ROUND(Basisbedragen!$D$27*0.65,4)*Basisbedragen!$I$2,2)),MIN(MAX(ROUND(ROUND('Loonschijven_Tranches salariale'!$Q101*0.65,4)*Basisbedragen!$I$7,2),ROUND(Basisbedragen!$D$36*Basisbedragen!$I$7,2)),ROUND(ROUND(Basisbedragen!$D$27*0.65,4)*Basisbedragen!$I$7,2))+Basisbedragen!$I$10)</f>
        <v>104.01</v>
      </c>
      <c r="J106" s="52">
        <f>IF(MIN(MAX(ROUND(ROUND('Loonschijven_Tranches salariale'!$Q101*0.6,4)*Basisbedragen!$I$7,2),ROUND(Basisbedragen!$D$36*Basisbedragen!$I$7,2)),ROUND(ROUND(Basisbedragen!$D$28*0.6,4)*Basisbedragen!$I$7,2))&lt;= Basisbedragen!$I$8,MIN(MAX(ROUND(ROUND('Loonschijven_Tranches salariale'!$Q101*0.6,4)*Basisbedragen!$I$2,2),ROUND(Basisbedragen!$D$36*Basisbedragen!$I$2,2)),ROUND(ROUND(Basisbedragen!$D$28*0.6,4)*Basisbedragen!$I$2,2)),MIN(MAX(ROUND(ROUND('Loonschijven_Tranches salariale'!$Q101*0.6,4)*Basisbedragen!$I$7,2),ROUND(Basisbedragen!$D$36*Basisbedragen!$I$7,2)),ROUND(ROUND(Basisbedragen!$D$28*0.6,4)*Basisbedragen!$I$7,2))+Basisbedragen!$I$10)</f>
        <v>94.100000000000009</v>
      </c>
      <c r="K106" s="52">
        <f>MIN(MAX(ROUND(ROUND('Loonschijven_Tranches salariale'!$Q101*0.6,4)*Basisbedragen!$I$2,2),ROUND(Basisbedragen!$D$37*Basisbedragen!$I$2,2)),ROUND(ROUND(Basisbedragen!$D$29*0.6,4)*Basisbedragen!$I$2,2))</f>
        <v>76.81</v>
      </c>
      <c r="M106" s="52">
        <f t="shared" si="6"/>
        <v>57.53</v>
      </c>
      <c r="O106" s="52">
        <f>IF(MIN(MAX(ROUND(ROUND('Loonschijven_Tranches salariale'!$Q101*0.65,4)*Basisbedragen!$I$7,2),ROUND(Basisbedragen!$D$38*Basisbedragen!$I$7,2)),ROUND(ROUND(Basisbedragen!$D$27*0.65,4)*Basisbedragen!$I$7,2))&lt;= Basisbedragen!$I$8,MIN(MAX(ROUND(ROUND('Loonschijven_Tranches salariale'!$Q101*0.65,4)*Basisbedragen!$I$2,2),ROUND(Basisbedragen!$D$38*Basisbedragen!$I$2,2)),ROUND(ROUND(Basisbedragen!$D$27*0.65,4)*Basisbedragen!$I$2,2)),MIN(MAX(ROUND(ROUND('Loonschijven_Tranches salariale'!$Q101*0.65,4)*Basisbedragen!$I$7,2),ROUND(Basisbedragen!$D$38*Basisbedragen!$I$7,2)),ROUND(ROUND(Basisbedragen!$D$27*0.65,4)*Basisbedragen!$I$7,2))+Basisbedragen!$I$10)</f>
        <v>104.01</v>
      </c>
      <c r="P106" s="52">
        <f>IF(MIN(MAX(ROUND(ROUND('Loonschijven_Tranches salariale'!$Q101*0.6,4)*Basisbedragen!$I$7,2),ROUND(Basisbedragen!$D$39*Basisbedragen!$I$7,2)),ROUND(ROUND(Basisbedragen!$D$28*0.6,4)*Basisbedragen!$I$7,2))&lt;= Basisbedragen!$I$8,MIN(MAX(ROUND(ROUND('Loonschijven_Tranches salariale'!$Q101*0.6,4)*Basisbedragen!$I$2,2),ROUND(Basisbedragen!$D$39*Basisbedragen!$I$2,2)),ROUND(ROUND(Basisbedragen!$D$28*0.6,4)*Basisbedragen!$I$2,2)),MIN(MAX(ROUND(ROUND('Loonschijven_Tranches salariale'!$Q101*0.6,4)*Basisbedragen!$I$7,2),ROUND(Basisbedragen!$D$39*Basisbedragen!$I$7,2)),ROUND(ROUND(Basisbedragen!$D$28*0.6,4)*Basisbedragen!$I$7,2))+Basisbedragen!$I$10)</f>
        <v>94.100000000000009</v>
      </c>
      <c r="Q106" s="52">
        <f>MIN(MAX(ROUND(ROUND('Loonschijven_Tranches salariale'!$Q101*0.6,4)*Basisbedragen!$I$2,2),ROUND(Basisbedragen!$D$40*Basisbedragen!$I$2,2)),ROUND(ROUND(Basisbedragen!$D$29*0.6,4)*Basisbedragen!$I$2,2))</f>
        <v>76.81</v>
      </c>
      <c r="S106" s="52">
        <f t="shared" si="7"/>
        <v>42.37</v>
      </c>
      <c r="T106" s="52">
        <f t="shared" si="8"/>
        <v>29.85</v>
      </c>
    </row>
    <row r="107" spans="1:20" ht="15" thickBot="1">
      <c r="A107" s="47">
        <f t="shared" si="10"/>
        <v>95</v>
      </c>
      <c r="C107" s="52">
        <f>IF(MIN(MAX(ROUND(ROUND('Loonschijven_Tranches salariale'!$Q102*0.65,4)*Basisbedragen!$I$7,2),ROUND(Basisbedragen!$D$34*Basisbedragen!$I$7,2)),ROUND(ROUND(Basisbedragen!$D$27*0.65,4)*Basisbedragen!$I$7,2))&lt;= Basisbedragen!$I$8,MIN(MAX(ROUND(ROUND('Loonschijven_Tranches salariale'!$Q102*0.65,4)*Basisbedragen!$I$2,2),ROUND(Basisbedragen!$D$34*Basisbedragen!$I$2,2)),ROUND(ROUND(Basisbedragen!$D$27*0.65,4)*Basisbedragen!$I$2,2)),MIN(MAX(ROUND(ROUND('Loonschijven_Tranches salariale'!$Q102*0.65,4)*Basisbedragen!$I$7,2),ROUND(Basisbedragen!$D$34*Basisbedragen!$I$7,2)),ROUND(ROUND(Basisbedragen!$D$27*0.65,4)*Basisbedragen!$I$7,2))+Basisbedragen!$I$10)</f>
        <v>105</v>
      </c>
      <c r="D107" s="52">
        <f>IF(MIN(MAX(ROUND(ROUND('Loonschijven_Tranches salariale'!$Q102*0.6,4)*Basisbedragen!$I$7,2),ROUND(Basisbedragen!$D$34*Basisbedragen!$I$7,2)),ROUND(ROUND(Basisbedragen!$D$28*0.6,4)*Basisbedragen!$I$7,2))&lt;= Basisbedragen!$I$8,MIN(MAX(ROUND(ROUND('Loonschijven_Tranches salariale'!$Q102*0.6,4)*Basisbedragen!$I$2,2),ROUND(Basisbedragen!$D$34*Basisbedragen!$I$2,2)),ROUND(ROUND(Basisbedragen!$D$28*0.6,4)*Basisbedragen!$I$2,2)),MIN(MAX(ROUND(ROUND('Loonschijven_Tranches salariale'!$Q102*0.6,4)*Basisbedragen!$I$7,2),ROUND(Basisbedragen!$D$34*Basisbedragen!$I$7,2)),ROUND(ROUND(Basisbedragen!$D$28*0.6,4)*Basisbedragen!$I$7,2))+Basisbedragen!$I$10)</f>
        <v>94.100000000000009</v>
      </c>
      <c r="E107" s="52">
        <f>MIN(MAX(ROUND(ROUND('Loonschijven_Tranches salariale'!$Q102*0.6,4)*Basisbedragen!$I$2,2),ROUND(Basisbedragen!$D$35*Basisbedragen!$I$2,2)),ROUND(ROUND(Basisbedragen!$D$29*0.6,4)*Basisbedragen!$I$2,2))</f>
        <v>76.81</v>
      </c>
      <c r="G107" s="52">
        <f t="shared" si="5"/>
        <v>70.989999999999995</v>
      </c>
      <c r="I107" s="52">
        <f>IF(MIN(MAX(ROUND(ROUND('Loonschijven_Tranches salariale'!$Q102*0.65,4)*Basisbedragen!$I$7,2),ROUND(Basisbedragen!$D$36*Basisbedragen!$I$7,2)),ROUND(ROUND(Basisbedragen!$D$27*0.65,4)*Basisbedragen!$I$7,2))&lt;= Basisbedragen!$I$8,MIN(MAX(ROUND(ROUND('Loonschijven_Tranches salariale'!$Q102*0.65,4)*Basisbedragen!$I$2,2),ROUND(Basisbedragen!$D$36*Basisbedragen!$I$2,2)),ROUND(ROUND(Basisbedragen!$D$27*0.65,4)*Basisbedragen!$I$2,2)),MIN(MAX(ROUND(ROUND('Loonschijven_Tranches salariale'!$Q102*0.65,4)*Basisbedragen!$I$7,2),ROUND(Basisbedragen!$D$36*Basisbedragen!$I$7,2)),ROUND(ROUND(Basisbedragen!$D$27*0.65,4)*Basisbedragen!$I$7,2))+Basisbedragen!$I$10)</f>
        <v>105</v>
      </c>
      <c r="J107" s="52">
        <f>IF(MIN(MAX(ROUND(ROUND('Loonschijven_Tranches salariale'!$Q102*0.6,4)*Basisbedragen!$I$7,2),ROUND(Basisbedragen!$D$36*Basisbedragen!$I$7,2)),ROUND(ROUND(Basisbedragen!$D$28*0.6,4)*Basisbedragen!$I$7,2))&lt;= Basisbedragen!$I$8,MIN(MAX(ROUND(ROUND('Loonschijven_Tranches salariale'!$Q102*0.6,4)*Basisbedragen!$I$2,2),ROUND(Basisbedragen!$D$36*Basisbedragen!$I$2,2)),ROUND(ROUND(Basisbedragen!$D$28*0.6,4)*Basisbedragen!$I$2,2)),MIN(MAX(ROUND(ROUND('Loonschijven_Tranches salariale'!$Q102*0.6,4)*Basisbedragen!$I$7,2),ROUND(Basisbedragen!$D$36*Basisbedragen!$I$7,2)),ROUND(ROUND(Basisbedragen!$D$28*0.6,4)*Basisbedragen!$I$7,2))+Basisbedragen!$I$10)</f>
        <v>94.100000000000009</v>
      </c>
      <c r="K107" s="52">
        <f>MIN(MAX(ROUND(ROUND('Loonschijven_Tranches salariale'!$Q102*0.6,4)*Basisbedragen!$I$2,2),ROUND(Basisbedragen!$D$37*Basisbedragen!$I$2,2)),ROUND(ROUND(Basisbedragen!$D$29*0.6,4)*Basisbedragen!$I$2,2))</f>
        <v>76.81</v>
      </c>
      <c r="M107" s="52">
        <f t="shared" si="6"/>
        <v>57.53</v>
      </c>
      <c r="O107" s="52">
        <f>IF(MIN(MAX(ROUND(ROUND('Loonschijven_Tranches salariale'!$Q102*0.65,4)*Basisbedragen!$I$7,2),ROUND(Basisbedragen!$D$38*Basisbedragen!$I$7,2)),ROUND(ROUND(Basisbedragen!$D$27*0.65,4)*Basisbedragen!$I$7,2))&lt;= Basisbedragen!$I$8,MIN(MAX(ROUND(ROUND('Loonschijven_Tranches salariale'!$Q102*0.65,4)*Basisbedragen!$I$2,2),ROUND(Basisbedragen!$D$38*Basisbedragen!$I$2,2)),ROUND(ROUND(Basisbedragen!$D$27*0.65,4)*Basisbedragen!$I$2,2)),MIN(MAX(ROUND(ROUND('Loonschijven_Tranches salariale'!$Q102*0.65,4)*Basisbedragen!$I$7,2),ROUND(Basisbedragen!$D$38*Basisbedragen!$I$7,2)),ROUND(ROUND(Basisbedragen!$D$27*0.65,4)*Basisbedragen!$I$7,2))+Basisbedragen!$I$10)</f>
        <v>105</v>
      </c>
      <c r="P107" s="52">
        <f>IF(MIN(MAX(ROUND(ROUND('Loonschijven_Tranches salariale'!$Q102*0.6,4)*Basisbedragen!$I$7,2),ROUND(Basisbedragen!$D$39*Basisbedragen!$I$7,2)),ROUND(ROUND(Basisbedragen!$D$28*0.6,4)*Basisbedragen!$I$7,2))&lt;= Basisbedragen!$I$8,MIN(MAX(ROUND(ROUND('Loonschijven_Tranches salariale'!$Q102*0.6,4)*Basisbedragen!$I$2,2),ROUND(Basisbedragen!$D$39*Basisbedragen!$I$2,2)),ROUND(ROUND(Basisbedragen!$D$28*0.6,4)*Basisbedragen!$I$2,2)),MIN(MAX(ROUND(ROUND('Loonschijven_Tranches salariale'!$Q102*0.6,4)*Basisbedragen!$I$7,2),ROUND(Basisbedragen!$D$39*Basisbedragen!$I$7,2)),ROUND(ROUND(Basisbedragen!$D$28*0.6,4)*Basisbedragen!$I$7,2))+Basisbedragen!$I$10)</f>
        <v>94.100000000000009</v>
      </c>
      <c r="Q107" s="52">
        <f>MIN(MAX(ROUND(ROUND('Loonschijven_Tranches salariale'!$Q102*0.6,4)*Basisbedragen!$I$2,2),ROUND(Basisbedragen!$D$40*Basisbedragen!$I$2,2)),ROUND(ROUND(Basisbedragen!$D$29*0.6,4)*Basisbedragen!$I$2,2))</f>
        <v>76.81</v>
      </c>
      <c r="S107" s="52">
        <f t="shared" si="7"/>
        <v>42.37</v>
      </c>
      <c r="T107" s="52">
        <f t="shared" si="8"/>
        <v>29.85</v>
      </c>
    </row>
    <row r="108" spans="1:20" ht="15" thickBot="1">
      <c r="A108" s="47">
        <f t="shared" si="10"/>
        <v>96</v>
      </c>
      <c r="C108" s="52">
        <f>IF(MIN(MAX(ROUND(ROUND('Loonschijven_Tranches salariale'!$Q103*0.65,4)*Basisbedragen!$I$7,2),ROUND(Basisbedragen!$D$34*Basisbedragen!$I$7,2)),ROUND(ROUND(Basisbedragen!$D$27*0.65,4)*Basisbedragen!$I$7,2))&lt;= Basisbedragen!$I$8,MIN(MAX(ROUND(ROUND('Loonschijven_Tranches salariale'!$Q103*0.65,4)*Basisbedragen!$I$2,2),ROUND(Basisbedragen!$D$34*Basisbedragen!$I$2,2)),ROUND(ROUND(Basisbedragen!$D$27*0.65,4)*Basisbedragen!$I$2,2)),MIN(MAX(ROUND(ROUND('Loonschijven_Tranches salariale'!$Q103*0.65,4)*Basisbedragen!$I$7,2),ROUND(Basisbedragen!$D$34*Basisbedragen!$I$7,2)),ROUND(ROUND(Basisbedragen!$D$27*0.65,4)*Basisbedragen!$I$7,2))+Basisbedragen!$I$10)</f>
        <v>106</v>
      </c>
      <c r="D108" s="52">
        <f>IF(MIN(MAX(ROUND(ROUND('Loonschijven_Tranches salariale'!$Q103*0.6,4)*Basisbedragen!$I$7,2),ROUND(Basisbedragen!$D$34*Basisbedragen!$I$7,2)),ROUND(ROUND(Basisbedragen!$D$28*0.6,4)*Basisbedragen!$I$7,2))&lt;= Basisbedragen!$I$8,MIN(MAX(ROUND(ROUND('Loonschijven_Tranches salariale'!$Q103*0.6,4)*Basisbedragen!$I$2,2),ROUND(Basisbedragen!$D$34*Basisbedragen!$I$2,2)),ROUND(ROUND(Basisbedragen!$D$28*0.6,4)*Basisbedragen!$I$2,2)),MIN(MAX(ROUND(ROUND('Loonschijven_Tranches salariale'!$Q103*0.6,4)*Basisbedragen!$I$7,2),ROUND(Basisbedragen!$D$34*Basisbedragen!$I$7,2)),ROUND(ROUND(Basisbedragen!$D$28*0.6,4)*Basisbedragen!$I$7,2))+Basisbedragen!$I$10)</f>
        <v>94.100000000000009</v>
      </c>
      <c r="E108" s="52">
        <f>MIN(MAX(ROUND(ROUND('Loonschijven_Tranches salariale'!$Q103*0.6,4)*Basisbedragen!$I$2,2),ROUND(Basisbedragen!$D$35*Basisbedragen!$I$2,2)),ROUND(ROUND(Basisbedragen!$D$29*0.6,4)*Basisbedragen!$I$2,2))</f>
        <v>76.81</v>
      </c>
      <c r="G108" s="52">
        <f t="shared" si="5"/>
        <v>70.989999999999995</v>
      </c>
      <c r="I108" s="52">
        <f>IF(MIN(MAX(ROUND(ROUND('Loonschijven_Tranches salariale'!$Q103*0.65,4)*Basisbedragen!$I$7,2),ROUND(Basisbedragen!$D$36*Basisbedragen!$I$7,2)),ROUND(ROUND(Basisbedragen!$D$27*0.65,4)*Basisbedragen!$I$7,2))&lt;= Basisbedragen!$I$8,MIN(MAX(ROUND(ROUND('Loonschijven_Tranches salariale'!$Q103*0.65,4)*Basisbedragen!$I$2,2),ROUND(Basisbedragen!$D$36*Basisbedragen!$I$2,2)),ROUND(ROUND(Basisbedragen!$D$27*0.65,4)*Basisbedragen!$I$2,2)),MIN(MAX(ROUND(ROUND('Loonschijven_Tranches salariale'!$Q103*0.65,4)*Basisbedragen!$I$7,2),ROUND(Basisbedragen!$D$36*Basisbedragen!$I$7,2)),ROUND(ROUND(Basisbedragen!$D$27*0.65,4)*Basisbedragen!$I$7,2))+Basisbedragen!$I$10)</f>
        <v>106</v>
      </c>
      <c r="J108" s="52">
        <f>IF(MIN(MAX(ROUND(ROUND('Loonschijven_Tranches salariale'!$Q103*0.6,4)*Basisbedragen!$I$7,2),ROUND(Basisbedragen!$D$36*Basisbedragen!$I$7,2)),ROUND(ROUND(Basisbedragen!$D$28*0.6,4)*Basisbedragen!$I$7,2))&lt;= Basisbedragen!$I$8,MIN(MAX(ROUND(ROUND('Loonschijven_Tranches salariale'!$Q103*0.6,4)*Basisbedragen!$I$2,2),ROUND(Basisbedragen!$D$36*Basisbedragen!$I$2,2)),ROUND(ROUND(Basisbedragen!$D$28*0.6,4)*Basisbedragen!$I$2,2)),MIN(MAX(ROUND(ROUND('Loonschijven_Tranches salariale'!$Q103*0.6,4)*Basisbedragen!$I$7,2),ROUND(Basisbedragen!$D$36*Basisbedragen!$I$7,2)),ROUND(ROUND(Basisbedragen!$D$28*0.6,4)*Basisbedragen!$I$7,2))+Basisbedragen!$I$10)</f>
        <v>94.100000000000009</v>
      </c>
      <c r="K108" s="52">
        <f>MIN(MAX(ROUND(ROUND('Loonschijven_Tranches salariale'!$Q103*0.6,4)*Basisbedragen!$I$2,2),ROUND(Basisbedragen!$D$37*Basisbedragen!$I$2,2)),ROUND(ROUND(Basisbedragen!$D$29*0.6,4)*Basisbedragen!$I$2,2))</f>
        <v>76.81</v>
      </c>
      <c r="M108" s="52">
        <f t="shared" si="6"/>
        <v>57.53</v>
      </c>
      <c r="O108" s="52">
        <f>IF(MIN(MAX(ROUND(ROUND('Loonschijven_Tranches salariale'!$Q103*0.65,4)*Basisbedragen!$I$7,2),ROUND(Basisbedragen!$D$38*Basisbedragen!$I$7,2)),ROUND(ROUND(Basisbedragen!$D$27*0.65,4)*Basisbedragen!$I$7,2))&lt;= Basisbedragen!$I$8,MIN(MAX(ROUND(ROUND('Loonschijven_Tranches salariale'!$Q103*0.65,4)*Basisbedragen!$I$2,2),ROUND(Basisbedragen!$D$38*Basisbedragen!$I$2,2)),ROUND(ROUND(Basisbedragen!$D$27*0.65,4)*Basisbedragen!$I$2,2)),MIN(MAX(ROUND(ROUND('Loonschijven_Tranches salariale'!$Q103*0.65,4)*Basisbedragen!$I$7,2),ROUND(Basisbedragen!$D$38*Basisbedragen!$I$7,2)),ROUND(ROUND(Basisbedragen!$D$27*0.65,4)*Basisbedragen!$I$7,2))+Basisbedragen!$I$10)</f>
        <v>106</v>
      </c>
      <c r="P108" s="52">
        <f>IF(MIN(MAX(ROUND(ROUND('Loonschijven_Tranches salariale'!$Q103*0.6,4)*Basisbedragen!$I$7,2),ROUND(Basisbedragen!$D$39*Basisbedragen!$I$7,2)),ROUND(ROUND(Basisbedragen!$D$28*0.6,4)*Basisbedragen!$I$7,2))&lt;= Basisbedragen!$I$8,MIN(MAX(ROUND(ROUND('Loonschijven_Tranches salariale'!$Q103*0.6,4)*Basisbedragen!$I$2,2),ROUND(Basisbedragen!$D$39*Basisbedragen!$I$2,2)),ROUND(ROUND(Basisbedragen!$D$28*0.6,4)*Basisbedragen!$I$2,2)),MIN(MAX(ROUND(ROUND('Loonschijven_Tranches salariale'!$Q103*0.6,4)*Basisbedragen!$I$7,2),ROUND(Basisbedragen!$D$39*Basisbedragen!$I$7,2)),ROUND(ROUND(Basisbedragen!$D$28*0.6,4)*Basisbedragen!$I$7,2))+Basisbedragen!$I$10)</f>
        <v>94.100000000000009</v>
      </c>
      <c r="Q108" s="52">
        <f>MIN(MAX(ROUND(ROUND('Loonschijven_Tranches salariale'!$Q103*0.6,4)*Basisbedragen!$I$2,2),ROUND(Basisbedragen!$D$40*Basisbedragen!$I$2,2)),ROUND(ROUND(Basisbedragen!$D$29*0.6,4)*Basisbedragen!$I$2,2))</f>
        <v>76.81</v>
      </c>
      <c r="S108" s="52">
        <f t="shared" si="7"/>
        <v>42.37</v>
      </c>
      <c r="T108" s="52">
        <f t="shared" si="8"/>
        <v>29.85</v>
      </c>
    </row>
    <row r="109" spans="1:20" ht="15" thickBot="1">
      <c r="A109" s="47">
        <f t="shared" si="10"/>
        <v>97</v>
      </c>
      <c r="C109" s="52">
        <f>IF(MIN(MAX(ROUND(ROUND('Loonschijven_Tranches salariale'!$Q104*0.65,4)*Basisbedragen!$I$7,2),ROUND(Basisbedragen!$D$34*Basisbedragen!$I$7,2)),ROUND(ROUND(Basisbedragen!$D$27*0.65,4)*Basisbedragen!$I$7,2))&lt;= Basisbedragen!$I$8,MIN(MAX(ROUND(ROUND('Loonschijven_Tranches salariale'!$Q104*0.65,4)*Basisbedragen!$I$2,2),ROUND(Basisbedragen!$D$34*Basisbedragen!$I$2,2)),ROUND(ROUND(Basisbedragen!$D$27*0.65,4)*Basisbedragen!$I$2,2)),MIN(MAX(ROUND(ROUND('Loonschijven_Tranches salariale'!$Q104*0.65,4)*Basisbedragen!$I$7,2),ROUND(Basisbedragen!$D$34*Basisbedragen!$I$7,2)),ROUND(ROUND(Basisbedragen!$D$27*0.65,4)*Basisbedragen!$I$7,2))+Basisbedragen!$I$10)</f>
        <v>107</v>
      </c>
      <c r="D109" s="52">
        <f>IF(MIN(MAX(ROUND(ROUND('Loonschijven_Tranches salariale'!$Q104*0.6,4)*Basisbedragen!$I$7,2),ROUND(Basisbedragen!$D$34*Basisbedragen!$I$7,2)),ROUND(ROUND(Basisbedragen!$D$28*0.6,4)*Basisbedragen!$I$7,2))&lt;= Basisbedragen!$I$8,MIN(MAX(ROUND(ROUND('Loonschijven_Tranches salariale'!$Q104*0.6,4)*Basisbedragen!$I$2,2),ROUND(Basisbedragen!$D$34*Basisbedragen!$I$2,2)),ROUND(ROUND(Basisbedragen!$D$28*0.6,4)*Basisbedragen!$I$2,2)),MIN(MAX(ROUND(ROUND('Loonschijven_Tranches salariale'!$Q104*0.6,4)*Basisbedragen!$I$7,2),ROUND(Basisbedragen!$D$34*Basisbedragen!$I$7,2)),ROUND(ROUND(Basisbedragen!$D$28*0.6,4)*Basisbedragen!$I$7,2))+Basisbedragen!$I$10)</f>
        <v>94.100000000000009</v>
      </c>
      <c r="E109" s="52">
        <f>MIN(MAX(ROUND(ROUND('Loonschijven_Tranches salariale'!$Q104*0.6,4)*Basisbedragen!$I$2,2),ROUND(Basisbedragen!$D$35*Basisbedragen!$I$2,2)),ROUND(ROUND(Basisbedragen!$D$29*0.6,4)*Basisbedragen!$I$2,2))</f>
        <v>76.81</v>
      </c>
      <c r="G109" s="52">
        <f t="shared" si="5"/>
        <v>70.989999999999995</v>
      </c>
      <c r="I109" s="52">
        <f>IF(MIN(MAX(ROUND(ROUND('Loonschijven_Tranches salariale'!$Q104*0.65,4)*Basisbedragen!$I$7,2),ROUND(Basisbedragen!$D$36*Basisbedragen!$I$7,2)),ROUND(ROUND(Basisbedragen!$D$27*0.65,4)*Basisbedragen!$I$7,2))&lt;= Basisbedragen!$I$8,MIN(MAX(ROUND(ROUND('Loonschijven_Tranches salariale'!$Q104*0.65,4)*Basisbedragen!$I$2,2),ROUND(Basisbedragen!$D$36*Basisbedragen!$I$2,2)),ROUND(ROUND(Basisbedragen!$D$27*0.65,4)*Basisbedragen!$I$2,2)),MIN(MAX(ROUND(ROUND('Loonschijven_Tranches salariale'!$Q104*0.65,4)*Basisbedragen!$I$7,2),ROUND(Basisbedragen!$D$36*Basisbedragen!$I$7,2)),ROUND(ROUND(Basisbedragen!$D$27*0.65,4)*Basisbedragen!$I$7,2))+Basisbedragen!$I$10)</f>
        <v>107</v>
      </c>
      <c r="J109" s="52">
        <f>IF(MIN(MAX(ROUND(ROUND('Loonschijven_Tranches salariale'!$Q104*0.6,4)*Basisbedragen!$I$7,2),ROUND(Basisbedragen!$D$36*Basisbedragen!$I$7,2)),ROUND(ROUND(Basisbedragen!$D$28*0.6,4)*Basisbedragen!$I$7,2))&lt;= Basisbedragen!$I$8,MIN(MAX(ROUND(ROUND('Loonschijven_Tranches salariale'!$Q104*0.6,4)*Basisbedragen!$I$2,2),ROUND(Basisbedragen!$D$36*Basisbedragen!$I$2,2)),ROUND(ROUND(Basisbedragen!$D$28*0.6,4)*Basisbedragen!$I$2,2)),MIN(MAX(ROUND(ROUND('Loonschijven_Tranches salariale'!$Q104*0.6,4)*Basisbedragen!$I$7,2),ROUND(Basisbedragen!$D$36*Basisbedragen!$I$7,2)),ROUND(ROUND(Basisbedragen!$D$28*0.6,4)*Basisbedragen!$I$7,2))+Basisbedragen!$I$10)</f>
        <v>94.100000000000009</v>
      </c>
      <c r="K109" s="52">
        <f>MIN(MAX(ROUND(ROUND('Loonschijven_Tranches salariale'!$Q104*0.6,4)*Basisbedragen!$I$2,2),ROUND(Basisbedragen!$D$37*Basisbedragen!$I$2,2)),ROUND(ROUND(Basisbedragen!$D$29*0.6,4)*Basisbedragen!$I$2,2))</f>
        <v>76.81</v>
      </c>
      <c r="M109" s="52">
        <f t="shared" si="6"/>
        <v>57.53</v>
      </c>
      <c r="O109" s="52">
        <f>IF(MIN(MAX(ROUND(ROUND('Loonschijven_Tranches salariale'!$Q104*0.65,4)*Basisbedragen!$I$7,2),ROUND(Basisbedragen!$D$38*Basisbedragen!$I$7,2)),ROUND(ROUND(Basisbedragen!$D$27*0.65,4)*Basisbedragen!$I$7,2))&lt;= Basisbedragen!$I$8,MIN(MAX(ROUND(ROUND('Loonschijven_Tranches salariale'!$Q104*0.65,4)*Basisbedragen!$I$2,2),ROUND(Basisbedragen!$D$38*Basisbedragen!$I$2,2)),ROUND(ROUND(Basisbedragen!$D$27*0.65,4)*Basisbedragen!$I$2,2)),MIN(MAX(ROUND(ROUND('Loonschijven_Tranches salariale'!$Q104*0.65,4)*Basisbedragen!$I$7,2),ROUND(Basisbedragen!$D$38*Basisbedragen!$I$7,2)),ROUND(ROUND(Basisbedragen!$D$27*0.65,4)*Basisbedragen!$I$7,2))+Basisbedragen!$I$10)</f>
        <v>107</v>
      </c>
      <c r="P109" s="52">
        <f>IF(MIN(MAX(ROUND(ROUND('Loonschijven_Tranches salariale'!$Q104*0.6,4)*Basisbedragen!$I$7,2),ROUND(Basisbedragen!$D$39*Basisbedragen!$I$7,2)),ROUND(ROUND(Basisbedragen!$D$28*0.6,4)*Basisbedragen!$I$7,2))&lt;= Basisbedragen!$I$8,MIN(MAX(ROUND(ROUND('Loonschijven_Tranches salariale'!$Q104*0.6,4)*Basisbedragen!$I$2,2),ROUND(Basisbedragen!$D$39*Basisbedragen!$I$2,2)),ROUND(ROUND(Basisbedragen!$D$28*0.6,4)*Basisbedragen!$I$2,2)),MIN(MAX(ROUND(ROUND('Loonschijven_Tranches salariale'!$Q104*0.6,4)*Basisbedragen!$I$7,2),ROUND(Basisbedragen!$D$39*Basisbedragen!$I$7,2)),ROUND(ROUND(Basisbedragen!$D$28*0.6,4)*Basisbedragen!$I$7,2))+Basisbedragen!$I$10)</f>
        <v>94.100000000000009</v>
      </c>
      <c r="Q109" s="52">
        <f>MIN(MAX(ROUND(ROUND('Loonschijven_Tranches salariale'!$Q104*0.6,4)*Basisbedragen!$I$2,2),ROUND(Basisbedragen!$D$40*Basisbedragen!$I$2,2)),ROUND(ROUND(Basisbedragen!$D$29*0.6,4)*Basisbedragen!$I$2,2))</f>
        <v>76.81</v>
      </c>
      <c r="S109" s="52">
        <f t="shared" si="7"/>
        <v>42.37</v>
      </c>
      <c r="T109" s="52">
        <f t="shared" si="8"/>
        <v>29.85</v>
      </c>
    </row>
    <row r="110" spans="1:20" ht="15" thickBot="1">
      <c r="A110" s="47">
        <f t="shared" si="10"/>
        <v>98</v>
      </c>
      <c r="C110" s="52">
        <f>IF(MIN(MAX(ROUND(ROUND('Loonschijven_Tranches salariale'!$Q105*0.65,4)*Basisbedragen!$I$7,2),ROUND(Basisbedragen!$D$34*Basisbedragen!$I$7,2)),ROUND(ROUND(Basisbedragen!$D$27*0.65,4)*Basisbedragen!$I$7,2))&lt;= Basisbedragen!$I$8,MIN(MAX(ROUND(ROUND('Loonschijven_Tranches salariale'!$Q105*0.65,4)*Basisbedragen!$I$2,2),ROUND(Basisbedragen!$D$34*Basisbedragen!$I$2,2)),ROUND(ROUND(Basisbedragen!$D$27*0.65,4)*Basisbedragen!$I$2,2)),MIN(MAX(ROUND(ROUND('Loonschijven_Tranches salariale'!$Q105*0.65,4)*Basisbedragen!$I$7,2),ROUND(Basisbedragen!$D$34*Basisbedragen!$I$7,2)),ROUND(ROUND(Basisbedragen!$D$27*0.65,4)*Basisbedragen!$I$7,2))+Basisbedragen!$I$10)</f>
        <v>107.99000000000001</v>
      </c>
      <c r="D110" s="52">
        <f>IF(MIN(MAX(ROUND(ROUND('Loonschijven_Tranches salariale'!$Q105*0.6,4)*Basisbedragen!$I$7,2),ROUND(Basisbedragen!$D$34*Basisbedragen!$I$7,2)),ROUND(ROUND(Basisbedragen!$D$28*0.6,4)*Basisbedragen!$I$7,2))&lt;= Basisbedragen!$I$8,MIN(MAX(ROUND(ROUND('Loonschijven_Tranches salariale'!$Q105*0.6,4)*Basisbedragen!$I$2,2),ROUND(Basisbedragen!$D$34*Basisbedragen!$I$2,2)),ROUND(ROUND(Basisbedragen!$D$28*0.6,4)*Basisbedragen!$I$2,2)),MIN(MAX(ROUND(ROUND('Loonschijven_Tranches salariale'!$Q105*0.6,4)*Basisbedragen!$I$7,2),ROUND(Basisbedragen!$D$34*Basisbedragen!$I$7,2)),ROUND(ROUND(Basisbedragen!$D$28*0.6,4)*Basisbedragen!$I$7,2))+Basisbedragen!$I$10)</f>
        <v>94.100000000000009</v>
      </c>
      <c r="E110" s="52">
        <f>MIN(MAX(ROUND(ROUND('Loonschijven_Tranches salariale'!$Q105*0.6,4)*Basisbedragen!$I$2,2),ROUND(Basisbedragen!$D$35*Basisbedragen!$I$2,2)),ROUND(ROUND(Basisbedragen!$D$29*0.6,4)*Basisbedragen!$I$2,2))</f>
        <v>76.81</v>
      </c>
      <c r="G110" s="52">
        <f t="shared" si="5"/>
        <v>70.989999999999995</v>
      </c>
      <c r="I110" s="52">
        <f>IF(MIN(MAX(ROUND(ROUND('Loonschijven_Tranches salariale'!$Q105*0.65,4)*Basisbedragen!$I$7,2),ROUND(Basisbedragen!$D$36*Basisbedragen!$I$7,2)),ROUND(ROUND(Basisbedragen!$D$27*0.65,4)*Basisbedragen!$I$7,2))&lt;= Basisbedragen!$I$8,MIN(MAX(ROUND(ROUND('Loonschijven_Tranches salariale'!$Q105*0.65,4)*Basisbedragen!$I$2,2),ROUND(Basisbedragen!$D$36*Basisbedragen!$I$2,2)),ROUND(ROUND(Basisbedragen!$D$27*0.65,4)*Basisbedragen!$I$2,2)),MIN(MAX(ROUND(ROUND('Loonschijven_Tranches salariale'!$Q105*0.65,4)*Basisbedragen!$I$7,2),ROUND(Basisbedragen!$D$36*Basisbedragen!$I$7,2)),ROUND(ROUND(Basisbedragen!$D$27*0.65,4)*Basisbedragen!$I$7,2))+Basisbedragen!$I$10)</f>
        <v>107.99000000000001</v>
      </c>
      <c r="J110" s="52">
        <f>IF(MIN(MAX(ROUND(ROUND('Loonschijven_Tranches salariale'!$Q105*0.6,4)*Basisbedragen!$I$7,2),ROUND(Basisbedragen!$D$36*Basisbedragen!$I$7,2)),ROUND(ROUND(Basisbedragen!$D$28*0.6,4)*Basisbedragen!$I$7,2))&lt;= Basisbedragen!$I$8,MIN(MAX(ROUND(ROUND('Loonschijven_Tranches salariale'!$Q105*0.6,4)*Basisbedragen!$I$2,2),ROUND(Basisbedragen!$D$36*Basisbedragen!$I$2,2)),ROUND(ROUND(Basisbedragen!$D$28*0.6,4)*Basisbedragen!$I$2,2)),MIN(MAX(ROUND(ROUND('Loonschijven_Tranches salariale'!$Q105*0.6,4)*Basisbedragen!$I$7,2),ROUND(Basisbedragen!$D$36*Basisbedragen!$I$7,2)),ROUND(ROUND(Basisbedragen!$D$28*0.6,4)*Basisbedragen!$I$7,2))+Basisbedragen!$I$10)</f>
        <v>94.100000000000009</v>
      </c>
      <c r="K110" s="52">
        <f>MIN(MAX(ROUND(ROUND('Loonschijven_Tranches salariale'!$Q105*0.6,4)*Basisbedragen!$I$2,2),ROUND(Basisbedragen!$D$37*Basisbedragen!$I$2,2)),ROUND(ROUND(Basisbedragen!$D$29*0.6,4)*Basisbedragen!$I$2,2))</f>
        <v>76.81</v>
      </c>
      <c r="M110" s="52">
        <f t="shared" si="6"/>
        <v>57.53</v>
      </c>
      <c r="O110" s="52">
        <f>IF(MIN(MAX(ROUND(ROUND('Loonschijven_Tranches salariale'!$Q105*0.65,4)*Basisbedragen!$I$7,2),ROUND(Basisbedragen!$D$38*Basisbedragen!$I$7,2)),ROUND(ROUND(Basisbedragen!$D$27*0.65,4)*Basisbedragen!$I$7,2))&lt;= Basisbedragen!$I$8,MIN(MAX(ROUND(ROUND('Loonschijven_Tranches salariale'!$Q105*0.65,4)*Basisbedragen!$I$2,2),ROUND(Basisbedragen!$D$38*Basisbedragen!$I$2,2)),ROUND(ROUND(Basisbedragen!$D$27*0.65,4)*Basisbedragen!$I$2,2)),MIN(MAX(ROUND(ROUND('Loonschijven_Tranches salariale'!$Q105*0.65,4)*Basisbedragen!$I$7,2),ROUND(Basisbedragen!$D$38*Basisbedragen!$I$7,2)),ROUND(ROUND(Basisbedragen!$D$27*0.65,4)*Basisbedragen!$I$7,2))+Basisbedragen!$I$10)</f>
        <v>107.99000000000001</v>
      </c>
      <c r="P110" s="52">
        <f>IF(MIN(MAX(ROUND(ROUND('Loonschijven_Tranches salariale'!$Q105*0.6,4)*Basisbedragen!$I$7,2),ROUND(Basisbedragen!$D$39*Basisbedragen!$I$7,2)),ROUND(ROUND(Basisbedragen!$D$28*0.6,4)*Basisbedragen!$I$7,2))&lt;= Basisbedragen!$I$8,MIN(MAX(ROUND(ROUND('Loonschijven_Tranches salariale'!$Q105*0.6,4)*Basisbedragen!$I$2,2),ROUND(Basisbedragen!$D$39*Basisbedragen!$I$2,2)),ROUND(ROUND(Basisbedragen!$D$28*0.6,4)*Basisbedragen!$I$2,2)),MIN(MAX(ROUND(ROUND('Loonschijven_Tranches salariale'!$Q105*0.6,4)*Basisbedragen!$I$7,2),ROUND(Basisbedragen!$D$39*Basisbedragen!$I$7,2)),ROUND(ROUND(Basisbedragen!$D$28*0.6,4)*Basisbedragen!$I$7,2))+Basisbedragen!$I$10)</f>
        <v>94.100000000000009</v>
      </c>
      <c r="Q110" s="52">
        <f>MIN(MAX(ROUND(ROUND('Loonschijven_Tranches salariale'!$Q105*0.6,4)*Basisbedragen!$I$2,2),ROUND(Basisbedragen!$D$40*Basisbedragen!$I$2,2)),ROUND(ROUND(Basisbedragen!$D$29*0.6,4)*Basisbedragen!$I$2,2))</f>
        <v>76.81</v>
      </c>
      <c r="S110" s="52">
        <f t="shared" si="7"/>
        <v>42.37</v>
      </c>
      <c r="T110" s="52">
        <f t="shared" si="8"/>
        <v>29.85</v>
      </c>
    </row>
    <row r="111" spans="1:20" ht="15" thickBot="1">
      <c r="A111" s="47">
        <f t="shared" si="10"/>
        <v>99</v>
      </c>
      <c r="C111" s="52">
        <f>IF(MIN(MAX(ROUND(ROUND('Loonschijven_Tranches salariale'!$Q106*0.65,4)*Basisbedragen!$I$7,2),ROUND(Basisbedragen!$D$34*Basisbedragen!$I$7,2)),ROUND(ROUND(Basisbedragen!$D$27*0.65,4)*Basisbedragen!$I$7,2))&lt;= Basisbedragen!$I$8,MIN(MAX(ROUND(ROUND('Loonschijven_Tranches salariale'!$Q106*0.65,4)*Basisbedragen!$I$2,2),ROUND(Basisbedragen!$D$34*Basisbedragen!$I$2,2)),ROUND(ROUND(Basisbedragen!$D$27*0.65,4)*Basisbedragen!$I$2,2)),MIN(MAX(ROUND(ROUND('Loonschijven_Tranches salariale'!$Q106*0.65,4)*Basisbedragen!$I$7,2),ROUND(Basisbedragen!$D$34*Basisbedragen!$I$7,2)),ROUND(ROUND(Basisbedragen!$D$27*0.65,4)*Basisbedragen!$I$7,2))+Basisbedragen!$I$10)</f>
        <v>108.19000000000001</v>
      </c>
      <c r="D111" s="52">
        <f>IF(MIN(MAX(ROUND(ROUND('Loonschijven_Tranches salariale'!$Q106*0.6,4)*Basisbedragen!$I$7,2),ROUND(Basisbedragen!$D$34*Basisbedragen!$I$7,2)),ROUND(ROUND(Basisbedragen!$D$28*0.6,4)*Basisbedragen!$I$7,2))&lt;= Basisbedragen!$I$8,MIN(MAX(ROUND(ROUND('Loonschijven_Tranches salariale'!$Q106*0.6,4)*Basisbedragen!$I$2,2),ROUND(Basisbedragen!$D$34*Basisbedragen!$I$2,2)),ROUND(ROUND(Basisbedragen!$D$28*0.6,4)*Basisbedragen!$I$2,2)),MIN(MAX(ROUND(ROUND('Loonschijven_Tranches salariale'!$Q106*0.6,4)*Basisbedragen!$I$7,2),ROUND(Basisbedragen!$D$34*Basisbedragen!$I$7,2)),ROUND(ROUND(Basisbedragen!$D$28*0.6,4)*Basisbedragen!$I$7,2))+Basisbedragen!$I$10)</f>
        <v>94.100000000000009</v>
      </c>
      <c r="E111" s="52">
        <f>MIN(MAX(ROUND(ROUND('Loonschijven_Tranches salariale'!$Q106*0.6,4)*Basisbedragen!$I$2,2),ROUND(Basisbedragen!$D$35*Basisbedragen!$I$2,2)),ROUND(ROUND(Basisbedragen!$D$29*0.6,4)*Basisbedragen!$I$2,2))</f>
        <v>76.81</v>
      </c>
      <c r="G111" s="52">
        <f t="shared" si="5"/>
        <v>70.989999999999995</v>
      </c>
      <c r="I111" s="52">
        <f>IF(MIN(MAX(ROUND(ROUND('Loonschijven_Tranches salariale'!$Q106*0.65,4)*Basisbedragen!$I$7,2),ROUND(Basisbedragen!$D$36*Basisbedragen!$I$7,2)),ROUND(ROUND(Basisbedragen!$D$27*0.65,4)*Basisbedragen!$I$7,2))&lt;= Basisbedragen!$I$8,MIN(MAX(ROUND(ROUND('Loonschijven_Tranches salariale'!$Q106*0.65,4)*Basisbedragen!$I$2,2),ROUND(Basisbedragen!$D$36*Basisbedragen!$I$2,2)),ROUND(ROUND(Basisbedragen!$D$27*0.65,4)*Basisbedragen!$I$2,2)),MIN(MAX(ROUND(ROUND('Loonschijven_Tranches salariale'!$Q106*0.65,4)*Basisbedragen!$I$7,2),ROUND(Basisbedragen!$D$36*Basisbedragen!$I$7,2)),ROUND(ROUND(Basisbedragen!$D$27*0.65,4)*Basisbedragen!$I$7,2))+Basisbedragen!$I$10)</f>
        <v>108.19000000000001</v>
      </c>
      <c r="J111" s="52">
        <f>IF(MIN(MAX(ROUND(ROUND('Loonschijven_Tranches salariale'!$Q106*0.6,4)*Basisbedragen!$I$7,2),ROUND(Basisbedragen!$D$36*Basisbedragen!$I$7,2)),ROUND(ROUND(Basisbedragen!$D$28*0.6,4)*Basisbedragen!$I$7,2))&lt;= Basisbedragen!$I$8,MIN(MAX(ROUND(ROUND('Loonschijven_Tranches salariale'!$Q106*0.6,4)*Basisbedragen!$I$2,2),ROUND(Basisbedragen!$D$36*Basisbedragen!$I$2,2)),ROUND(ROUND(Basisbedragen!$D$28*0.6,4)*Basisbedragen!$I$2,2)),MIN(MAX(ROUND(ROUND('Loonschijven_Tranches salariale'!$Q106*0.6,4)*Basisbedragen!$I$7,2),ROUND(Basisbedragen!$D$36*Basisbedragen!$I$7,2)),ROUND(ROUND(Basisbedragen!$D$28*0.6,4)*Basisbedragen!$I$7,2))+Basisbedragen!$I$10)</f>
        <v>94.100000000000009</v>
      </c>
      <c r="K111" s="52">
        <f>MIN(MAX(ROUND(ROUND('Loonschijven_Tranches salariale'!$Q106*0.6,4)*Basisbedragen!$I$2,2),ROUND(Basisbedragen!$D$37*Basisbedragen!$I$2,2)),ROUND(ROUND(Basisbedragen!$D$29*0.6,4)*Basisbedragen!$I$2,2))</f>
        <v>76.81</v>
      </c>
      <c r="M111" s="52">
        <f t="shared" si="6"/>
        <v>57.53</v>
      </c>
      <c r="O111" s="52">
        <f>IF(MIN(MAX(ROUND(ROUND('Loonschijven_Tranches salariale'!$Q106*0.65,4)*Basisbedragen!$I$7,2),ROUND(Basisbedragen!$D$38*Basisbedragen!$I$7,2)),ROUND(ROUND(Basisbedragen!$D$27*0.65,4)*Basisbedragen!$I$7,2))&lt;= Basisbedragen!$I$8,MIN(MAX(ROUND(ROUND('Loonschijven_Tranches salariale'!$Q106*0.65,4)*Basisbedragen!$I$2,2),ROUND(Basisbedragen!$D$38*Basisbedragen!$I$2,2)),ROUND(ROUND(Basisbedragen!$D$27*0.65,4)*Basisbedragen!$I$2,2)),MIN(MAX(ROUND(ROUND('Loonschijven_Tranches salariale'!$Q106*0.65,4)*Basisbedragen!$I$7,2),ROUND(Basisbedragen!$D$38*Basisbedragen!$I$7,2)),ROUND(ROUND(Basisbedragen!$D$27*0.65,4)*Basisbedragen!$I$7,2))+Basisbedragen!$I$10)</f>
        <v>108.19000000000001</v>
      </c>
      <c r="P111" s="52">
        <f>IF(MIN(MAX(ROUND(ROUND('Loonschijven_Tranches salariale'!$Q106*0.6,4)*Basisbedragen!$I$7,2),ROUND(Basisbedragen!$D$39*Basisbedragen!$I$7,2)),ROUND(ROUND(Basisbedragen!$D$28*0.6,4)*Basisbedragen!$I$7,2))&lt;= Basisbedragen!$I$8,MIN(MAX(ROUND(ROUND('Loonschijven_Tranches salariale'!$Q106*0.6,4)*Basisbedragen!$I$2,2),ROUND(Basisbedragen!$D$39*Basisbedragen!$I$2,2)),ROUND(ROUND(Basisbedragen!$D$28*0.6,4)*Basisbedragen!$I$2,2)),MIN(MAX(ROUND(ROUND('Loonschijven_Tranches salariale'!$Q106*0.6,4)*Basisbedragen!$I$7,2),ROUND(Basisbedragen!$D$39*Basisbedragen!$I$7,2)),ROUND(ROUND(Basisbedragen!$D$28*0.6,4)*Basisbedragen!$I$7,2))+Basisbedragen!$I$10)</f>
        <v>94.100000000000009</v>
      </c>
      <c r="Q111" s="52">
        <f>MIN(MAX(ROUND(ROUND('Loonschijven_Tranches salariale'!$Q106*0.6,4)*Basisbedragen!$I$2,2),ROUND(Basisbedragen!$D$40*Basisbedragen!$I$2,2)),ROUND(ROUND(Basisbedragen!$D$29*0.6,4)*Basisbedragen!$I$2,2))</f>
        <v>76.81</v>
      </c>
      <c r="S111" s="52">
        <f t="shared" si="7"/>
        <v>42.37</v>
      </c>
      <c r="T111" s="52">
        <f t="shared" si="8"/>
        <v>29.85</v>
      </c>
    </row>
  </sheetData>
  <sheetProtection algorithmName="SHA-512" hashValue="4albN/Qa8/sXXJ4F5np4/REYMS0AthWz1DAXhCaXXKlq79Fo7z1bYcuIb7eAh08GD5Zvs1t9JMi9i9A9u2ArTA==" saltValue="YtOCbsMiJAWW4p3eENuFtw==" spinCount="100000" sheet="1" objects="1" scenarios="1"/>
  <mergeCells count="9">
    <mergeCell ref="C1:T1"/>
    <mergeCell ref="C2:T2"/>
    <mergeCell ref="U1:V1"/>
    <mergeCell ref="C6:E6"/>
    <mergeCell ref="I6:K6"/>
    <mergeCell ref="O6:Q6"/>
    <mergeCell ref="C4:G5"/>
    <mergeCell ref="I4:M5"/>
    <mergeCell ref="O4:T5"/>
  </mergeCells>
  <conditionalFormatting sqref="C13:E111 G13:G111">
    <cfRule type="expression" dxfId="13" priority="13">
      <formula>MOD(INDIRECT(ADDRESS(ROW(),1)),5)=0</formula>
    </cfRule>
  </conditionalFormatting>
  <conditionalFormatting sqref="I13:K111">
    <cfRule type="expression" dxfId="12" priority="5">
      <formula>MOD(INDIRECT(ADDRESS(ROW(),1)),5)=0</formula>
    </cfRule>
  </conditionalFormatting>
  <conditionalFormatting sqref="J13:K111">
    <cfRule type="cellIs" dxfId="11" priority="6" operator="lessThan">
      <formula>J$12</formula>
    </cfRule>
  </conditionalFormatting>
  <conditionalFormatting sqref="M13:M111">
    <cfRule type="expression" dxfId="10" priority="4">
      <formula>MOD(INDIRECT(ADDRESS(ROW(),1)),5)=0</formula>
    </cfRule>
  </conditionalFormatting>
  <conditionalFormatting sqref="O13:P111">
    <cfRule type="expression" dxfId="9" priority="1">
      <formula>MOD(INDIRECT(ADDRESS(ROW(),1)),5)=0</formula>
    </cfRule>
  </conditionalFormatting>
  <conditionalFormatting sqref="R12 Q13:R13 R14:R16 Q14:Q111 R18:R21 R23:R26 R28:R31 R33:R36 R38:R41 R43:R46 R48:R51 R53:R56 R58:R61 R63:R66 R68:R71 R73:R76 R78:R81 R83:R86 R88:R90">
    <cfRule type="expression" dxfId="8" priority="3">
      <formula>MOD(INDIRECT(ADDRESS(ROW(),1)),5)=0</formula>
    </cfRule>
  </conditionalFormatting>
  <conditionalFormatting sqref="T13:T66 S13:S98 T68:T98 S99:T111">
    <cfRule type="expression" dxfId="7" priority="2">
      <formula>MOD(INDIRECT(ADDRESS(ROW(),1)),5)=0</formula>
    </cfRule>
  </conditionalFormatting>
  <pageMargins left="0.23622047244094491" right="0.23622047244094491" top="0.74803149606299213" bottom="0.74803149606299213" header="0.31496062992125984" footer="0.31496062992125984"/>
  <pageSetup paperSize="9" scale="78" orientation="landscape" r:id="rId1"/>
  <headerFooter alignWithMargins="0">
    <oddFooter>&amp;L&amp;10Rijksdienst voor Arbeidsvoorziening&amp;R&amp;10Office national de l'Emploi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11"/>
  <sheetViews>
    <sheetView showGridLines="0" zoomScaleNormal="100" workbookViewId="0">
      <pane xSplit="1" ySplit="8" topLeftCell="B9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9.109375" defaultRowHeight="14.4" outlineLevelRow="1"/>
  <cols>
    <col min="1" max="1" width="16.5546875" customWidth="1"/>
    <col min="2" max="2" width="0.6640625" customWidth="1"/>
    <col min="6" max="6" width="0.6640625" customWidth="1"/>
    <col min="7" max="7" width="8.88671875" customWidth="1"/>
    <col min="8" max="8" width="0.6640625" customWidth="1"/>
    <col min="9" max="9" width="9.5546875" customWidth="1"/>
    <col min="12" max="12" width="0.6640625" customWidth="1"/>
    <col min="13" max="13" width="9.109375" collapsed="1"/>
    <col min="14" max="14" width="0.6640625" customWidth="1"/>
    <col min="18" max="18" width="0.6640625" customWidth="1"/>
    <col min="19" max="19" width="9.109375" customWidth="1"/>
    <col min="20" max="20" width="9.109375" collapsed="1"/>
  </cols>
  <sheetData>
    <row r="1" spans="1:23" ht="15" customHeight="1">
      <c r="A1" s="39" t="s">
        <v>5</v>
      </c>
      <c r="C1" s="449" t="s">
        <v>397</v>
      </c>
      <c r="D1" s="449"/>
      <c r="E1" s="449"/>
      <c r="F1" s="449"/>
      <c r="G1" s="449"/>
      <c r="H1" s="449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1" t="s">
        <v>6</v>
      </c>
      <c r="V1" s="451"/>
      <c r="W1" s="334">
        <f>Basisbedragen!$I$2</f>
        <v>1.8113999999999999</v>
      </c>
    </row>
    <row r="2" spans="1:23" ht="15.6">
      <c r="A2" s="332">
        <v>46266</v>
      </c>
      <c r="C2" s="449" t="s">
        <v>398</v>
      </c>
      <c r="D2" s="449"/>
      <c r="E2" s="449"/>
      <c r="F2" s="449"/>
      <c r="G2" s="449"/>
      <c r="H2" s="449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</row>
    <row r="3" spans="1:23" ht="15.6">
      <c r="A3" s="332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3" ht="15.6">
      <c r="A4" s="332"/>
      <c r="C4" s="455" t="s">
        <v>391</v>
      </c>
      <c r="D4" s="456"/>
      <c r="E4" s="456"/>
      <c r="F4" s="456"/>
      <c r="G4" s="457"/>
      <c r="H4" s="107"/>
      <c r="I4" s="455" t="s">
        <v>392</v>
      </c>
      <c r="J4" s="456"/>
      <c r="K4" s="456"/>
      <c r="L4" s="456"/>
      <c r="M4" s="457"/>
      <c r="N4" s="107"/>
      <c r="O4" s="455" t="s">
        <v>393</v>
      </c>
      <c r="P4" s="456"/>
      <c r="Q4" s="456"/>
      <c r="R4" s="456"/>
      <c r="S4" s="456"/>
      <c r="T4" s="457"/>
    </row>
    <row r="5" spans="1:23" ht="15.6">
      <c r="A5" s="332"/>
      <c r="C5" s="458"/>
      <c r="D5" s="459"/>
      <c r="E5" s="459"/>
      <c r="F5" s="459"/>
      <c r="G5" s="460"/>
      <c r="H5" s="107"/>
      <c r="I5" s="458"/>
      <c r="J5" s="459"/>
      <c r="K5" s="459"/>
      <c r="L5" s="459"/>
      <c r="M5" s="460"/>
      <c r="N5" s="107"/>
      <c r="O5" s="458"/>
      <c r="P5" s="459"/>
      <c r="Q5" s="459"/>
      <c r="R5" s="459"/>
      <c r="S5" s="461"/>
      <c r="T5" s="462"/>
    </row>
    <row r="6" spans="1:23">
      <c r="A6" s="41"/>
      <c r="C6" s="452" t="s">
        <v>8</v>
      </c>
      <c r="D6" s="453"/>
      <c r="E6" s="454"/>
      <c r="F6" s="291"/>
      <c r="G6" s="403" t="s">
        <v>362</v>
      </c>
      <c r="H6" s="291"/>
      <c r="I6" s="452" t="s">
        <v>8</v>
      </c>
      <c r="J6" s="453"/>
      <c r="K6" s="454"/>
      <c r="L6" s="291"/>
      <c r="M6" s="403" t="s">
        <v>362</v>
      </c>
      <c r="N6" s="291"/>
      <c r="O6" s="452" t="s">
        <v>8</v>
      </c>
      <c r="P6" s="453"/>
      <c r="Q6" s="454"/>
      <c r="R6" s="387"/>
      <c r="S6" s="405" t="s">
        <v>362</v>
      </c>
      <c r="T6" s="406" t="s">
        <v>363</v>
      </c>
    </row>
    <row r="7" spans="1:23">
      <c r="A7" s="41"/>
      <c r="C7" s="400"/>
      <c r="D7" s="401" t="s">
        <v>394</v>
      </c>
      <c r="E7" s="402"/>
      <c r="F7" s="291"/>
      <c r="G7" s="404" t="s">
        <v>363</v>
      </c>
      <c r="H7" s="291"/>
      <c r="I7" s="400"/>
      <c r="J7" s="401" t="s">
        <v>394</v>
      </c>
      <c r="K7" s="402"/>
      <c r="L7" s="291"/>
      <c r="M7" s="404" t="s">
        <v>363</v>
      </c>
      <c r="N7" s="291"/>
      <c r="O7" s="400"/>
      <c r="P7" s="401" t="s">
        <v>394</v>
      </c>
      <c r="Q7" s="402"/>
      <c r="R7" s="387"/>
      <c r="S7" s="407" t="s">
        <v>395</v>
      </c>
      <c r="T7" s="407" t="s">
        <v>396</v>
      </c>
    </row>
    <row r="8" spans="1:23" ht="15" thickBot="1">
      <c r="A8" s="41"/>
      <c r="C8" s="387"/>
      <c r="D8" s="387"/>
      <c r="E8" s="387"/>
      <c r="F8" s="291"/>
      <c r="G8" s="152"/>
      <c r="H8" s="291"/>
      <c r="I8" s="387"/>
      <c r="J8" s="387"/>
      <c r="K8" s="387"/>
      <c r="L8" s="291"/>
      <c r="M8" s="152"/>
      <c r="N8" s="291"/>
    </row>
    <row r="9" spans="1:23" ht="35.4" thickBot="1">
      <c r="A9" s="45" t="s">
        <v>7</v>
      </c>
      <c r="C9" s="48" t="s">
        <v>405</v>
      </c>
      <c r="D9" s="49" t="s">
        <v>406</v>
      </c>
      <c r="E9" s="48" t="s">
        <v>407</v>
      </c>
      <c r="F9" s="42"/>
      <c r="G9" s="418" t="s">
        <v>419</v>
      </c>
      <c r="H9" s="43"/>
      <c r="I9" s="48" t="s">
        <v>408</v>
      </c>
      <c r="J9" s="49" t="s">
        <v>409</v>
      </c>
      <c r="K9" s="48" t="s">
        <v>410</v>
      </c>
      <c r="L9" s="43"/>
      <c r="M9" s="418" t="s">
        <v>420</v>
      </c>
      <c r="N9" s="43"/>
      <c r="O9" s="48" t="s">
        <v>411</v>
      </c>
      <c r="P9" s="49" t="s">
        <v>412</v>
      </c>
      <c r="Q9" s="48" t="s">
        <v>413</v>
      </c>
      <c r="R9" s="42"/>
      <c r="S9" s="418" t="s">
        <v>418</v>
      </c>
      <c r="T9" s="49" t="s">
        <v>421</v>
      </c>
    </row>
    <row r="10" spans="1:23" ht="12" hidden="1" customHeight="1">
      <c r="A10" s="46"/>
      <c r="C10" s="50"/>
      <c r="D10" s="51"/>
      <c r="E10" s="51"/>
      <c r="F10" s="44"/>
      <c r="G10" s="51"/>
      <c r="H10" s="44"/>
      <c r="I10" s="64"/>
      <c r="J10" s="65"/>
      <c r="K10" s="65"/>
      <c r="L10" s="44"/>
      <c r="M10" s="65"/>
      <c r="N10" s="44"/>
      <c r="O10" s="69">
        <v>0.65</v>
      </c>
      <c r="P10" s="69">
        <v>0.6</v>
      </c>
      <c r="Q10" s="69">
        <v>0.6</v>
      </c>
      <c r="R10" s="389"/>
      <c r="S10" s="389"/>
      <c r="T10" s="68"/>
    </row>
    <row r="11" spans="1:23" s="58" customFormat="1" ht="15" thickBot="1">
      <c r="A11" s="55"/>
      <c r="B11"/>
      <c r="C11" s="57">
        <v>0.65</v>
      </c>
      <c r="D11" s="57">
        <v>0.6</v>
      </c>
      <c r="E11" s="57">
        <v>0.6</v>
      </c>
      <c r="F11" s="56"/>
      <c r="G11" s="55"/>
      <c r="H11" s="56"/>
      <c r="I11" s="66">
        <v>0.65</v>
      </c>
      <c r="J11" s="66">
        <v>0.6</v>
      </c>
      <c r="K11" s="66">
        <v>0.6</v>
      </c>
      <c r="L11" s="56"/>
      <c r="M11" s="54"/>
      <c r="N11" s="56"/>
      <c r="O11" s="66">
        <v>0.65</v>
      </c>
      <c r="P11" s="66">
        <v>0.6</v>
      </c>
      <c r="Q11" s="66">
        <v>0.6</v>
      </c>
      <c r="R11" s="390"/>
      <c r="S11" s="70"/>
      <c r="T11" s="70"/>
    </row>
    <row r="12" spans="1:23" s="61" customFormat="1" ht="18.75" customHeight="1" thickBot="1">
      <c r="A12" s="62" t="s">
        <v>4</v>
      </c>
      <c r="B12"/>
      <c r="C12" s="71">
        <f>ROUND(A_N_B_vol_plein!C12/2,2)</f>
        <v>39.049999999999997</v>
      </c>
      <c r="D12" s="71">
        <f>ROUND(A_N_B_vol_plein!D12/2,2)</f>
        <v>39.049999999999997</v>
      </c>
      <c r="E12" s="71">
        <f>ROUND(A_N_B_vol_plein!E12/2,2)</f>
        <v>35.5</v>
      </c>
      <c r="F12" s="56">
        <f>ROUND(A_N_B_vol_plein!F12/2,2)</f>
        <v>0</v>
      </c>
      <c r="G12" s="71">
        <f>E12</f>
        <v>35.5</v>
      </c>
      <c r="H12" s="56">
        <f>ROUND(A_N_B_vol_plein!H12/2,2)</f>
        <v>0</v>
      </c>
      <c r="I12" s="71">
        <f>ROUND(A_N_B_vol_plein!I12/2,2)</f>
        <v>31.65</v>
      </c>
      <c r="J12" s="71">
        <f>ROUND(A_N_B_vol_plein!J12/2,2)</f>
        <v>31.65</v>
      </c>
      <c r="K12" s="71">
        <f>ROUND(A_N_B_vol_plein!K12/2,2)</f>
        <v>28.77</v>
      </c>
      <c r="L12" s="56">
        <f>ROUND(A_N_B_vol_plein!L12/2,2)</f>
        <v>0</v>
      </c>
      <c r="M12" s="71">
        <f>K12</f>
        <v>28.77</v>
      </c>
      <c r="N12" s="56">
        <f>ROUND(A_N_B_vol_plein!N12/2,2)</f>
        <v>0</v>
      </c>
      <c r="O12" s="71">
        <f>ROUND(A_N_B_vol_plein!O12/2,2)</f>
        <v>30.46</v>
      </c>
      <c r="P12" s="71">
        <f>ROUND(A_N_B_vol_plein!P12/2,2)</f>
        <v>28.12</v>
      </c>
      <c r="Q12" s="71">
        <f>ROUND(A_N_B_vol_plein!Q12/2,2)</f>
        <v>25.56</v>
      </c>
      <c r="R12" s="56">
        <f>ROUND(A_N_B_vol_plein!R12/2,2)</f>
        <v>0</v>
      </c>
      <c r="S12" s="71">
        <f>ROUND(A_N_B_vol_plein!S12/2,2)</f>
        <v>21.19</v>
      </c>
      <c r="T12" s="71">
        <f>ROUND(A_N_B_vol_plein!T12/2,2)</f>
        <v>14.93</v>
      </c>
    </row>
    <row r="13" spans="1:23" ht="15.75" hidden="1" customHeight="1" outlineLevel="1" thickBot="1">
      <c r="A13" s="47">
        <v>1</v>
      </c>
      <c r="C13" s="388">
        <f>ROUND(MIN(MAX(ROUND(ROUND('Loonschijven_Tranches salariale'!$Q8*0.65,4)*Basisbedragen!$I$2,2),ROUND(Basisbedragen!$D$34*Basisbedragen!$I$2,2)),ROUND(ROUND(Basisbedragen!$D$27*0.65,4)*Basisbedragen!$I$2,2))/2,2)</f>
        <v>39.049999999999997</v>
      </c>
      <c r="D13" s="388">
        <f>ROUND(MIN(MAX(ROUND(ROUND('Loonschijven_Tranches salariale'!$Q8*0.6,4)*Basisbedragen!$I$2,2),ROUND(Basisbedragen!$D$34*Basisbedragen!$I$2,2)),ROUND(ROUND(Basisbedragen!$D$28*0.6,4)*Basisbedragen!$I$2,2))/2,2)</f>
        <v>39.049999999999997</v>
      </c>
      <c r="E13" s="388">
        <f>ROUND(A_N_B_vol_plein!E13/2,2)</f>
        <v>35.5</v>
      </c>
      <c r="F13" s="56">
        <f>ROUND(A_N_B_vol_plein!F13/2,2)</f>
        <v>0</v>
      </c>
      <c r="G13" s="388">
        <f>ROUND(A_N_B_vol_plein!G13/2,2)</f>
        <v>35.5</v>
      </c>
      <c r="H13" s="56">
        <f>ROUND(A_N_B_vol_plein!H13/2,2)</f>
        <v>0</v>
      </c>
      <c r="I13" s="388">
        <f>ROUND(MIN(MAX(ROUND(ROUND('Loonschijven_Tranches salariale'!$Q8*0.65,4)*Basisbedragen!$I$2,2),ROUND(Basisbedragen!$D$36*Basisbedragen!$I$2,2)),ROUND(ROUND(Basisbedragen!$D$27*0.65,4)*Basisbedragen!$I$2,2))/2,2)</f>
        <v>31.65</v>
      </c>
      <c r="J13" s="388">
        <f>ROUND(MIN(MAX(ROUND(ROUND('Loonschijven_Tranches salariale'!$Q8*0.6,4)*Basisbedragen!$I$2,2),ROUND(Basisbedragen!$D$36*Basisbedragen!$I$2,2)),ROUND(ROUND(Basisbedragen!$D$28*0.6,4)*Basisbedragen!$I$2,2))/2,2)</f>
        <v>31.65</v>
      </c>
      <c r="K13" s="388">
        <f>ROUND(A_N_B_vol_plein!K13/2,2)</f>
        <v>28.77</v>
      </c>
      <c r="L13" s="56">
        <f>ROUND(A_N_B_vol_plein!L13/2,2)</f>
        <v>0</v>
      </c>
      <c r="M13" s="388">
        <f>ROUND(A_N_B_vol_plein!M13/2,2)</f>
        <v>28.77</v>
      </c>
      <c r="N13" s="56">
        <f>ROUND(A_N_B_vol_plein!N13/2,2)</f>
        <v>0</v>
      </c>
      <c r="O13" s="388">
        <f>ROUND(MIN(MAX(ROUND(ROUND('Loonschijven_Tranches salariale'!$Q8*0.65,4)*Basisbedragen!$I$2,2),ROUND(Basisbedragen!$D$38*Basisbedragen!$I$2,2)),ROUND(ROUND(Basisbedragen!$D$27*0.65,4)*Basisbedragen!$I$2,2))/2,2)</f>
        <v>30.46</v>
      </c>
      <c r="P13" s="388">
        <f>ROUND(MIN(MAX(ROUND(ROUND('Loonschijven_Tranches salariale'!$Q8*0.6,4)*Basisbedragen!$I$2,2),ROUND(Basisbedragen!$D$39*Basisbedragen!$I$2,2)),ROUND(ROUND(Basisbedragen!$D$28*0.6,4)*Basisbedragen!$I$2,2))/2,2)</f>
        <v>28.12</v>
      </c>
      <c r="Q13" s="388">
        <f>ROUND(A_N_B_vol_plein!Q13/2,2)</f>
        <v>25.56</v>
      </c>
      <c r="R13" s="56">
        <f>ROUND(A_N_B_vol_plein!R13/2,2)</f>
        <v>0</v>
      </c>
      <c r="S13" s="388">
        <f>ROUND(A_N_B_vol_plein!S13/2,2)</f>
        <v>21.19</v>
      </c>
      <c r="T13" s="388">
        <f>ROUND(A_N_B_vol_plein!T13/2,2)</f>
        <v>14.93</v>
      </c>
    </row>
    <row r="14" spans="1:23" ht="15.75" hidden="1" customHeight="1" outlineLevel="1" thickBot="1">
      <c r="A14" s="47">
        <f>A13+1</f>
        <v>2</v>
      </c>
      <c r="C14" s="388">
        <f>ROUND(MIN(MAX(ROUND(ROUND('Loonschijven_Tranches salariale'!$Q9*0.65,4)*Basisbedragen!$I$2,2),ROUND(Basisbedragen!$D$34*Basisbedragen!$I$2,2)),ROUND(ROUND(Basisbedragen!$D$27*0.65,4)*Basisbedragen!$I$2,2))/2,2)</f>
        <v>39.049999999999997</v>
      </c>
      <c r="D14" s="388">
        <f>ROUND(MIN(MAX(ROUND(ROUND('Loonschijven_Tranches salariale'!$Q9*0.6,4)*Basisbedragen!$I$2,2),ROUND(Basisbedragen!$D$34*Basisbedragen!$I$2,2)),ROUND(ROUND(Basisbedragen!$D$28*0.6,4)*Basisbedragen!$I$2,2))/2,2)</f>
        <v>39.049999999999997</v>
      </c>
      <c r="E14" s="388">
        <f>ROUND(A_N_B_vol_plein!E14/2,2)</f>
        <v>35.5</v>
      </c>
      <c r="F14" s="56">
        <f>ROUND(A_N_B_vol_plein!F14/2,2)</f>
        <v>0</v>
      </c>
      <c r="G14" s="388">
        <f>ROUND(A_N_B_vol_plein!G14/2,2)</f>
        <v>35.5</v>
      </c>
      <c r="H14" s="56">
        <f>ROUND(A_N_B_vol_plein!H14/2,2)</f>
        <v>0</v>
      </c>
      <c r="I14" s="388">
        <f>ROUND(MIN(MAX(ROUND(ROUND('Loonschijven_Tranches salariale'!$Q9*0.65,4)*Basisbedragen!$I$2,2),ROUND(Basisbedragen!$D$36*Basisbedragen!$I$2,2)),ROUND(ROUND(Basisbedragen!$D$27*0.65,4)*Basisbedragen!$I$2,2))/2,2)</f>
        <v>31.65</v>
      </c>
      <c r="J14" s="388">
        <f>ROUND(MIN(MAX(ROUND(ROUND('Loonschijven_Tranches salariale'!$Q9*0.6,4)*Basisbedragen!$I$2,2),ROUND(Basisbedragen!$D$36*Basisbedragen!$I$2,2)),ROUND(ROUND(Basisbedragen!$D$28*0.6,4)*Basisbedragen!$I$2,2))/2,2)</f>
        <v>31.65</v>
      </c>
      <c r="K14" s="388">
        <f>ROUND(A_N_B_vol_plein!K14/2,2)</f>
        <v>28.77</v>
      </c>
      <c r="L14" s="56">
        <f>ROUND(A_N_B_vol_plein!L14/2,2)</f>
        <v>0</v>
      </c>
      <c r="M14" s="388">
        <f>ROUND(A_N_B_vol_plein!M14/2,2)</f>
        <v>28.77</v>
      </c>
      <c r="N14" s="56">
        <f>ROUND(A_N_B_vol_plein!N14/2,2)</f>
        <v>0</v>
      </c>
      <c r="O14" s="388">
        <f>ROUND(MIN(MAX(ROUND(ROUND('Loonschijven_Tranches salariale'!$Q9*0.65,4)*Basisbedragen!$I$2,2),ROUND(Basisbedragen!$D$38*Basisbedragen!$I$2,2)),ROUND(ROUND(Basisbedragen!$D$27*0.65,4)*Basisbedragen!$I$2,2))/2,2)</f>
        <v>30.46</v>
      </c>
      <c r="P14" s="388">
        <f>ROUND(MIN(MAX(ROUND(ROUND('Loonschijven_Tranches salariale'!$Q9*0.6,4)*Basisbedragen!$I$2,2),ROUND(Basisbedragen!$D$39*Basisbedragen!$I$2,2)),ROUND(ROUND(Basisbedragen!$D$28*0.6,4)*Basisbedragen!$I$2,2))/2,2)</f>
        <v>28.12</v>
      </c>
      <c r="Q14" s="388">
        <f>ROUND(A_N_B_vol_plein!Q14/2,2)</f>
        <v>25.56</v>
      </c>
      <c r="R14" s="56">
        <f>ROUND(A_N_B_vol_plein!R14/2,2)</f>
        <v>0</v>
      </c>
      <c r="S14" s="388">
        <f>ROUND(A_N_B_vol_plein!S14/2,2)</f>
        <v>21.19</v>
      </c>
      <c r="T14" s="388">
        <f>ROUND(A_N_B_vol_plein!T14/2,2)</f>
        <v>14.93</v>
      </c>
    </row>
    <row r="15" spans="1:23" ht="15.75" hidden="1" customHeight="1" outlineLevel="1" thickBot="1">
      <c r="A15" s="47">
        <f t="shared" ref="A15:A78" si="0">A14+1</f>
        <v>3</v>
      </c>
      <c r="C15" s="388">
        <f>ROUND(MIN(MAX(ROUND(ROUND('Loonschijven_Tranches salariale'!$Q10*0.65,4)*Basisbedragen!$I$2,2),ROUND(Basisbedragen!$D$34*Basisbedragen!$I$2,2)),ROUND(ROUND(Basisbedragen!$D$27*0.65,4)*Basisbedragen!$I$2,2))/2,2)</f>
        <v>39.049999999999997</v>
      </c>
      <c r="D15" s="388">
        <f>ROUND(MIN(MAX(ROUND(ROUND('Loonschijven_Tranches salariale'!$Q10*0.6,4)*Basisbedragen!$I$2,2),ROUND(Basisbedragen!$D$34*Basisbedragen!$I$2,2)),ROUND(ROUND(Basisbedragen!$D$28*0.6,4)*Basisbedragen!$I$2,2))/2,2)</f>
        <v>39.049999999999997</v>
      </c>
      <c r="E15" s="388">
        <f>ROUND(A_N_B_vol_plein!E15/2,2)</f>
        <v>35.5</v>
      </c>
      <c r="F15" s="56">
        <f>ROUND(A_N_B_vol_plein!F15/2,2)</f>
        <v>0</v>
      </c>
      <c r="G15" s="388">
        <f>ROUND(A_N_B_vol_plein!G15/2,2)</f>
        <v>35.5</v>
      </c>
      <c r="H15" s="56">
        <f>ROUND(A_N_B_vol_plein!H15/2,2)</f>
        <v>0</v>
      </c>
      <c r="I15" s="388">
        <f>ROUND(MIN(MAX(ROUND(ROUND('Loonschijven_Tranches salariale'!$Q10*0.65,4)*Basisbedragen!$I$2,2),ROUND(Basisbedragen!$D$36*Basisbedragen!$I$2,2)),ROUND(ROUND(Basisbedragen!$D$27*0.65,4)*Basisbedragen!$I$2,2))/2,2)</f>
        <v>31.65</v>
      </c>
      <c r="J15" s="388">
        <f>ROUND(MIN(MAX(ROUND(ROUND('Loonschijven_Tranches salariale'!$Q10*0.6,4)*Basisbedragen!$I$2,2),ROUND(Basisbedragen!$D$36*Basisbedragen!$I$2,2)),ROUND(ROUND(Basisbedragen!$D$28*0.6,4)*Basisbedragen!$I$2,2))/2,2)</f>
        <v>31.65</v>
      </c>
      <c r="K15" s="388">
        <f>ROUND(A_N_B_vol_plein!K15/2,2)</f>
        <v>28.77</v>
      </c>
      <c r="L15" s="56">
        <f>ROUND(A_N_B_vol_plein!L15/2,2)</f>
        <v>0</v>
      </c>
      <c r="M15" s="388">
        <f>ROUND(A_N_B_vol_plein!M15/2,2)</f>
        <v>28.77</v>
      </c>
      <c r="N15" s="56">
        <f>ROUND(A_N_B_vol_plein!N15/2,2)</f>
        <v>0</v>
      </c>
      <c r="O15" s="388">
        <f>ROUND(MIN(MAX(ROUND(ROUND('Loonschijven_Tranches salariale'!$Q10*0.65,4)*Basisbedragen!$I$2,2),ROUND(Basisbedragen!$D$38*Basisbedragen!$I$2,2)),ROUND(ROUND(Basisbedragen!$D$27*0.65,4)*Basisbedragen!$I$2,2))/2,2)</f>
        <v>30.46</v>
      </c>
      <c r="P15" s="388">
        <f>ROUND(MIN(MAX(ROUND(ROUND('Loonschijven_Tranches salariale'!$Q10*0.6,4)*Basisbedragen!$I$2,2),ROUND(Basisbedragen!$D$39*Basisbedragen!$I$2,2)),ROUND(ROUND(Basisbedragen!$D$28*0.6,4)*Basisbedragen!$I$2,2))/2,2)</f>
        <v>28.12</v>
      </c>
      <c r="Q15" s="388">
        <f>ROUND(A_N_B_vol_plein!Q15/2,2)</f>
        <v>25.56</v>
      </c>
      <c r="R15" s="56">
        <f>ROUND(A_N_B_vol_plein!R15/2,2)</f>
        <v>0</v>
      </c>
      <c r="S15" s="388">
        <f>ROUND(A_N_B_vol_plein!S15/2,2)</f>
        <v>21.19</v>
      </c>
      <c r="T15" s="388">
        <f>ROUND(A_N_B_vol_plein!T15/2,2)</f>
        <v>14.93</v>
      </c>
    </row>
    <row r="16" spans="1:23" ht="15.75" hidden="1" customHeight="1" outlineLevel="1" thickBot="1">
      <c r="A16" s="47">
        <f t="shared" si="0"/>
        <v>4</v>
      </c>
      <c r="C16" s="388">
        <f>ROUND(MIN(MAX(ROUND(ROUND('Loonschijven_Tranches salariale'!$Q11*0.65,4)*Basisbedragen!$I$2,2),ROUND(Basisbedragen!$D$34*Basisbedragen!$I$2,2)),ROUND(ROUND(Basisbedragen!$D$27*0.65,4)*Basisbedragen!$I$2,2))/2,2)</f>
        <v>39.049999999999997</v>
      </c>
      <c r="D16" s="388">
        <f>ROUND(MIN(MAX(ROUND(ROUND('Loonschijven_Tranches salariale'!$Q11*0.6,4)*Basisbedragen!$I$2,2),ROUND(Basisbedragen!$D$34*Basisbedragen!$I$2,2)),ROUND(ROUND(Basisbedragen!$D$28*0.6,4)*Basisbedragen!$I$2,2))/2,2)</f>
        <v>39.049999999999997</v>
      </c>
      <c r="E16" s="388">
        <f>ROUND(A_N_B_vol_plein!E16/2,2)</f>
        <v>35.5</v>
      </c>
      <c r="F16" s="56">
        <f>ROUND(A_N_B_vol_plein!F16/2,2)</f>
        <v>0</v>
      </c>
      <c r="G16" s="388">
        <f>ROUND(A_N_B_vol_plein!G16/2,2)</f>
        <v>35.5</v>
      </c>
      <c r="H16" s="56">
        <f>ROUND(A_N_B_vol_plein!H16/2,2)</f>
        <v>0</v>
      </c>
      <c r="I16" s="388">
        <f>ROUND(MIN(MAX(ROUND(ROUND('Loonschijven_Tranches salariale'!$Q11*0.65,4)*Basisbedragen!$I$2,2),ROUND(Basisbedragen!$D$36*Basisbedragen!$I$2,2)),ROUND(ROUND(Basisbedragen!$D$27*0.65,4)*Basisbedragen!$I$2,2))/2,2)</f>
        <v>31.65</v>
      </c>
      <c r="J16" s="388">
        <f>ROUND(MIN(MAX(ROUND(ROUND('Loonschijven_Tranches salariale'!$Q11*0.6,4)*Basisbedragen!$I$2,2),ROUND(Basisbedragen!$D$36*Basisbedragen!$I$2,2)),ROUND(ROUND(Basisbedragen!$D$28*0.6,4)*Basisbedragen!$I$2,2))/2,2)</f>
        <v>31.65</v>
      </c>
      <c r="K16" s="388">
        <f>ROUND(A_N_B_vol_plein!K16/2,2)</f>
        <v>28.77</v>
      </c>
      <c r="L16" s="56">
        <f>ROUND(A_N_B_vol_plein!L16/2,2)</f>
        <v>0</v>
      </c>
      <c r="M16" s="388">
        <f>ROUND(A_N_B_vol_plein!M16/2,2)</f>
        <v>28.77</v>
      </c>
      <c r="N16" s="56">
        <f>ROUND(A_N_B_vol_plein!N16/2,2)</f>
        <v>0</v>
      </c>
      <c r="O16" s="388">
        <f>ROUND(MIN(MAX(ROUND(ROUND('Loonschijven_Tranches salariale'!$Q11*0.65,4)*Basisbedragen!$I$2,2),ROUND(Basisbedragen!$D$38*Basisbedragen!$I$2,2)),ROUND(ROUND(Basisbedragen!$D$27*0.65,4)*Basisbedragen!$I$2,2))/2,2)</f>
        <v>30.46</v>
      </c>
      <c r="P16" s="388">
        <f>ROUND(MIN(MAX(ROUND(ROUND('Loonschijven_Tranches salariale'!$Q11*0.6,4)*Basisbedragen!$I$2,2),ROUND(Basisbedragen!$D$39*Basisbedragen!$I$2,2)),ROUND(ROUND(Basisbedragen!$D$28*0.6,4)*Basisbedragen!$I$2,2))/2,2)</f>
        <v>28.12</v>
      </c>
      <c r="Q16" s="388">
        <f>ROUND(A_N_B_vol_plein!Q16/2,2)</f>
        <v>25.56</v>
      </c>
      <c r="R16" s="56">
        <f>ROUND(A_N_B_vol_plein!R16/2,2)</f>
        <v>0</v>
      </c>
      <c r="S16" s="388">
        <f>ROUND(A_N_B_vol_plein!S16/2,2)</f>
        <v>21.19</v>
      </c>
      <c r="T16" s="388">
        <f>ROUND(A_N_B_vol_plein!T16/2,2)</f>
        <v>14.93</v>
      </c>
    </row>
    <row r="17" spans="1:20" ht="15.75" hidden="1" customHeight="1" outlineLevel="1" thickBot="1">
      <c r="A17" s="47">
        <f t="shared" si="0"/>
        <v>5</v>
      </c>
      <c r="C17" s="388">
        <f>ROUND(MIN(MAX(ROUND(ROUND('Loonschijven_Tranches salariale'!$Q12*0.65,4)*Basisbedragen!$I$2,2),ROUND(Basisbedragen!$D$34*Basisbedragen!$I$2,2)),ROUND(ROUND(Basisbedragen!$D$27*0.65,4)*Basisbedragen!$I$2,2))/2,2)</f>
        <v>39.049999999999997</v>
      </c>
      <c r="D17" s="388">
        <f>ROUND(MIN(MAX(ROUND(ROUND('Loonschijven_Tranches salariale'!$Q12*0.6,4)*Basisbedragen!$I$2,2),ROUND(Basisbedragen!$D$34*Basisbedragen!$I$2,2)),ROUND(ROUND(Basisbedragen!$D$28*0.6,4)*Basisbedragen!$I$2,2))/2,2)</f>
        <v>39.049999999999997</v>
      </c>
      <c r="E17" s="409">
        <f>ROUND(A_N_B_vol_plein!E17/2,2)</f>
        <v>35.5</v>
      </c>
      <c r="F17" s="56">
        <f>ROUND(A_N_B_vol_plein!F17/2,2)</f>
        <v>0</v>
      </c>
      <c r="G17" s="409">
        <f>ROUND(A_N_B_vol_plein!G17/2,2)</f>
        <v>35.5</v>
      </c>
      <c r="H17" s="56">
        <f>ROUND(A_N_B_vol_plein!H17/2,2)</f>
        <v>0</v>
      </c>
      <c r="I17" s="388">
        <f>ROUND(MIN(MAX(ROUND(ROUND('Loonschijven_Tranches salariale'!$Q12*0.65,4)*Basisbedragen!$I$2,2),ROUND(Basisbedragen!$D$36*Basisbedragen!$I$2,2)),ROUND(ROUND(Basisbedragen!$D$27*0.65,4)*Basisbedragen!$I$2,2))/2,2)</f>
        <v>31.65</v>
      </c>
      <c r="J17" s="388">
        <f>ROUND(MIN(MAX(ROUND(ROUND('Loonschijven_Tranches salariale'!$Q12*0.6,4)*Basisbedragen!$I$2,2),ROUND(Basisbedragen!$D$36*Basisbedragen!$I$2,2)),ROUND(ROUND(Basisbedragen!$D$28*0.6,4)*Basisbedragen!$I$2,2))/2,2)</f>
        <v>31.65</v>
      </c>
      <c r="K17" s="409">
        <f>ROUND(A_N_B_vol_plein!K17/2,2)</f>
        <v>28.77</v>
      </c>
      <c r="L17" s="56">
        <f>ROUND(A_N_B_vol_plein!L17/2,2)</f>
        <v>0</v>
      </c>
      <c r="M17" s="409">
        <f>ROUND(A_N_B_vol_plein!M17/2,2)</f>
        <v>28.77</v>
      </c>
      <c r="N17" s="56">
        <f>ROUND(A_N_B_vol_plein!N17/2,2)</f>
        <v>0</v>
      </c>
      <c r="O17" s="388">
        <f>ROUND(MIN(MAX(ROUND(ROUND('Loonschijven_Tranches salariale'!$Q12*0.65,4)*Basisbedragen!$I$2,2),ROUND(Basisbedragen!$D$38*Basisbedragen!$I$2,2)),ROUND(ROUND(Basisbedragen!$D$27*0.65,4)*Basisbedragen!$I$2,2))/2,2)</f>
        <v>30.46</v>
      </c>
      <c r="P17" s="388">
        <f>ROUND(MIN(MAX(ROUND(ROUND('Loonschijven_Tranches salariale'!$Q12*0.6,4)*Basisbedragen!$I$2,2),ROUND(Basisbedragen!$D$39*Basisbedragen!$I$2,2)),ROUND(ROUND(Basisbedragen!$D$28*0.6,4)*Basisbedragen!$I$2,2))/2,2)</f>
        <v>28.12</v>
      </c>
      <c r="Q17" s="409">
        <f>ROUND(A_N_B_vol_plein!Q17/2,2)</f>
        <v>25.56</v>
      </c>
      <c r="R17" s="56">
        <f>ROUND(A_N_B_vol_plein!R17/2,2)</f>
        <v>0</v>
      </c>
      <c r="S17" s="409">
        <f>ROUND(A_N_B_vol_plein!S17/2,2)</f>
        <v>21.19</v>
      </c>
      <c r="T17" s="409">
        <f>ROUND(A_N_B_vol_plein!T17/2,2)</f>
        <v>14.93</v>
      </c>
    </row>
    <row r="18" spans="1:20" ht="15.75" hidden="1" customHeight="1" outlineLevel="1" thickBot="1">
      <c r="A18" s="47">
        <f t="shared" si="0"/>
        <v>6</v>
      </c>
      <c r="C18" s="388">
        <f>ROUND(MIN(MAX(ROUND(ROUND('Loonschijven_Tranches salariale'!$Q13*0.65,4)*Basisbedragen!$I$2,2),ROUND(Basisbedragen!$D$34*Basisbedragen!$I$2,2)),ROUND(ROUND(Basisbedragen!$D$27*0.65,4)*Basisbedragen!$I$2,2))/2,2)</f>
        <v>39.049999999999997</v>
      </c>
      <c r="D18" s="388">
        <f>ROUND(MIN(MAX(ROUND(ROUND('Loonschijven_Tranches salariale'!$Q13*0.6,4)*Basisbedragen!$I$2,2),ROUND(Basisbedragen!$D$34*Basisbedragen!$I$2,2)),ROUND(ROUND(Basisbedragen!$D$28*0.6,4)*Basisbedragen!$I$2,2))/2,2)</f>
        <v>39.049999999999997</v>
      </c>
      <c r="E18" s="388">
        <f>ROUND(A_N_B_vol_plein!E18/2,2)</f>
        <v>35.5</v>
      </c>
      <c r="F18" s="56">
        <f>ROUND(A_N_B_vol_plein!F18/2,2)</f>
        <v>0</v>
      </c>
      <c r="G18" s="388">
        <f>ROUND(A_N_B_vol_plein!G18/2,2)</f>
        <v>35.5</v>
      </c>
      <c r="H18" s="56">
        <f>ROUND(A_N_B_vol_plein!H18/2,2)</f>
        <v>0</v>
      </c>
      <c r="I18" s="388">
        <f>ROUND(MIN(MAX(ROUND(ROUND('Loonschijven_Tranches salariale'!$Q13*0.65,4)*Basisbedragen!$I$2,2),ROUND(Basisbedragen!$D$36*Basisbedragen!$I$2,2)),ROUND(ROUND(Basisbedragen!$D$27*0.65,4)*Basisbedragen!$I$2,2))/2,2)</f>
        <v>31.65</v>
      </c>
      <c r="J18" s="388">
        <f>ROUND(MIN(MAX(ROUND(ROUND('Loonschijven_Tranches salariale'!$Q13*0.6,4)*Basisbedragen!$I$2,2),ROUND(Basisbedragen!$D$36*Basisbedragen!$I$2,2)),ROUND(ROUND(Basisbedragen!$D$28*0.6,4)*Basisbedragen!$I$2,2))/2,2)</f>
        <v>31.65</v>
      </c>
      <c r="K18" s="388">
        <f>ROUND(A_N_B_vol_plein!K18/2,2)</f>
        <v>28.77</v>
      </c>
      <c r="L18" s="56">
        <f>ROUND(A_N_B_vol_plein!L18/2,2)</f>
        <v>0</v>
      </c>
      <c r="M18" s="388">
        <f>ROUND(A_N_B_vol_plein!M18/2,2)</f>
        <v>28.77</v>
      </c>
      <c r="N18" s="56">
        <f>ROUND(A_N_B_vol_plein!N18/2,2)</f>
        <v>0</v>
      </c>
      <c r="O18" s="388">
        <f>ROUND(MIN(MAX(ROUND(ROUND('Loonschijven_Tranches salariale'!$Q13*0.65,4)*Basisbedragen!$I$2,2),ROUND(Basisbedragen!$D$38*Basisbedragen!$I$2,2)),ROUND(ROUND(Basisbedragen!$D$27*0.65,4)*Basisbedragen!$I$2,2))/2,2)</f>
        <v>30.46</v>
      </c>
      <c r="P18" s="388">
        <f>ROUND(MIN(MAX(ROUND(ROUND('Loonschijven_Tranches salariale'!$Q13*0.6,4)*Basisbedragen!$I$2,2),ROUND(Basisbedragen!$D$39*Basisbedragen!$I$2,2)),ROUND(ROUND(Basisbedragen!$D$28*0.6,4)*Basisbedragen!$I$2,2))/2,2)</f>
        <v>28.12</v>
      </c>
      <c r="Q18" s="388">
        <f>ROUND(A_N_B_vol_plein!Q18/2,2)</f>
        <v>25.56</v>
      </c>
      <c r="R18" s="56">
        <f>ROUND(A_N_B_vol_plein!R18/2,2)</f>
        <v>0</v>
      </c>
      <c r="S18" s="388">
        <f>ROUND(A_N_B_vol_plein!S18/2,2)</f>
        <v>21.19</v>
      </c>
      <c r="T18" s="388">
        <f>ROUND(A_N_B_vol_plein!T18/2,2)</f>
        <v>14.93</v>
      </c>
    </row>
    <row r="19" spans="1:20" ht="15.75" hidden="1" customHeight="1" outlineLevel="1" thickBot="1">
      <c r="A19" s="47">
        <f t="shared" si="0"/>
        <v>7</v>
      </c>
      <c r="C19" s="388">
        <f>ROUND(MIN(MAX(ROUND(ROUND('Loonschijven_Tranches salariale'!$Q14*0.65,4)*Basisbedragen!$I$2,2),ROUND(Basisbedragen!$D$34*Basisbedragen!$I$2,2)),ROUND(ROUND(Basisbedragen!$D$27*0.65,4)*Basisbedragen!$I$2,2))/2,2)</f>
        <v>39.049999999999997</v>
      </c>
      <c r="D19" s="388">
        <f>ROUND(MIN(MAX(ROUND(ROUND('Loonschijven_Tranches salariale'!$Q14*0.6,4)*Basisbedragen!$I$2,2),ROUND(Basisbedragen!$D$34*Basisbedragen!$I$2,2)),ROUND(ROUND(Basisbedragen!$D$28*0.6,4)*Basisbedragen!$I$2,2))/2,2)</f>
        <v>39.049999999999997</v>
      </c>
      <c r="E19" s="388">
        <f>ROUND(A_N_B_vol_plein!E19/2,2)</f>
        <v>35.5</v>
      </c>
      <c r="F19" s="56">
        <f>ROUND(A_N_B_vol_plein!F19/2,2)</f>
        <v>0</v>
      </c>
      <c r="G19" s="388">
        <f>ROUND(A_N_B_vol_plein!G19/2,2)</f>
        <v>35.5</v>
      </c>
      <c r="H19" s="56">
        <f>ROUND(A_N_B_vol_plein!H19/2,2)</f>
        <v>0</v>
      </c>
      <c r="I19" s="388">
        <f>ROUND(MIN(MAX(ROUND(ROUND('Loonschijven_Tranches salariale'!$Q14*0.65,4)*Basisbedragen!$I$2,2),ROUND(Basisbedragen!$D$36*Basisbedragen!$I$2,2)),ROUND(ROUND(Basisbedragen!$D$27*0.65,4)*Basisbedragen!$I$2,2))/2,2)</f>
        <v>31.65</v>
      </c>
      <c r="J19" s="388">
        <f>ROUND(MIN(MAX(ROUND(ROUND('Loonschijven_Tranches salariale'!$Q14*0.6,4)*Basisbedragen!$I$2,2),ROUND(Basisbedragen!$D$36*Basisbedragen!$I$2,2)),ROUND(ROUND(Basisbedragen!$D$28*0.6,4)*Basisbedragen!$I$2,2))/2,2)</f>
        <v>31.65</v>
      </c>
      <c r="K19" s="388">
        <f>ROUND(A_N_B_vol_plein!K19/2,2)</f>
        <v>28.77</v>
      </c>
      <c r="L19" s="56">
        <f>ROUND(A_N_B_vol_plein!L19/2,2)</f>
        <v>0</v>
      </c>
      <c r="M19" s="388">
        <f>ROUND(A_N_B_vol_plein!M19/2,2)</f>
        <v>28.77</v>
      </c>
      <c r="N19" s="56">
        <f>ROUND(A_N_B_vol_plein!N19/2,2)</f>
        <v>0</v>
      </c>
      <c r="O19" s="388">
        <f>ROUND(MIN(MAX(ROUND(ROUND('Loonschijven_Tranches salariale'!$Q14*0.65,4)*Basisbedragen!$I$2,2),ROUND(Basisbedragen!$D$38*Basisbedragen!$I$2,2)),ROUND(ROUND(Basisbedragen!$D$27*0.65,4)*Basisbedragen!$I$2,2))/2,2)</f>
        <v>30.46</v>
      </c>
      <c r="P19" s="388">
        <f>ROUND(MIN(MAX(ROUND(ROUND('Loonschijven_Tranches salariale'!$Q14*0.6,4)*Basisbedragen!$I$2,2),ROUND(Basisbedragen!$D$39*Basisbedragen!$I$2,2)),ROUND(ROUND(Basisbedragen!$D$28*0.6,4)*Basisbedragen!$I$2,2))/2,2)</f>
        <v>28.12</v>
      </c>
      <c r="Q19" s="388">
        <f>ROUND(A_N_B_vol_plein!Q19/2,2)</f>
        <v>25.56</v>
      </c>
      <c r="R19" s="56">
        <f>ROUND(A_N_B_vol_plein!R19/2,2)</f>
        <v>0</v>
      </c>
      <c r="S19" s="388">
        <f>ROUND(A_N_B_vol_plein!S19/2,2)</f>
        <v>21.19</v>
      </c>
      <c r="T19" s="388">
        <f>ROUND(A_N_B_vol_plein!T19/2,2)</f>
        <v>14.93</v>
      </c>
    </row>
    <row r="20" spans="1:20" ht="15.75" hidden="1" customHeight="1" outlineLevel="1" thickBot="1">
      <c r="A20" s="47">
        <f t="shared" si="0"/>
        <v>8</v>
      </c>
      <c r="C20" s="388">
        <f>ROUND(MIN(MAX(ROUND(ROUND('Loonschijven_Tranches salariale'!$Q15*0.65,4)*Basisbedragen!$I$2,2),ROUND(Basisbedragen!$D$34*Basisbedragen!$I$2,2)),ROUND(ROUND(Basisbedragen!$D$27*0.65,4)*Basisbedragen!$I$2,2))/2,2)</f>
        <v>39.049999999999997</v>
      </c>
      <c r="D20" s="388">
        <f>ROUND(MIN(MAX(ROUND(ROUND('Loonschijven_Tranches salariale'!$Q15*0.6,4)*Basisbedragen!$I$2,2),ROUND(Basisbedragen!$D$34*Basisbedragen!$I$2,2)),ROUND(ROUND(Basisbedragen!$D$28*0.6,4)*Basisbedragen!$I$2,2))/2,2)</f>
        <v>39.049999999999997</v>
      </c>
      <c r="E20" s="388">
        <f>ROUND(A_N_B_vol_plein!E20/2,2)</f>
        <v>35.5</v>
      </c>
      <c r="F20" s="56">
        <f>ROUND(A_N_B_vol_plein!F20/2,2)</f>
        <v>0</v>
      </c>
      <c r="G20" s="388">
        <f>ROUND(A_N_B_vol_plein!G20/2,2)</f>
        <v>35.5</v>
      </c>
      <c r="H20" s="56">
        <f>ROUND(A_N_B_vol_plein!H20/2,2)</f>
        <v>0</v>
      </c>
      <c r="I20" s="388">
        <f>ROUND(MIN(MAX(ROUND(ROUND('Loonschijven_Tranches salariale'!$Q15*0.65,4)*Basisbedragen!$I$2,2),ROUND(Basisbedragen!$D$36*Basisbedragen!$I$2,2)),ROUND(ROUND(Basisbedragen!$D$27*0.65,4)*Basisbedragen!$I$2,2))/2,2)</f>
        <v>31.65</v>
      </c>
      <c r="J20" s="388">
        <f>ROUND(MIN(MAX(ROUND(ROUND('Loonschijven_Tranches salariale'!$Q15*0.6,4)*Basisbedragen!$I$2,2),ROUND(Basisbedragen!$D$36*Basisbedragen!$I$2,2)),ROUND(ROUND(Basisbedragen!$D$28*0.6,4)*Basisbedragen!$I$2,2))/2,2)</f>
        <v>31.65</v>
      </c>
      <c r="K20" s="388">
        <f>ROUND(A_N_B_vol_plein!K20/2,2)</f>
        <v>28.77</v>
      </c>
      <c r="L20" s="56">
        <f>ROUND(A_N_B_vol_plein!L20/2,2)</f>
        <v>0</v>
      </c>
      <c r="M20" s="388">
        <f>ROUND(A_N_B_vol_plein!M20/2,2)</f>
        <v>28.77</v>
      </c>
      <c r="N20" s="56">
        <f>ROUND(A_N_B_vol_plein!N20/2,2)</f>
        <v>0</v>
      </c>
      <c r="O20" s="388">
        <f>ROUND(MIN(MAX(ROUND(ROUND('Loonschijven_Tranches salariale'!$Q15*0.65,4)*Basisbedragen!$I$2,2),ROUND(Basisbedragen!$D$38*Basisbedragen!$I$2,2)),ROUND(ROUND(Basisbedragen!$D$27*0.65,4)*Basisbedragen!$I$2,2))/2,2)</f>
        <v>30.46</v>
      </c>
      <c r="P20" s="388">
        <f>ROUND(MIN(MAX(ROUND(ROUND('Loonschijven_Tranches salariale'!$Q15*0.6,4)*Basisbedragen!$I$2,2),ROUND(Basisbedragen!$D$39*Basisbedragen!$I$2,2)),ROUND(ROUND(Basisbedragen!$D$28*0.6,4)*Basisbedragen!$I$2,2))/2,2)</f>
        <v>28.12</v>
      </c>
      <c r="Q20" s="388">
        <f>ROUND(A_N_B_vol_plein!Q20/2,2)</f>
        <v>25.56</v>
      </c>
      <c r="R20" s="56">
        <f>ROUND(A_N_B_vol_plein!R20/2,2)</f>
        <v>0</v>
      </c>
      <c r="S20" s="388">
        <f>ROUND(A_N_B_vol_plein!S20/2,2)</f>
        <v>21.19</v>
      </c>
      <c r="T20" s="388">
        <f>ROUND(A_N_B_vol_plein!T20/2,2)</f>
        <v>14.93</v>
      </c>
    </row>
    <row r="21" spans="1:20" ht="15.75" hidden="1" customHeight="1" outlineLevel="1" thickBot="1">
      <c r="A21" s="47">
        <f t="shared" si="0"/>
        <v>9</v>
      </c>
      <c r="C21" s="388">
        <f>ROUND(MIN(MAX(ROUND(ROUND('Loonschijven_Tranches salariale'!$Q16*0.65,4)*Basisbedragen!$I$2,2),ROUND(Basisbedragen!$D$34*Basisbedragen!$I$2,2)),ROUND(ROUND(Basisbedragen!$D$27*0.65,4)*Basisbedragen!$I$2,2))/2,2)</f>
        <v>39.049999999999997</v>
      </c>
      <c r="D21" s="388">
        <f>ROUND(MIN(MAX(ROUND(ROUND('Loonschijven_Tranches salariale'!$Q16*0.6,4)*Basisbedragen!$I$2,2),ROUND(Basisbedragen!$D$34*Basisbedragen!$I$2,2)),ROUND(ROUND(Basisbedragen!$D$28*0.6,4)*Basisbedragen!$I$2,2))/2,2)</f>
        <v>39.049999999999997</v>
      </c>
      <c r="E21" s="388">
        <f>ROUND(A_N_B_vol_plein!E21/2,2)</f>
        <v>35.5</v>
      </c>
      <c r="F21" s="56">
        <f>ROUND(A_N_B_vol_plein!F21/2,2)</f>
        <v>0</v>
      </c>
      <c r="G21" s="388">
        <f>ROUND(A_N_B_vol_plein!G21/2,2)</f>
        <v>35.5</v>
      </c>
      <c r="H21" s="56">
        <f>ROUND(A_N_B_vol_plein!H21/2,2)</f>
        <v>0</v>
      </c>
      <c r="I21" s="388">
        <f>ROUND(MIN(MAX(ROUND(ROUND('Loonschijven_Tranches salariale'!$Q16*0.65,4)*Basisbedragen!$I$2,2),ROUND(Basisbedragen!$D$36*Basisbedragen!$I$2,2)),ROUND(ROUND(Basisbedragen!$D$27*0.65,4)*Basisbedragen!$I$2,2))/2,2)</f>
        <v>31.65</v>
      </c>
      <c r="J21" s="388">
        <f>ROUND(MIN(MAX(ROUND(ROUND('Loonschijven_Tranches salariale'!$Q16*0.6,4)*Basisbedragen!$I$2,2),ROUND(Basisbedragen!$D$36*Basisbedragen!$I$2,2)),ROUND(ROUND(Basisbedragen!$D$28*0.6,4)*Basisbedragen!$I$2,2))/2,2)</f>
        <v>31.65</v>
      </c>
      <c r="K21" s="388">
        <f>ROUND(A_N_B_vol_plein!K21/2,2)</f>
        <v>28.77</v>
      </c>
      <c r="L21" s="56">
        <f>ROUND(A_N_B_vol_plein!L21/2,2)</f>
        <v>0</v>
      </c>
      <c r="M21" s="388">
        <f>ROUND(A_N_B_vol_plein!M21/2,2)</f>
        <v>28.77</v>
      </c>
      <c r="N21" s="56">
        <f>ROUND(A_N_B_vol_plein!N21/2,2)</f>
        <v>0</v>
      </c>
      <c r="O21" s="388">
        <f>ROUND(MIN(MAX(ROUND(ROUND('Loonschijven_Tranches salariale'!$Q16*0.65,4)*Basisbedragen!$I$2,2),ROUND(Basisbedragen!$D$38*Basisbedragen!$I$2,2)),ROUND(ROUND(Basisbedragen!$D$27*0.65,4)*Basisbedragen!$I$2,2))/2,2)</f>
        <v>30.46</v>
      </c>
      <c r="P21" s="388">
        <f>ROUND(MIN(MAX(ROUND(ROUND('Loonschijven_Tranches salariale'!$Q16*0.6,4)*Basisbedragen!$I$2,2),ROUND(Basisbedragen!$D$39*Basisbedragen!$I$2,2)),ROUND(ROUND(Basisbedragen!$D$28*0.6,4)*Basisbedragen!$I$2,2))/2,2)</f>
        <v>28.12</v>
      </c>
      <c r="Q21" s="388">
        <f>ROUND(A_N_B_vol_plein!Q21/2,2)</f>
        <v>25.56</v>
      </c>
      <c r="R21" s="56">
        <f>ROUND(A_N_B_vol_plein!R21/2,2)</f>
        <v>0</v>
      </c>
      <c r="S21" s="388">
        <f>ROUND(A_N_B_vol_plein!S21/2,2)</f>
        <v>21.19</v>
      </c>
      <c r="T21" s="388">
        <f>ROUND(A_N_B_vol_plein!T21/2,2)</f>
        <v>14.93</v>
      </c>
    </row>
    <row r="22" spans="1:20" ht="15.75" hidden="1" customHeight="1" outlineLevel="1" thickBot="1">
      <c r="A22" s="47">
        <f t="shared" si="0"/>
        <v>10</v>
      </c>
      <c r="C22" s="388">
        <f>ROUND(MIN(MAX(ROUND(ROUND('Loonschijven_Tranches salariale'!$Q17*0.65,4)*Basisbedragen!$I$2,2),ROUND(Basisbedragen!$D$34*Basisbedragen!$I$2,2)),ROUND(ROUND(Basisbedragen!$D$27*0.65,4)*Basisbedragen!$I$2,2))/2,2)</f>
        <v>39.049999999999997</v>
      </c>
      <c r="D22" s="388">
        <f>ROUND(MIN(MAX(ROUND(ROUND('Loonschijven_Tranches salariale'!$Q17*0.6,4)*Basisbedragen!$I$2,2),ROUND(Basisbedragen!$D$34*Basisbedragen!$I$2,2)),ROUND(ROUND(Basisbedragen!$D$28*0.6,4)*Basisbedragen!$I$2,2))/2,2)</f>
        <v>39.049999999999997</v>
      </c>
      <c r="E22" s="409">
        <f>ROUND(A_N_B_vol_plein!E22/2,2)</f>
        <v>35.5</v>
      </c>
      <c r="F22" s="56">
        <f>ROUND(A_N_B_vol_plein!F22/2,2)</f>
        <v>0</v>
      </c>
      <c r="G22" s="409">
        <f>ROUND(A_N_B_vol_plein!G22/2,2)</f>
        <v>35.5</v>
      </c>
      <c r="H22" s="56">
        <f>ROUND(A_N_B_vol_plein!H22/2,2)</f>
        <v>0</v>
      </c>
      <c r="I22" s="388">
        <f>ROUND(MIN(MAX(ROUND(ROUND('Loonschijven_Tranches salariale'!$Q17*0.65,4)*Basisbedragen!$I$2,2),ROUND(Basisbedragen!$D$36*Basisbedragen!$I$2,2)),ROUND(ROUND(Basisbedragen!$D$27*0.65,4)*Basisbedragen!$I$2,2))/2,2)</f>
        <v>31.65</v>
      </c>
      <c r="J22" s="388">
        <f>ROUND(MIN(MAX(ROUND(ROUND('Loonschijven_Tranches salariale'!$Q17*0.6,4)*Basisbedragen!$I$2,2),ROUND(Basisbedragen!$D$36*Basisbedragen!$I$2,2)),ROUND(ROUND(Basisbedragen!$D$28*0.6,4)*Basisbedragen!$I$2,2))/2,2)</f>
        <v>31.65</v>
      </c>
      <c r="K22" s="409">
        <f>ROUND(A_N_B_vol_plein!K22/2,2)</f>
        <v>28.77</v>
      </c>
      <c r="L22" s="56">
        <f>ROUND(A_N_B_vol_plein!L22/2,2)</f>
        <v>0</v>
      </c>
      <c r="M22" s="409">
        <f>ROUND(A_N_B_vol_plein!M22/2,2)</f>
        <v>28.77</v>
      </c>
      <c r="N22" s="56">
        <f>ROUND(A_N_B_vol_plein!N22/2,2)</f>
        <v>0</v>
      </c>
      <c r="O22" s="388">
        <f>ROUND(MIN(MAX(ROUND(ROUND('Loonschijven_Tranches salariale'!$Q17*0.65,4)*Basisbedragen!$I$2,2),ROUND(Basisbedragen!$D$38*Basisbedragen!$I$2,2)),ROUND(ROUND(Basisbedragen!$D$27*0.65,4)*Basisbedragen!$I$2,2))/2,2)</f>
        <v>30.46</v>
      </c>
      <c r="P22" s="388">
        <f>ROUND(MIN(MAX(ROUND(ROUND('Loonschijven_Tranches salariale'!$Q17*0.6,4)*Basisbedragen!$I$2,2),ROUND(Basisbedragen!$D$39*Basisbedragen!$I$2,2)),ROUND(ROUND(Basisbedragen!$D$28*0.6,4)*Basisbedragen!$I$2,2))/2,2)</f>
        <v>28.12</v>
      </c>
      <c r="Q22" s="409">
        <f>ROUND(A_N_B_vol_plein!Q22/2,2)</f>
        <v>25.56</v>
      </c>
      <c r="R22" s="56">
        <f>ROUND(A_N_B_vol_plein!R22/2,2)</f>
        <v>0</v>
      </c>
      <c r="S22" s="409">
        <f>ROUND(A_N_B_vol_plein!S22/2,2)</f>
        <v>21.19</v>
      </c>
      <c r="T22" s="409">
        <f>ROUND(A_N_B_vol_plein!T22/2,2)</f>
        <v>14.93</v>
      </c>
    </row>
    <row r="23" spans="1:20" ht="15.75" hidden="1" customHeight="1" outlineLevel="1" thickBot="1">
      <c r="A23" s="47">
        <f t="shared" si="0"/>
        <v>11</v>
      </c>
      <c r="C23" s="388">
        <f>ROUND(MIN(MAX(ROUND(ROUND('Loonschijven_Tranches salariale'!$Q18*0.65,4)*Basisbedragen!$I$2,2),ROUND(Basisbedragen!$D$34*Basisbedragen!$I$2,2)),ROUND(ROUND(Basisbedragen!$D$27*0.65,4)*Basisbedragen!$I$2,2))/2,2)</f>
        <v>39.049999999999997</v>
      </c>
      <c r="D23" s="388">
        <f>ROUND(MIN(MAX(ROUND(ROUND('Loonschijven_Tranches salariale'!$Q18*0.6,4)*Basisbedragen!$I$2,2),ROUND(Basisbedragen!$D$34*Basisbedragen!$I$2,2)),ROUND(ROUND(Basisbedragen!$D$28*0.6,4)*Basisbedragen!$I$2,2))/2,2)</f>
        <v>39.049999999999997</v>
      </c>
      <c r="E23" s="388">
        <f>ROUND(A_N_B_vol_plein!E23/2,2)</f>
        <v>35.5</v>
      </c>
      <c r="F23" s="56">
        <f>ROUND(A_N_B_vol_plein!F23/2,2)</f>
        <v>0</v>
      </c>
      <c r="G23" s="388">
        <f>ROUND(A_N_B_vol_plein!G23/2,2)</f>
        <v>35.5</v>
      </c>
      <c r="H23" s="56">
        <f>ROUND(A_N_B_vol_plein!H23/2,2)</f>
        <v>0</v>
      </c>
      <c r="I23" s="388">
        <f>ROUND(MIN(MAX(ROUND(ROUND('Loonschijven_Tranches salariale'!$Q18*0.65,4)*Basisbedragen!$I$2,2),ROUND(Basisbedragen!$D$36*Basisbedragen!$I$2,2)),ROUND(ROUND(Basisbedragen!$D$27*0.65,4)*Basisbedragen!$I$2,2))/2,2)</f>
        <v>31.65</v>
      </c>
      <c r="J23" s="388">
        <f>ROUND(MIN(MAX(ROUND(ROUND('Loonschijven_Tranches salariale'!$Q18*0.6,4)*Basisbedragen!$I$2,2),ROUND(Basisbedragen!$D$36*Basisbedragen!$I$2,2)),ROUND(ROUND(Basisbedragen!$D$28*0.6,4)*Basisbedragen!$I$2,2))/2,2)</f>
        <v>31.65</v>
      </c>
      <c r="K23" s="388">
        <f>ROUND(A_N_B_vol_plein!K23/2,2)</f>
        <v>28.77</v>
      </c>
      <c r="L23" s="56">
        <f>ROUND(A_N_B_vol_plein!L23/2,2)</f>
        <v>0</v>
      </c>
      <c r="M23" s="388">
        <f>ROUND(A_N_B_vol_plein!M23/2,2)</f>
        <v>28.77</v>
      </c>
      <c r="N23" s="56">
        <f>ROUND(A_N_B_vol_plein!N23/2,2)</f>
        <v>0</v>
      </c>
      <c r="O23" s="388">
        <f>ROUND(MIN(MAX(ROUND(ROUND('Loonschijven_Tranches salariale'!$Q18*0.65,4)*Basisbedragen!$I$2,2),ROUND(Basisbedragen!$D$38*Basisbedragen!$I$2,2)),ROUND(ROUND(Basisbedragen!$D$27*0.65,4)*Basisbedragen!$I$2,2))/2,2)</f>
        <v>30.46</v>
      </c>
      <c r="P23" s="388">
        <f>ROUND(MIN(MAX(ROUND(ROUND('Loonschijven_Tranches salariale'!$Q18*0.6,4)*Basisbedragen!$I$2,2),ROUND(Basisbedragen!$D$39*Basisbedragen!$I$2,2)),ROUND(ROUND(Basisbedragen!$D$28*0.6,4)*Basisbedragen!$I$2,2))/2,2)</f>
        <v>28.12</v>
      </c>
      <c r="Q23" s="388">
        <f>ROUND(A_N_B_vol_plein!Q23/2,2)</f>
        <v>25.56</v>
      </c>
      <c r="R23" s="56">
        <f>ROUND(A_N_B_vol_plein!R23/2,2)</f>
        <v>0</v>
      </c>
      <c r="S23" s="388">
        <f>ROUND(A_N_B_vol_plein!S23/2,2)</f>
        <v>21.19</v>
      </c>
      <c r="T23" s="388">
        <f>ROUND(A_N_B_vol_plein!T23/2,2)</f>
        <v>14.93</v>
      </c>
    </row>
    <row r="24" spans="1:20" ht="15.75" hidden="1" customHeight="1" outlineLevel="1" thickBot="1">
      <c r="A24" s="47">
        <f t="shared" si="0"/>
        <v>12</v>
      </c>
      <c r="C24" s="388">
        <f>ROUND(MIN(MAX(ROUND(ROUND('Loonschijven_Tranches salariale'!$Q19*0.65,4)*Basisbedragen!$I$2,2),ROUND(Basisbedragen!$D$34*Basisbedragen!$I$2,2)),ROUND(ROUND(Basisbedragen!$D$27*0.65,4)*Basisbedragen!$I$2,2))/2,2)</f>
        <v>39.049999999999997</v>
      </c>
      <c r="D24" s="388">
        <f>ROUND(MIN(MAX(ROUND(ROUND('Loonschijven_Tranches salariale'!$Q19*0.6,4)*Basisbedragen!$I$2,2),ROUND(Basisbedragen!$D$34*Basisbedragen!$I$2,2)),ROUND(ROUND(Basisbedragen!$D$28*0.6,4)*Basisbedragen!$I$2,2))/2,2)</f>
        <v>39.049999999999997</v>
      </c>
      <c r="E24" s="388">
        <f>ROUND(A_N_B_vol_plein!E24/2,2)</f>
        <v>35.5</v>
      </c>
      <c r="F24" s="56">
        <f>ROUND(A_N_B_vol_plein!F24/2,2)</f>
        <v>0</v>
      </c>
      <c r="G24" s="388">
        <f>ROUND(A_N_B_vol_plein!G24/2,2)</f>
        <v>35.5</v>
      </c>
      <c r="H24" s="56">
        <f>ROUND(A_N_B_vol_plein!H24/2,2)</f>
        <v>0</v>
      </c>
      <c r="I24" s="388">
        <f>ROUND(MIN(MAX(ROUND(ROUND('Loonschijven_Tranches salariale'!$Q19*0.65,4)*Basisbedragen!$I$2,2),ROUND(Basisbedragen!$D$36*Basisbedragen!$I$2,2)),ROUND(ROUND(Basisbedragen!$D$27*0.65,4)*Basisbedragen!$I$2,2))/2,2)</f>
        <v>31.65</v>
      </c>
      <c r="J24" s="388">
        <f>ROUND(MIN(MAX(ROUND(ROUND('Loonschijven_Tranches salariale'!$Q19*0.6,4)*Basisbedragen!$I$2,2),ROUND(Basisbedragen!$D$36*Basisbedragen!$I$2,2)),ROUND(ROUND(Basisbedragen!$D$28*0.6,4)*Basisbedragen!$I$2,2))/2,2)</f>
        <v>31.65</v>
      </c>
      <c r="K24" s="388">
        <f>ROUND(A_N_B_vol_plein!K24/2,2)</f>
        <v>28.77</v>
      </c>
      <c r="L24" s="56">
        <f>ROUND(A_N_B_vol_plein!L24/2,2)</f>
        <v>0</v>
      </c>
      <c r="M24" s="388">
        <f>ROUND(A_N_B_vol_plein!M24/2,2)</f>
        <v>28.77</v>
      </c>
      <c r="N24" s="56">
        <f>ROUND(A_N_B_vol_plein!N24/2,2)</f>
        <v>0</v>
      </c>
      <c r="O24" s="388">
        <f>ROUND(MIN(MAX(ROUND(ROUND('Loonschijven_Tranches salariale'!$Q19*0.65,4)*Basisbedragen!$I$2,2),ROUND(Basisbedragen!$D$38*Basisbedragen!$I$2,2)),ROUND(ROUND(Basisbedragen!$D$27*0.65,4)*Basisbedragen!$I$2,2))/2,2)</f>
        <v>30.46</v>
      </c>
      <c r="P24" s="388">
        <f>ROUND(MIN(MAX(ROUND(ROUND('Loonschijven_Tranches salariale'!$Q19*0.6,4)*Basisbedragen!$I$2,2),ROUND(Basisbedragen!$D$39*Basisbedragen!$I$2,2)),ROUND(ROUND(Basisbedragen!$D$28*0.6,4)*Basisbedragen!$I$2,2))/2,2)</f>
        <v>28.12</v>
      </c>
      <c r="Q24" s="388">
        <f>ROUND(A_N_B_vol_plein!Q24/2,2)</f>
        <v>25.56</v>
      </c>
      <c r="R24" s="56">
        <f>ROUND(A_N_B_vol_plein!R24/2,2)</f>
        <v>0</v>
      </c>
      <c r="S24" s="388">
        <f>ROUND(A_N_B_vol_plein!S24/2,2)</f>
        <v>21.19</v>
      </c>
      <c r="T24" s="388">
        <f>ROUND(A_N_B_vol_plein!T24/2,2)</f>
        <v>14.93</v>
      </c>
    </row>
    <row r="25" spans="1:20" ht="15.75" hidden="1" customHeight="1" outlineLevel="1" thickBot="1">
      <c r="A25" s="47">
        <f t="shared" si="0"/>
        <v>13</v>
      </c>
      <c r="C25" s="388">
        <f>ROUND(MIN(MAX(ROUND(ROUND('Loonschijven_Tranches salariale'!$Q20*0.65,4)*Basisbedragen!$I$2,2),ROUND(Basisbedragen!$D$34*Basisbedragen!$I$2,2)),ROUND(ROUND(Basisbedragen!$D$27*0.65,4)*Basisbedragen!$I$2,2))/2,2)</f>
        <v>39.049999999999997</v>
      </c>
      <c r="D25" s="388">
        <f>ROUND(MIN(MAX(ROUND(ROUND('Loonschijven_Tranches salariale'!$Q20*0.6,4)*Basisbedragen!$I$2,2),ROUND(Basisbedragen!$D$34*Basisbedragen!$I$2,2)),ROUND(ROUND(Basisbedragen!$D$28*0.6,4)*Basisbedragen!$I$2,2))/2,2)</f>
        <v>39.049999999999997</v>
      </c>
      <c r="E25" s="388">
        <f>ROUND(A_N_B_vol_plein!E25/2,2)</f>
        <v>35.5</v>
      </c>
      <c r="F25" s="56">
        <f>ROUND(A_N_B_vol_plein!F25/2,2)</f>
        <v>0</v>
      </c>
      <c r="G25" s="388">
        <f>ROUND(A_N_B_vol_plein!G25/2,2)</f>
        <v>35.5</v>
      </c>
      <c r="H25" s="56">
        <f>ROUND(A_N_B_vol_plein!H25/2,2)</f>
        <v>0</v>
      </c>
      <c r="I25" s="388">
        <f>ROUND(MIN(MAX(ROUND(ROUND('Loonschijven_Tranches salariale'!$Q20*0.65,4)*Basisbedragen!$I$2,2),ROUND(Basisbedragen!$D$36*Basisbedragen!$I$2,2)),ROUND(ROUND(Basisbedragen!$D$27*0.65,4)*Basisbedragen!$I$2,2))/2,2)</f>
        <v>31.65</v>
      </c>
      <c r="J25" s="388">
        <f>ROUND(MIN(MAX(ROUND(ROUND('Loonschijven_Tranches salariale'!$Q20*0.6,4)*Basisbedragen!$I$2,2),ROUND(Basisbedragen!$D$36*Basisbedragen!$I$2,2)),ROUND(ROUND(Basisbedragen!$D$28*0.6,4)*Basisbedragen!$I$2,2))/2,2)</f>
        <v>31.65</v>
      </c>
      <c r="K25" s="388">
        <f>ROUND(A_N_B_vol_plein!K25/2,2)</f>
        <v>28.77</v>
      </c>
      <c r="L25" s="56">
        <f>ROUND(A_N_B_vol_plein!L25/2,2)</f>
        <v>0</v>
      </c>
      <c r="M25" s="388">
        <f>ROUND(A_N_B_vol_plein!M25/2,2)</f>
        <v>28.77</v>
      </c>
      <c r="N25" s="56">
        <f>ROUND(A_N_B_vol_plein!N25/2,2)</f>
        <v>0</v>
      </c>
      <c r="O25" s="388">
        <f>ROUND(MIN(MAX(ROUND(ROUND('Loonschijven_Tranches salariale'!$Q20*0.65,4)*Basisbedragen!$I$2,2),ROUND(Basisbedragen!$D$38*Basisbedragen!$I$2,2)),ROUND(ROUND(Basisbedragen!$D$27*0.65,4)*Basisbedragen!$I$2,2))/2,2)</f>
        <v>30.46</v>
      </c>
      <c r="P25" s="388">
        <f>ROUND(MIN(MAX(ROUND(ROUND('Loonschijven_Tranches salariale'!$Q20*0.6,4)*Basisbedragen!$I$2,2),ROUND(Basisbedragen!$D$39*Basisbedragen!$I$2,2)),ROUND(ROUND(Basisbedragen!$D$28*0.6,4)*Basisbedragen!$I$2,2))/2,2)</f>
        <v>28.12</v>
      </c>
      <c r="Q25" s="388">
        <f>ROUND(A_N_B_vol_plein!Q25/2,2)</f>
        <v>25.56</v>
      </c>
      <c r="R25" s="56">
        <f>ROUND(A_N_B_vol_plein!R25/2,2)</f>
        <v>0</v>
      </c>
      <c r="S25" s="388">
        <f>ROUND(A_N_B_vol_plein!S25/2,2)</f>
        <v>21.19</v>
      </c>
      <c r="T25" s="388">
        <f>ROUND(A_N_B_vol_plein!T25/2,2)</f>
        <v>14.93</v>
      </c>
    </row>
    <row r="26" spans="1:20" ht="15.75" hidden="1" customHeight="1" outlineLevel="1" thickBot="1">
      <c r="A26" s="47">
        <f t="shared" si="0"/>
        <v>14</v>
      </c>
      <c r="C26" s="388">
        <f>ROUND(MIN(MAX(ROUND(ROUND('Loonschijven_Tranches salariale'!$Q21*0.65,4)*Basisbedragen!$I$2,2),ROUND(Basisbedragen!$D$34*Basisbedragen!$I$2,2)),ROUND(ROUND(Basisbedragen!$D$27*0.65,4)*Basisbedragen!$I$2,2))/2,2)</f>
        <v>39.049999999999997</v>
      </c>
      <c r="D26" s="388">
        <f>ROUND(MIN(MAX(ROUND(ROUND('Loonschijven_Tranches salariale'!$Q21*0.6,4)*Basisbedragen!$I$2,2),ROUND(Basisbedragen!$D$34*Basisbedragen!$I$2,2)),ROUND(ROUND(Basisbedragen!$D$28*0.6,4)*Basisbedragen!$I$2,2))/2,2)</f>
        <v>39.049999999999997</v>
      </c>
      <c r="E26" s="388">
        <f>ROUND(A_N_B_vol_plein!E26/2,2)</f>
        <v>35.5</v>
      </c>
      <c r="F26" s="56">
        <f>ROUND(A_N_B_vol_plein!F26/2,2)</f>
        <v>0</v>
      </c>
      <c r="G26" s="388">
        <f>ROUND(A_N_B_vol_plein!G26/2,2)</f>
        <v>35.5</v>
      </c>
      <c r="H26" s="56">
        <f>ROUND(A_N_B_vol_plein!H26/2,2)</f>
        <v>0</v>
      </c>
      <c r="I26" s="388">
        <f>ROUND(MIN(MAX(ROUND(ROUND('Loonschijven_Tranches salariale'!$Q21*0.65,4)*Basisbedragen!$I$2,2),ROUND(Basisbedragen!$D$36*Basisbedragen!$I$2,2)),ROUND(ROUND(Basisbedragen!$D$27*0.65,4)*Basisbedragen!$I$2,2))/2,2)</f>
        <v>31.65</v>
      </c>
      <c r="J26" s="388">
        <f>ROUND(MIN(MAX(ROUND(ROUND('Loonschijven_Tranches salariale'!$Q21*0.6,4)*Basisbedragen!$I$2,2),ROUND(Basisbedragen!$D$36*Basisbedragen!$I$2,2)),ROUND(ROUND(Basisbedragen!$D$28*0.6,4)*Basisbedragen!$I$2,2))/2,2)</f>
        <v>31.65</v>
      </c>
      <c r="K26" s="388">
        <f>ROUND(A_N_B_vol_plein!K26/2,2)</f>
        <v>28.77</v>
      </c>
      <c r="L26" s="56">
        <f>ROUND(A_N_B_vol_plein!L26/2,2)</f>
        <v>0</v>
      </c>
      <c r="M26" s="388">
        <f>ROUND(A_N_B_vol_plein!M26/2,2)</f>
        <v>28.77</v>
      </c>
      <c r="N26" s="56">
        <f>ROUND(A_N_B_vol_plein!N26/2,2)</f>
        <v>0</v>
      </c>
      <c r="O26" s="388">
        <f>ROUND(MIN(MAX(ROUND(ROUND('Loonschijven_Tranches salariale'!$Q21*0.65,4)*Basisbedragen!$I$2,2),ROUND(Basisbedragen!$D$38*Basisbedragen!$I$2,2)),ROUND(ROUND(Basisbedragen!$D$27*0.65,4)*Basisbedragen!$I$2,2))/2,2)</f>
        <v>30.46</v>
      </c>
      <c r="P26" s="388">
        <f>ROUND(MIN(MAX(ROUND(ROUND('Loonschijven_Tranches salariale'!$Q21*0.6,4)*Basisbedragen!$I$2,2),ROUND(Basisbedragen!$D$39*Basisbedragen!$I$2,2)),ROUND(ROUND(Basisbedragen!$D$28*0.6,4)*Basisbedragen!$I$2,2))/2,2)</f>
        <v>28.12</v>
      </c>
      <c r="Q26" s="388">
        <f>ROUND(A_N_B_vol_plein!Q26/2,2)</f>
        <v>25.56</v>
      </c>
      <c r="R26" s="56">
        <f>ROUND(A_N_B_vol_plein!R26/2,2)</f>
        <v>0</v>
      </c>
      <c r="S26" s="388">
        <f>ROUND(A_N_B_vol_plein!S26/2,2)</f>
        <v>21.19</v>
      </c>
      <c r="T26" s="388">
        <f>ROUND(A_N_B_vol_plein!T26/2,2)</f>
        <v>14.93</v>
      </c>
    </row>
    <row r="27" spans="1:20" ht="15.75" hidden="1" customHeight="1" outlineLevel="1" thickBot="1">
      <c r="A27" s="47">
        <f t="shared" si="0"/>
        <v>15</v>
      </c>
      <c r="C27" s="388">
        <f>ROUND(MIN(MAX(ROUND(ROUND('Loonschijven_Tranches salariale'!$Q22*0.65,4)*Basisbedragen!$I$2,2),ROUND(Basisbedragen!$D$34*Basisbedragen!$I$2,2)),ROUND(ROUND(Basisbedragen!$D$27*0.65,4)*Basisbedragen!$I$2,2))/2,2)</f>
        <v>39.049999999999997</v>
      </c>
      <c r="D27" s="388">
        <f>ROUND(MIN(MAX(ROUND(ROUND('Loonschijven_Tranches salariale'!$Q22*0.6,4)*Basisbedragen!$I$2,2),ROUND(Basisbedragen!$D$34*Basisbedragen!$I$2,2)),ROUND(ROUND(Basisbedragen!$D$28*0.6,4)*Basisbedragen!$I$2,2))/2,2)</f>
        <v>39.049999999999997</v>
      </c>
      <c r="E27" s="409">
        <f>ROUND(A_N_B_vol_plein!E27/2,2)</f>
        <v>35.5</v>
      </c>
      <c r="F27" s="56">
        <f>ROUND(A_N_B_vol_plein!F27/2,2)</f>
        <v>0</v>
      </c>
      <c r="G27" s="409">
        <f>ROUND(A_N_B_vol_plein!G27/2,2)</f>
        <v>35.5</v>
      </c>
      <c r="H27" s="56">
        <f>ROUND(A_N_B_vol_plein!H27/2,2)</f>
        <v>0</v>
      </c>
      <c r="I27" s="388">
        <f>ROUND(MIN(MAX(ROUND(ROUND('Loonschijven_Tranches salariale'!$Q22*0.65,4)*Basisbedragen!$I$2,2),ROUND(Basisbedragen!$D$36*Basisbedragen!$I$2,2)),ROUND(ROUND(Basisbedragen!$D$27*0.65,4)*Basisbedragen!$I$2,2))/2,2)</f>
        <v>31.65</v>
      </c>
      <c r="J27" s="388">
        <f>ROUND(MIN(MAX(ROUND(ROUND('Loonschijven_Tranches salariale'!$Q22*0.6,4)*Basisbedragen!$I$2,2),ROUND(Basisbedragen!$D$36*Basisbedragen!$I$2,2)),ROUND(ROUND(Basisbedragen!$D$28*0.6,4)*Basisbedragen!$I$2,2))/2,2)</f>
        <v>31.65</v>
      </c>
      <c r="K27" s="409">
        <f>ROUND(A_N_B_vol_plein!K27/2,2)</f>
        <v>28.77</v>
      </c>
      <c r="L27" s="56">
        <f>ROUND(A_N_B_vol_plein!L27/2,2)</f>
        <v>0</v>
      </c>
      <c r="M27" s="409">
        <f>ROUND(A_N_B_vol_plein!M27/2,2)</f>
        <v>28.77</v>
      </c>
      <c r="N27" s="56">
        <f>ROUND(A_N_B_vol_plein!N27/2,2)</f>
        <v>0</v>
      </c>
      <c r="O27" s="388">
        <f>ROUND(MIN(MAX(ROUND(ROUND('Loonschijven_Tranches salariale'!$Q22*0.65,4)*Basisbedragen!$I$2,2),ROUND(Basisbedragen!$D$38*Basisbedragen!$I$2,2)),ROUND(ROUND(Basisbedragen!$D$27*0.65,4)*Basisbedragen!$I$2,2))/2,2)</f>
        <v>30.46</v>
      </c>
      <c r="P27" s="388">
        <f>ROUND(MIN(MAX(ROUND(ROUND('Loonschijven_Tranches salariale'!$Q22*0.6,4)*Basisbedragen!$I$2,2),ROUND(Basisbedragen!$D$39*Basisbedragen!$I$2,2)),ROUND(ROUND(Basisbedragen!$D$28*0.6,4)*Basisbedragen!$I$2,2))/2,2)</f>
        <v>28.12</v>
      </c>
      <c r="Q27" s="409">
        <f>ROUND(A_N_B_vol_plein!Q27/2,2)</f>
        <v>25.56</v>
      </c>
      <c r="R27" s="56">
        <f>ROUND(A_N_B_vol_plein!R27/2,2)</f>
        <v>0</v>
      </c>
      <c r="S27" s="409">
        <f>ROUND(A_N_B_vol_plein!S27/2,2)</f>
        <v>21.19</v>
      </c>
      <c r="T27" s="409">
        <f>ROUND(A_N_B_vol_plein!T27/2,2)</f>
        <v>14.93</v>
      </c>
    </row>
    <row r="28" spans="1:20" ht="15.75" hidden="1" customHeight="1" outlineLevel="1" thickBot="1">
      <c r="A28" s="47">
        <f t="shared" si="0"/>
        <v>16</v>
      </c>
      <c r="C28" s="388">
        <f>ROUND(MIN(MAX(ROUND(ROUND('Loonschijven_Tranches salariale'!$Q23*0.65,4)*Basisbedragen!$I$2,2),ROUND(Basisbedragen!$D$34*Basisbedragen!$I$2,2)),ROUND(ROUND(Basisbedragen!$D$27*0.65,4)*Basisbedragen!$I$2,2))/2,2)</f>
        <v>39.049999999999997</v>
      </c>
      <c r="D28" s="388">
        <f>ROUND(MIN(MAX(ROUND(ROUND('Loonschijven_Tranches salariale'!$Q23*0.6,4)*Basisbedragen!$I$2,2),ROUND(Basisbedragen!$D$34*Basisbedragen!$I$2,2)),ROUND(ROUND(Basisbedragen!$D$28*0.6,4)*Basisbedragen!$I$2,2))/2,2)</f>
        <v>39.049999999999997</v>
      </c>
      <c r="E28" s="388">
        <f>ROUND(A_N_B_vol_plein!E28/2,2)</f>
        <v>35.5</v>
      </c>
      <c r="F28" s="56">
        <f>ROUND(A_N_B_vol_plein!F28/2,2)</f>
        <v>0</v>
      </c>
      <c r="G28" s="388">
        <f>ROUND(A_N_B_vol_plein!G28/2,2)</f>
        <v>35.5</v>
      </c>
      <c r="H28" s="56">
        <f>ROUND(A_N_B_vol_plein!H28/2,2)</f>
        <v>0</v>
      </c>
      <c r="I28" s="388">
        <f>ROUND(MIN(MAX(ROUND(ROUND('Loonschijven_Tranches salariale'!$Q23*0.65,4)*Basisbedragen!$I$2,2),ROUND(Basisbedragen!$D$36*Basisbedragen!$I$2,2)),ROUND(ROUND(Basisbedragen!$D$27*0.65,4)*Basisbedragen!$I$2,2))/2,2)</f>
        <v>31.65</v>
      </c>
      <c r="J28" s="388">
        <f>ROUND(MIN(MAX(ROUND(ROUND('Loonschijven_Tranches salariale'!$Q23*0.6,4)*Basisbedragen!$I$2,2),ROUND(Basisbedragen!$D$36*Basisbedragen!$I$2,2)),ROUND(ROUND(Basisbedragen!$D$28*0.6,4)*Basisbedragen!$I$2,2))/2,2)</f>
        <v>31.65</v>
      </c>
      <c r="K28" s="388">
        <f>ROUND(A_N_B_vol_plein!K28/2,2)</f>
        <v>28.77</v>
      </c>
      <c r="L28" s="56">
        <f>ROUND(A_N_B_vol_plein!L28/2,2)</f>
        <v>0</v>
      </c>
      <c r="M28" s="388">
        <f>ROUND(A_N_B_vol_plein!M28/2,2)</f>
        <v>28.77</v>
      </c>
      <c r="N28" s="56">
        <f>ROUND(A_N_B_vol_plein!N28/2,2)</f>
        <v>0</v>
      </c>
      <c r="O28" s="388">
        <f>ROUND(MIN(MAX(ROUND(ROUND('Loonschijven_Tranches salariale'!$Q23*0.65,4)*Basisbedragen!$I$2,2),ROUND(Basisbedragen!$D$38*Basisbedragen!$I$2,2)),ROUND(ROUND(Basisbedragen!$D$27*0.65,4)*Basisbedragen!$I$2,2))/2,2)</f>
        <v>30.46</v>
      </c>
      <c r="P28" s="388">
        <f>ROUND(MIN(MAX(ROUND(ROUND('Loonschijven_Tranches salariale'!$Q23*0.6,4)*Basisbedragen!$I$2,2),ROUND(Basisbedragen!$D$39*Basisbedragen!$I$2,2)),ROUND(ROUND(Basisbedragen!$D$28*0.6,4)*Basisbedragen!$I$2,2))/2,2)</f>
        <v>28.12</v>
      </c>
      <c r="Q28" s="388">
        <f>ROUND(A_N_B_vol_plein!Q28/2,2)</f>
        <v>25.56</v>
      </c>
      <c r="R28" s="56">
        <f>ROUND(A_N_B_vol_plein!R28/2,2)</f>
        <v>0</v>
      </c>
      <c r="S28" s="388">
        <f>ROUND(A_N_B_vol_plein!S28/2,2)</f>
        <v>21.19</v>
      </c>
      <c r="T28" s="388">
        <f>ROUND(A_N_B_vol_plein!T28/2,2)</f>
        <v>14.93</v>
      </c>
    </row>
    <row r="29" spans="1:20" ht="15.75" hidden="1" customHeight="1" outlineLevel="1" thickBot="1">
      <c r="A29" s="47">
        <f t="shared" si="0"/>
        <v>17</v>
      </c>
      <c r="C29" s="388">
        <f>ROUND(MIN(MAX(ROUND(ROUND('Loonschijven_Tranches salariale'!$Q24*0.65,4)*Basisbedragen!$I$2,2),ROUND(Basisbedragen!$D$34*Basisbedragen!$I$2,2)),ROUND(ROUND(Basisbedragen!$D$27*0.65,4)*Basisbedragen!$I$2,2))/2,2)</f>
        <v>39.049999999999997</v>
      </c>
      <c r="D29" s="388">
        <f>ROUND(MIN(MAX(ROUND(ROUND('Loonschijven_Tranches salariale'!$Q24*0.6,4)*Basisbedragen!$I$2,2),ROUND(Basisbedragen!$D$34*Basisbedragen!$I$2,2)),ROUND(ROUND(Basisbedragen!$D$28*0.6,4)*Basisbedragen!$I$2,2))/2,2)</f>
        <v>39.049999999999997</v>
      </c>
      <c r="E29" s="388">
        <f>ROUND(A_N_B_vol_plein!E29/2,2)</f>
        <v>35.5</v>
      </c>
      <c r="F29" s="56">
        <f>ROUND(A_N_B_vol_plein!F29/2,2)</f>
        <v>0</v>
      </c>
      <c r="G29" s="388">
        <f>ROUND(A_N_B_vol_plein!G29/2,2)</f>
        <v>35.5</v>
      </c>
      <c r="H29" s="56">
        <f>ROUND(A_N_B_vol_plein!H29/2,2)</f>
        <v>0</v>
      </c>
      <c r="I29" s="388">
        <f>ROUND(MIN(MAX(ROUND(ROUND('Loonschijven_Tranches salariale'!$Q24*0.65,4)*Basisbedragen!$I$2,2),ROUND(Basisbedragen!$D$36*Basisbedragen!$I$2,2)),ROUND(ROUND(Basisbedragen!$D$27*0.65,4)*Basisbedragen!$I$2,2))/2,2)</f>
        <v>31.65</v>
      </c>
      <c r="J29" s="388">
        <f>ROUND(MIN(MAX(ROUND(ROUND('Loonschijven_Tranches salariale'!$Q24*0.6,4)*Basisbedragen!$I$2,2),ROUND(Basisbedragen!$D$36*Basisbedragen!$I$2,2)),ROUND(ROUND(Basisbedragen!$D$28*0.6,4)*Basisbedragen!$I$2,2))/2,2)</f>
        <v>31.65</v>
      </c>
      <c r="K29" s="388">
        <f>ROUND(A_N_B_vol_plein!K29/2,2)</f>
        <v>28.77</v>
      </c>
      <c r="L29" s="56">
        <f>ROUND(A_N_B_vol_plein!L29/2,2)</f>
        <v>0</v>
      </c>
      <c r="M29" s="388">
        <f>ROUND(A_N_B_vol_plein!M29/2,2)</f>
        <v>28.77</v>
      </c>
      <c r="N29" s="56">
        <f>ROUND(A_N_B_vol_plein!N29/2,2)</f>
        <v>0</v>
      </c>
      <c r="O29" s="388">
        <f>ROUND(MIN(MAX(ROUND(ROUND('Loonschijven_Tranches salariale'!$Q24*0.65,4)*Basisbedragen!$I$2,2),ROUND(Basisbedragen!$D$38*Basisbedragen!$I$2,2)),ROUND(ROUND(Basisbedragen!$D$27*0.65,4)*Basisbedragen!$I$2,2))/2,2)</f>
        <v>30.46</v>
      </c>
      <c r="P29" s="388">
        <f>ROUND(MIN(MAX(ROUND(ROUND('Loonschijven_Tranches salariale'!$Q24*0.6,4)*Basisbedragen!$I$2,2),ROUND(Basisbedragen!$D$39*Basisbedragen!$I$2,2)),ROUND(ROUND(Basisbedragen!$D$28*0.6,4)*Basisbedragen!$I$2,2))/2,2)</f>
        <v>28.12</v>
      </c>
      <c r="Q29" s="388">
        <f>ROUND(A_N_B_vol_plein!Q29/2,2)</f>
        <v>25.56</v>
      </c>
      <c r="R29" s="56">
        <f>ROUND(A_N_B_vol_plein!R29/2,2)</f>
        <v>0</v>
      </c>
      <c r="S29" s="388">
        <f>ROUND(A_N_B_vol_plein!S29/2,2)</f>
        <v>21.19</v>
      </c>
      <c r="T29" s="388">
        <f>ROUND(A_N_B_vol_plein!T29/2,2)</f>
        <v>14.93</v>
      </c>
    </row>
    <row r="30" spans="1:20" ht="15.75" hidden="1" customHeight="1" outlineLevel="1" thickBot="1">
      <c r="A30" s="47">
        <f t="shared" si="0"/>
        <v>18</v>
      </c>
      <c r="C30" s="388">
        <f>ROUND(MIN(MAX(ROUND(ROUND('Loonschijven_Tranches salariale'!$Q25*0.65,4)*Basisbedragen!$I$2,2),ROUND(Basisbedragen!$D$34*Basisbedragen!$I$2,2)),ROUND(ROUND(Basisbedragen!$D$27*0.65,4)*Basisbedragen!$I$2,2))/2,2)</f>
        <v>39.049999999999997</v>
      </c>
      <c r="D30" s="388">
        <f>ROUND(MIN(MAX(ROUND(ROUND('Loonschijven_Tranches salariale'!$Q25*0.6,4)*Basisbedragen!$I$2,2),ROUND(Basisbedragen!$D$34*Basisbedragen!$I$2,2)),ROUND(ROUND(Basisbedragen!$D$28*0.6,4)*Basisbedragen!$I$2,2))/2,2)</f>
        <v>39.049999999999997</v>
      </c>
      <c r="E30" s="388">
        <f>ROUND(A_N_B_vol_plein!E30/2,2)</f>
        <v>35.5</v>
      </c>
      <c r="F30" s="56">
        <f>ROUND(A_N_B_vol_plein!F30/2,2)</f>
        <v>0</v>
      </c>
      <c r="G30" s="388">
        <f>ROUND(A_N_B_vol_plein!G30/2,2)</f>
        <v>35.5</v>
      </c>
      <c r="H30" s="56">
        <f>ROUND(A_N_B_vol_plein!H30/2,2)</f>
        <v>0</v>
      </c>
      <c r="I30" s="388">
        <f>ROUND(MIN(MAX(ROUND(ROUND('Loonschijven_Tranches salariale'!$Q25*0.65,4)*Basisbedragen!$I$2,2),ROUND(Basisbedragen!$D$36*Basisbedragen!$I$2,2)),ROUND(ROUND(Basisbedragen!$D$27*0.65,4)*Basisbedragen!$I$2,2))/2,2)</f>
        <v>31.65</v>
      </c>
      <c r="J30" s="388">
        <f>ROUND(MIN(MAX(ROUND(ROUND('Loonschijven_Tranches salariale'!$Q25*0.6,4)*Basisbedragen!$I$2,2),ROUND(Basisbedragen!$D$36*Basisbedragen!$I$2,2)),ROUND(ROUND(Basisbedragen!$D$28*0.6,4)*Basisbedragen!$I$2,2))/2,2)</f>
        <v>31.65</v>
      </c>
      <c r="K30" s="388">
        <f>ROUND(A_N_B_vol_plein!K30/2,2)</f>
        <v>28.77</v>
      </c>
      <c r="L30" s="56">
        <f>ROUND(A_N_B_vol_plein!L30/2,2)</f>
        <v>0</v>
      </c>
      <c r="M30" s="388">
        <f>ROUND(A_N_B_vol_plein!M30/2,2)</f>
        <v>28.77</v>
      </c>
      <c r="N30" s="56">
        <f>ROUND(A_N_B_vol_plein!N30/2,2)</f>
        <v>0</v>
      </c>
      <c r="O30" s="388">
        <f>ROUND(MIN(MAX(ROUND(ROUND('Loonschijven_Tranches salariale'!$Q25*0.65,4)*Basisbedragen!$I$2,2),ROUND(Basisbedragen!$D$38*Basisbedragen!$I$2,2)),ROUND(ROUND(Basisbedragen!$D$27*0.65,4)*Basisbedragen!$I$2,2))/2,2)</f>
        <v>30.46</v>
      </c>
      <c r="P30" s="388">
        <f>ROUND(MIN(MAX(ROUND(ROUND('Loonschijven_Tranches salariale'!$Q25*0.6,4)*Basisbedragen!$I$2,2),ROUND(Basisbedragen!$D$39*Basisbedragen!$I$2,2)),ROUND(ROUND(Basisbedragen!$D$28*0.6,4)*Basisbedragen!$I$2,2))/2,2)</f>
        <v>28.12</v>
      </c>
      <c r="Q30" s="388">
        <f>ROUND(A_N_B_vol_plein!Q30/2,2)</f>
        <v>25.56</v>
      </c>
      <c r="R30" s="56">
        <f>ROUND(A_N_B_vol_plein!R30/2,2)</f>
        <v>0</v>
      </c>
      <c r="S30" s="388">
        <f>ROUND(A_N_B_vol_plein!S30/2,2)</f>
        <v>21.19</v>
      </c>
      <c r="T30" s="388">
        <f>ROUND(A_N_B_vol_plein!T30/2,2)</f>
        <v>14.93</v>
      </c>
    </row>
    <row r="31" spans="1:20" ht="15.75" hidden="1" customHeight="1" outlineLevel="1" thickBot="1">
      <c r="A31" s="47">
        <f t="shared" si="0"/>
        <v>19</v>
      </c>
      <c r="C31" s="388">
        <f>ROUND(MIN(MAX(ROUND(ROUND('Loonschijven_Tranches salariale'!$Q26*0.65,4)*Basisbedragen!$I$2,2),ROUND(Basisbedragen!$D$34*Basisbedragen!$I$2,2)),ROUND(ROUND(Basisbedragen!$D$27*0.65,4)*Basisbedragen!$I$2,2))/2,2)</f>
        <v>39.049999999999997</v>
      </c>
      <c r="D31" s="388">
        <f>ROUND(MIN(MAX(ROUND(ROUND('Loonschijven_Tranches salariale'!$Q26*0.6,4)*Basisbedragen!$I$2,2),ROUND(Basisbedragen!$D$34*Basisbedragen!$I$2,2)),ROUND(ROUND(Basisbedragen!$D$28*0.6,4)*Basisbedragen!$I$2,2))/2,2)</f>
        <v>39.049999999999997</v>
      </c>
      <c r="E31" s="388">
        <f>ROUND(A_N_B_vol_plein!E31/2,2)</f>
        <v>35.5</v>
      </c>
      <c r="F31" s="56">
        <f>ROUND(A_N_B_vol_plein!F31/2,2)</f>
        <v>0</v>
      </c>
      <c r="G31" s="388">
        <f>ROUND(A_N_B_vol_plein!G31/2,2)</f>
        <v>35.5</v>
      </c>
      <c r="H31" s="56">
        <f>ROUND(A_N_B_vol_plein!H31/2,2)</f>
        <v>0</v>
      </c>
      <c r="I31" s="388">
        <f>ROUND(MIN(MAX(ROUND(ROUND('Loonschijven_Tranches salariale'!$Q26*0.65,4)*Basisbedragen!$I$2,2),ROUND(Basisbedragen!$D$36*Basisbedragen!$I$2,2)),ROUND(ROUND(Basisbedragen!$D$27*0.65,4)*Basisbedragen!$I$2,2))/2,2)</f>
        <v>31.65</v>
      </c>
      <c r="J31" s="388">
        <f>ROUND(MIN(MAX(ROUND(ROUND('Loonschijven_Tranches salariale'!$Q26*0.6,4)*Basisbedragen!$I$2,2),ROUND(Basisbedragen!$D$36*Basisbedragen!$I$2,2)),ROUND(ROUND(Basisbedragen!$D$28*0.6,4)*Basisbedragen!$I$2,2))/2,2)</f>
        <v>31.65</v>
      </c>
      <c r="K31" s="388">
        <f>ROUND(A_N_B_vol_plein!K31/2,2)</f>
        <v>28.77</v>
      </c>
      <c r="L31" s="56">
        <f>ROUND(A_N_B_vol_plein!L31/2,2)</f>
        <v>0</v>
      </c>
      <c r="M31" s="388">
        <f>ROUND(A_N_B_vol_plein!M31/2,2)</f>
        <v>28.77</v>
      </c>
      <c r="N31" s="56">
        <f>ROUND(A_N_B_vol_plein!N31/2,2)</f>
        <v>0</v>
      </c>
      <c r="O31" s="388">
        <f>ROUND(MIN(MAX(ROUND(ROUND('Loonschijven_Tranches salariale'!$Q26*0.65,4)*Basisbedragen!$I$2,2),ROUND(Basisbedragen!$D$38*Basisbedragen!$I$2,2)),ROUND(ROUND(Basisbedragen!$D$27*0.65,4)*Basisbedragen!$I$2,2))/2,2)</f>
        <v>30.46</v>
      </c>
      <c r="P31" s="388">
        <f>ROUND(MIN(MAX(ROUND(ROUND('Loonschijven_Tranches salariale'!$Q26*0.6,4)*Basisbedragen!$I$2,2),ROUND(Basisbedragen!$D$39*Basisbedragen!$I$2,2)),ROUND(ROUND(Basisbedragen!$D$28*0.6,4)*Basisbedragen!$I$2,2))/2,2)</f>
        <v>28.12</v>
      </c>
      <c r="Q31" s="388">
        <f>ROUND(A_N_B_vol_plein!Q31/2,2)</f>
        <v>25.56</v>
      </c>
      <c r="R31" s="56">
        <f>ROUND(A_N_B_vol_plein!R31/2,2)</f>
        <v>0</v>
      </c>
      <c r="S31" s="388">
        <f>ROUND(A_N_B_vol_plein!S31/2,2)</f>
        <v>21.19</v>
      </c>
      <c r="T31" s="388">
        <f>ROUND(A_N_B_vol_plein!T31/2,2)</f>
        <v>14.93</v>
      </c>
    </row>
    <row r="32" spans="1:20" ht="15.75" hidden="1" customHeight="1" outlineLevel="1" thickBot="1">
      <c r="A32" s="47">
        <f t="shared" si="0"/>
        <v>20</v>
      </c>
      <c r="C32" s="388">
        <f>ROUND(MIN(MAX(ROUND(ROUND('Loonschijven_Tranches salariale'!$Q27*0.65,4)*Basisbedragen!$I$2,2),ROUND(Basisbedragen!$D$34*Basisbedragen!$I$2,2)),ROUND(ROUND(Basisbedragen!$D$27*0.65,4)*Basisbedragen!$I$2,2))/2,2)</f>
        <v>39.049999999999997</v>
      </c>
      <c r="D32" s="388">
        <f>ROUND(MIN(MAX(ROUND(ROUND('Loonschijven_Tranches salariale'!$Q27*0.6,4)*Basisbedragen!$I$2,2),ROUND(Basisbedragen!$D$34*Basisbedragen!$I$2,2)),ROUND(ROUND(Basisbedragen!$D$28*0.6,4)*Basisbedragen!$I$2,2))/2,2)</f>
        <v>39.049999999999997</v>
      </c>
      <c r="E32" s="409">
        <f>ROUND(A_N_B_vol_plein!E32/2,2)</f>
        <v>35.5</v>
      </c>
      <c r="F32" s="56">
        <f>ROUND(A_N_B_vol_plein!F32/2,2)</f>
        <v>0</v>
      </c>
      <c r="G32" s="409">
        <f>ROUND(A_N_B_vol_plein!G32/2,2)</f>
        <v>35.5</v>
      </c>
      <c r="H32" s="56">
        <f>ROUND(A_N_B_vol_plein!H32/2,2)</f>
        <v>0</v>
      </c>
      <c r="I32" s="388">
        <f>ROUND(MIN(MAX(ROUND(ROUND('Loonschijven_Tranches salariale'!$Q27*0.65,4)*Basisbedragen!$I$2,2),ROUND(Basisbedragen!$D$36*Basisbedragen!$I$2,2)),ROUND(ROUND(Basisbedragen!$D$27*0.65,4)*Basisbedragen!$I$2,2))/2,2)</f>
        <v>31.65</v>
      </c>
      <c r="J32" s="388">
        <f>ROUND(MIN(MAX(ROUND(ROUND('Loonschijven_Tranches salariale'!$Q27*0.6,4)*Basisbedragen!$I$2,2),ROUND(Basisbedragen!$D$36*Basisbedragen!$I$2,2)),ROUND(ROUND(Basisbedragen!$D$28*0.6,4)*Basisbedragen!$I$2,2))/2,2)</f>
        <v>31.65</v>
      </c>
      <c r="K32" s="409">
        <f>ROUND(A_N_B_vol_plein!K32/2,2)</f>
        <v>28.77</v>
      </c>
      <c r="L32" s="56">
        <f>ROUND(A_N_B_vol_plein!L32/2,2)</f>
        <v>0</v>
      </c>
      <c r="M32" s="409">
        <f>ROUND(A_N_B_vol_plein!M32/2,2)</f>
        <v>28.77</v>
      </c>
      <c r="N32" s="56">
        <f>ROUND(A_N_B_vol_plein!N32/2,2)</f>
        <v>0</v>
      </c>
      <c r="O32" s="388">
        <f>ROUND(MIN(MAX(ROUND(ROUND('Loonschijven_Tranches salariale'!$Q27*0.65,4)*Basisbedragen!$I$2,2),ROUND(Basisbedragen!$D$38*Basisbedragen!$I$2,2)),ROUND(ROUND(Basisbedragen!$D$27*0.65,4)*Basisbedragen!$I$2,2))/2,2)</f>
        <v>30.46</v>
      </c>
      <c r="P32" s="388">
        <f>ROUND(MIN(MAX(ROUND(ROUND('Loonschijven_Tranches salariale'!$Q27*0.6,4)*Basisbedragen!$I$2,2),ROUND(Basisbedragen!$D$39*Basisbedragen!$I$2,2)),ROUND(ROUND(Basisbedragen!$D$28*0.6,4)*Basisbedragen!$I$2,2))/2,2)</f>
        <v>28.12</v>
      </c>
      <c r="Q32" s="409">
        <f>ROUND(A_N_B_vol_plein!Q32/2,2)</f>
        <v>25.56</v>
      </c>
      <c r="R32" s="56">
        <f>ROUND(A_N_B_vol_plein!R32/2,2)</f>
        <v>0</v>
      </c>
      <c r="S32" s="409">
        <f>ROUND(A_N_B_vol_plein!S32/2,2)</f>
        <v>21.19</v>
      </c>
      <c r="T32" s="409">
        <f>ROUND(A_N_B_vol_plein!T32/2,2)</f>
        <v>14.93</v>
      </c>
    </row>
    <row r="33" spans="1:20" ht="15.75" hidden="1" customHeight="1" outlineLevel="1" thickBot="1">
      <c r="A33" s="47">
        <f t="shared" si="0"/>
        <v>21</v>
      </c>
      <c r="C33" s="388">
        <f>ROUND(MIN(MAX(ROUND(ROUND('Loonschijven_Tranches salariale'!$Q28*0.65,4)*Basisbedragen!$I$2,2),ROUND(Basisbedragen!$D$34*Basisbedragen!$I$2,2)),ROUND(ROUND(Basisbedragen!$D$27*0.65,4)*Basisbedragen!$I$2,2))/2,2)</f>
        <v>39.049999999999997</v>
      </c>
      <c r="D33" s="388">
        <f>ROUND(MIN(MAX(ROUND(ROUND('Loonschijven_Tranches salariale'!$Q28*0.6,4)*Basisbedragen!$I$2,2),ROUND(Basisbedragen!$D$34*Basisbedragen!$I$2,2)),ROUND(ROUND(Basisbedragen!$D$28*0.6,4)*Basisbedragen!$I$2,2))/2,2)</f>
        <v>39.049999999999997</v>
      </c>
      <c r="E33" s="388">
        <f>ROUND(A_N_B_vol_plein!E33/2,2)</f>
        <v>35.5</v>
      </c>
      <c r="F33" s="56">
        <f>ROUND(A_N_B_vol_plein!F33/2,2)</f>
        <v>0</v>
      </c>
      <c r="G33" s="388">
        <f>ROUND(A_N_B_vol_plein!G33/2,2)</f>
        <v>35.5</v>
      </c>
      <c r="H33" s="56">
        <f>ROUND(A_N_B_vol_plein!H33/2,2)</f>
        <v>0</v>
      </c>
      <c r="I33" s="388">
        <f>ROUND(MIN(MAX(ROUND(ROUND('Loonschijven_Tranches salariale'!$Q28*0.65,4)*Basisbedragen!$I$2,2),ROUND(Basisbedragen!$D$36*Basisbedragen!$I$2,2)),ROUND(ROUND(Basisbedragen!$D$27*0.65,4)*Basisbedragen!$I$2,2))/2,2)</f>
        <v>31.65</v>
      </c>
      <c r="J33" s="388">
        <f>ROUND(MIN(MAX(ROUND(ROUND('Loonschijven_Tranches salariale'!$Q28*0.6,4)*Basisbedragen!$I$2,2),ROUND(Basisbedragen!$D$36*Basisbedragen!$I$2,2)),ROUND(ROUND(Basisbedragen!$D$28*0.6,4)*Basisbedragen!$I$2,2))/2,2)</f>
        <v>31.65</v>
      </c>
      <c r="K33" s="388">
        <f>ROUND(A_N_B_vol_plein!K33/2,2)</f>
        <v>28.77</v>
      </c>
      <c r="L33" s="56">
        <f>ROUND(A_N_B_vol_plein!L33/2,2)</f>
        <v>0</v>
      </c>
      <c r="M33" s="388">
        <f>ROUND(A_N_B_vol_plein!M33/2,2)</f>
        <v>28.77</v>
      </c>
      <c r="N33" s="56">
        <f>ROUND(A_N_B_vol_plein!N33/2,2)</f>
        <v>0</v>
      </c>
      <c r="O33" s="388">
        <f>ROUND(MIN(MAX(ROUND(ROUND('Loonschijven_Tranches salariale'!$Q28*0.65,4)*Basisbedragen!$I$2,2),ROUND(Basisbedragen!$D$38*Basisbedragen!$I$2,2)),ROUND(ROUND(Basisbedragen!$D$27*0.65,4)*Basisbedragen!$I$2,2))/2,2)</f>
        <v>30.46</v>
      </c>
      <c r="P33" s="388">
        <f>ROUND(MIN(MAX(ROUND(ROUND('Loonschijven_Tranches salariale'!$Q28*0.6,4)*Basisbedragen!$I$2,2),ROUND(Basisbedragen!$D$39*Basisbedragen!$I$2,2)),ROUND(ROUND(Basisbedragen!$D$28*0.6,4)*Basisbedragen!$I$2,2))/2,2)</f>
        <v>28.12</v>
      </c>
      <c r="Q33" s="388">
        <f>ROUND(A_N_B_vol_plein!Q33/2,2)</f>
        <v>25.56</v>
      </c>
      <c r="R33" s="56">
        <f>ROUND(A_N_B_vol_plein!R33/2,2)</f>
        <v>0</v>
      </c>
      <c r="S33" s="388">
        <f>ROUND(A_N_B_vol_plein!S33/2,2)</f>
        <v>21.19</v>
      </c>
      <c r="T33" s="388">
        <f>ROUND(A_N_B_vol_plein!T33/2,2)</f>
        <v>14.93</v>
      </c>
    </row>
    <row r="34" spans="1:20" ht="15.75" hidden="1" customHeight="1" outlineLevel="1" thickBot="1">
      <c r="A34" s="47">
        <f t="shared" si="0"/>
        <v>22</v>
      </c>
      <c r="C34" s="388">
        <f>ROUND(MIN(MAX(ROUND(ROUND('Loonschijven_Tranches salariale'!$Q29*0.65,4)*Basisbedragen!$I$2,2),ROUND(Basisbedragen!$D$34*Basisbedragen!$I$2,2)),ROUND(ROUND(Basisbedragen!$D$27*0.65,4)*Basisbedragen!$I$2,2))/2,2)</f>
        <v>39.049999999999997</v>
      </c>
      <c r="D34" s="388">
        <f>ROUND(MIN(MAX(ROUND(ROUND('Loonschijven_Tranches salariale'!$Q29*0.6,4)*Basisbedragen!$I$2,2),ROUND(Basisbedragen!$D$34*Basisbedragen!$I$2,2)),ROUND(ROUND(Basisbedragen!$D$28*0.6,4)*Basisbedragen!$I$2,2))/2,2)</f>
        <v>39.049999999999997</v>
      </c>
      <c r="E34" s="388">
        <f>ROUND(A_N_B_vol_plein!E34/2,2)</f>
        <v>35.5</v>
      </c>
      <c r="F34" s="56">
        <f>ROUND(A_N_B_vol_plein!F34/2,2)</f>
        <v>0</v>
      </c>
      <c r="G34" s="388">
        <f>ROUND(A_N_B_vol_plein!G34/2,2)</f>
        <v>35.5</v>
      </c>
      <c r="H34" s="56">
        <f>ROUND(A_N_B_vol_plein!H34/2,2)</f>
        <v>0</v>
      </c>
      <c r="I34" s="388">
        <f>ROUND(MIN(MAX(ROUND(ROUND('Loonschijven_Tranches salariale'!$Q29*0.65,4)*Basisbedragen!$I$2,2),ROUND(Basisbedragen!$D$36*Basisbedragen!$I$2,2)),ROUND(ROUND(Basisbedragen!$D$27*0.65,4)*Basisbedragen!$I$2,2))/2,2)</f>
        <v>31.65</v>
      </c>
      <c r="J34" s="388">
        <f>ROUND(MIN(MAX(ROUND(ROUND('Loonschijven_Tranches salariale'!$Q29*0.6,4)*Basisbedragen!$I$2,2),ROUND(Basisbedragen!$D$36*Basisbedragen!$I$2,2)),ROUND(ROUND(Basisbedragen!$D$28*0.6,4)*Basisbedragen!$I$2,2))/2,2)</f>
        <v>31.65</v>
      </c>
      <c r="K34" s="388">
        <f>ROUND(A_N_B_vol_plein!K34/2,2)</f>
        <v>28.77</v>
      </c>
      <c r="L34" s="56">
        <f>ROUND(A_N_B_vol_plein!L34/2,2)</f>
        <v>0</v>
      </c>
      <c r="M34" s="388">
        <f>ROUND(A_N_B_vol_plein!M34/2,2)</f>
        <v>28.77</v>
      </c>
      <c r="N34" s="56">
        <f>ROUND(A_N_B_vol_plein!N34/2,2)</f>
        <v>0</v>
      </c>
      <c r="O34" s="388">
        <f>ROUND(MIN(MAX(ROUND(ROUND('Loonschijven_Tranches salariale'!$Q29*0.65,4)*Basisbedragen!$I$2,2),ROUND(Basisbedragen!$D$38*Basisbedragen!$I$2,2)),ROUND(ROUND(Basisbedragen!$D$27*0.65,4)*Basisbedragen!$I$2,2))/2,2)</f>
        <v>30.46</v>
      </c>
      <c r="P34" s="388">
        <f>ROUND(MIN(MAX(ROUND(ROUND('Loonschijven_Tranches salariale'!$Q29*0.6,4)*Basisbedragen!$I$2,2),ROUND(Basisbedragen!$D$39*Basisbedragen!$I$2,2)),ROUND(ROUND(Basisbedragen!$D$28*0.6,4)*Basisbedragen!$I$2,2))/2,2)</f>
        <v>28.12</v>
      </c>
      <c r="Q34" s="388">
        <f>ROUND(A_N_B_vol_plein!Q34/2,2)</f>
        <v>25.56</v>
      </c>
      <c r="R34" s="56">
        <f>ROUND(A_N_B_vol_plein!R34/2,2)</f>
        <v>0</v>
      </c>
      <c r="S34" s="388">
        <f>ROUND(A_N_B_vol_plein!S34/2,2)</f>
        <v>21.19</v>
      </c>
      <c r="T34" s="388">
        <f>ROUND(A_N_B_vol_plein!T34/2,2)</f>
        <v>14.93</v>
      </c>
    </row>
    <row r="35" spans="1:20" ht="15.75" hidden="1" customHeight="1" outlineLevel="1" thickBot="1">
      <c r="A35" s="47">
        <f t="shared" si="0"/>
        <v>23</v>
      </c>
      <c r="C35" s="388">
        <f>ROUND(MIN(MAX(ROUND(ROUND('Loonschijven_Tranches salariale'!$Q30*0.65,4)*Basisbedragen!$I$2,2),ROUND(Basisbedragen!$D$34*Basisbedragen!$I$2,2)),ROUND(ROUND(Basisbedragen!$D$27*0.65,4)*Basisbedragen!$I$2,2))/2,2)</f>
        <v>39.049999999999997</v>
      </c>
      <c r="D35" s="388">
        <f>ROUND(MIN(MAX(ROUND(ROUND('Loonschijven_Tranches salariale'!$Q30*0.6,4)*Basisbedragen!$I$2,2),ROUND(Basisbedragen!$D$34*Basisbedragen!$I$2,2)),ROUND(ROUND(Basisbedragen!$D$28*0.6,4)*Basisbedragen!$I$2,2))/2,2)</f>
        <v>39.049999999999997</v>
      </c>
      <c r="E35" s="388">
        <f>ROUND(A_N_B_vol_plein!E35/2,2)</f>
        <v>35.5</v>
      </c>
      <c r="F35" s="56">
        <f>ROUND(A_N_B_vol_plein!F35/2,2)</f>
        <v>0</v>
      </c>
      <c r="G35" s="388">
        <f>ROUND(A_N_B_vol_plein!G35/2,2)</f>
        <v>35.5</v>
      </c>
      <c r="H35" s="56">
        <f>ROUND(A_N_B_vol_plein!H35/2,2)</f>
        <v>0</v>
      </c>
      <c r="I35" s="388">
        <f>ROUND(MIN(MAX(ROUND(ROUND('Loonschijven_Tranches salariale'!$Q30*0.65,4)*Basisbedragen!$I$2,2),ROUND(Basisbedragen!$D$36*Basisbedragen!$I$2,2)),ROUND(ROUND(Basisbedragen!$D$27*0.65,4)*Basisbedragen!$I$2,2))/2,2)</f>
        <v>31.65</v>
      </c>
      <c r="J35" s="388">
        <f>ROUND(MIN(MAX(ROUND(ROUND('Loonschijven_Tranches salariale'!$Q30*0.6,4)*Basisbedragen!$I$2,2),ROUND(Basisbedragen!$D$36*Basisbedragen!$I$2,2)),ROUND(ROUND(Basisbedragen!$D$28*0.6,4)*Basisbedragen!$I$2,2))/2,2)</f>
        <v>31.65</v>
      </c>
      <c r="K35" s="388">
        <f>ROUND(A_N_B_vol_plein!K35/2,2)</f>
        <v>28.77</v>
      </c>
      <c r="L35" s="56">
        <f>ROUND(A_N_B_vol_plein!L35/2,2)</f>
        <v>0</v>
      </c>
      <c r="M35" s="388">
        <f>ROUND(A_N_B_vol_plein!M35/2,2)</f>
        <v>28.77</v>
      </c>
      <c r="N35" s="56">
        <f>ROUND(A_N_B_vol_plein!N35/2,2)</f>
        <v>0</v>
      </c>
      <c r="O35" s="388">
        <f>ROUND(MIN(MAX(ROUND(ROUND('Loonschijven_Tranches salariale'!$Q30*0.65,4)*Basisbedragen!$I$2,2),ROUND(Basisbedragen!$D$38*Basisbedragen!$I$2,2)),ROUND(ROUND(Basisbedragen!$D$27*0.65,4)*Basisbedragen!$I$2,2))/2,2)</f>
        <v>30.46</v>
      </c>
      <c r="P35" s="388">
        <f>ROUND(MIN(MAX(ROUND(ROUND('Loonschijven_Tranches salariale'!$Q30*0.6,4)*Basisbedragen!$I$2,2),ROUND(Basisbedragen!$D$39*Basisbedragen!$I$2,2)),ROUND(ROUND(Basisbedragen!$D$28*0.6,4)*Basisbedragen!$I$2,2))/2,2)</f>
        <v>28.12</v>
      </c>
      <c r="Q35" s="388">
        <f>ROUND(A_N_B_vol_plein!Q35/2,2)</f>
        <v>25.56</v>
      </c>
      <c r="R35" s="56">
        <f>ROUND(A_N_B_vol_plein!R35/2,2)</f>
        <v>0</v>
      </c>
      <c r="S35" s="388">
        <f>ROUND(A_N_B_vol_plein!S35/2,2)</f>
        <v>21.19</v>
      </c>
      <c r="T35" s="388">
        <f>ROUND(A_N_B_vol_plein!T35/2,2)</f>
        <v>14.93</v>
      </c>
    </row>
    <row r="36" spans="1:20" ht="15.75" hidden="1" customHeight="1" outlineLevel="1" thickBot="1">
      <c r="A36" s="47">
        <f t="shared" si="0"/>
        <v>24</v>
      </c>
      <c r="C36" s="388">
        <f>ROUND(MIN(MAX(ROUND(ROUND('Loonschijven_Tranches salariale'!$Q31*0.65,4)*Basisbedragen!$I$2,2),ROUND(Basisbedragen!$D$34*Basisbedragen!$I$2,2)),ROUND(ROUND(Basisbedragen!$D$27*0.65,4)*Basisbedragen!$I$2,2))/2,2)</f>
        <v>39.049999999999997</v>
      </c>
      <c r="D36" s="388">
        <f>ROUND(MIN(MAX(ROUND(ROUND('Loonschijven_Tranches salariale'!$Q31*0.6,4)*Basisbedragen!$I$2,2),ROUND(Basisbedragen!$D$34*Basisbedragen!$I$2,2)),ROUND(ROUND(Basisbedragen!$D$28*0.6,4)*Basisbedragen!$I$2,2))/2,2)</f>
        <v>39.049999999999997</v>
      </c>
      <c r="E36" s="388">
        <f>ROUND(A_N_B_vol_plein!E36/2,2)</f>
        <v>35.5</v>
      </c>
      <c r="F36" s="56">
        <f>ROUND(A_N_B_vol_plein!F36/2,2)</f>
        <v>0</v>
      </c>
      <c r="G36" s="388">
        <f>ROUND(A_N_B_vol_plein!G36/2,2)</f>
        <v>35.5</v>
      </c>
      <c r="H36" s="56">
        <f>ROUND(A_N_B_vol_plein!H36/2,2)</f>
        <v>0</v>
      </c>
      <c r="I36" s="388">
        <f>ROUND(MIN(MAX(ROUND(ROUND('Loonschijven_Tranches salariale'!$Q31*0.65,4)*Basisbedragen!$I$2,2),ROUND(Basisbedragen!$D$36*Basisbedragen!$I$2,2)),ROUND(ROUND(Basisbedragen!$D$27*0.65,4)*Basisbedragen!$I$2,2))/2,2)</f>
        <v>31.65</v>
      </c>
      <c r="J36" s="388">
        <f>ROUND(MIN(MAX(ROUND(ROUND('Loonschijven_Tranches salariale'!$Q31*0.6,4)*Basisbedragen!$I$2,2),ROUND(Basisbedragen!$D$36*Basisbedragen!$I$2,2)),ROUND(ROUND(Basisbedragen!$D$28*0.6,4)*Basisbedragen!$I$2,2))/2,2)</f>
        <v>31.65</v>
      </c>
      <c r="K36" s="388">
        <f>ROUND(A_N_B_vol_plein!K36/2,2)</f>
        <v>28.77</v>
      </c>
      <c r="L36" s="56">
        <f>ROUND(A_N_B_vol_plein!L36/2,2)</f>
        <v>0</v>
      </c>
      <c r="M36" s="388">
        <f>ROUND(A_N_B_vol_plein!M36/2,2)</f>
        <v>28.77</v>
      </c>
      <c r="N36" s="56">
        <f>ROUND(A_N_B_vol_plein!N36/2,2)</f>
        <v>0</v>
      </c>
      <c r="O36" s="388">
        <f>ROUND(MIN(MAX(ROUND(ROUND('Loonschijven_Tranches salariale'!$Q31*0.65,4)*Basisbedragen!$I$2,2),ROUND(Basisbedragen!$D$38*Basisbedragen!$I$2,2)),ROUND(ROUND(Basisbedragen!$D$27*0.65,4)*Basisbedragen!$I$2,2))/2,2)</f>
        <v>30.46</v>
      </c>
      <c r="P36" s="388">
        <f>ROUND(MIN(MAX(ROUND(ROUND('Loonschijven_Tranches salariale'!$Q31*0.6,4)*Basisbedragen!$I$2,2),ROUND(Basisbedragen!$D$39*Basisbedragen!$I$2,2)),ROUND(ROUND(Basisbedragen!$D$28*0.6,4)*Basisbedragen!$I$2,2))/2,2)</f>
        <v>28.12</v>
      </c>
      <c r="Q36" s="388">
        <f>ROUND(A_N_B_vol_plein!Q36/2,2)</f>
        <v>25.56</v>
      </c>
      <c r="R36" s="56">
        <f>ROUND(A_N_B_vol_plein!R36/2,2)</f>
        <v>0</v>
      </c>
      <c r="S36" s="388">
        <f>ROUND(A_N_B_vol_plein!S36/2,2)</f>
        <v>21.19</v>
      </c>
      <c r="T36" s="388">
        <f>ROUND(A_N_B_vol_plein!T36/2,2)</f>
        <v>14.93</v>
      </c>
    </row>
    <row r="37" spans="1:20" ht="15.75" hidden="1" customHeight="1" outlineLevel="1" thickBot="1">
      <c r="A37" s="47">
        <f t="shared" si="0"/>
        <v>25</v>
      </c>
      <c r="C37" s="388">
        <f>ROUND(MIN(MAX(ROUND(ROUND('Loonschijven_Tranches salariale'!$Q32*0.65,4)*Basisbedragen!$I$2,2),ROUND(Basisbedragen!$D$34*Basisbedragen!$I$2,2)),ROUND(ROUND(Basisbedragen!$D$27*0.65,4)*Basisbedragen!$I$2,2))/2,2)</f>
        <v>39.049999999999997</v>
      </c>
      <c r="D37" s="388">
        <f>ROUND(MIN(MAX(ROUND(ROUND('Loonschijven_Tranches salariale'!$Q32*0.6,4)*Basisbedragen!$I$2,2),ROUND(Basisbedragen!$D$34*Basisbedragen!$I$2,2)),ROUND(ROUND(Basisbedragen!$D$28*0.6,4)*Basisbedragen!$I$2,2))/2,2)</f>
        <v>39.049999999999997</v>
      </c>
      <c r="E37" s="409">
        <f>ROUND(A_N_B_vol_plein!E37/2,2)</f>
        <v>35.5</v>
      </c>
      <c r="F37" s="56">
        <f>ROUND(A_N_B_vol_plein!F37/2,2)</f>
        <v>0</v>
      </c>
      <c r="G37" s="409">
        <f>ROUND(A_N_B_vol_plein!G37/2,2)</f>
        <v>35.5</v>
      </c>
      <c r="H37" s="56">
        <f>ROUND(A_N_B_vol_plein!H37/2,2)</f>
        <v>0</v>
      </c>
      <c r="I37" s="388">
        <f>ROUND(MIN(MAX(ROUND(ROUND('Loonschijven_Tranches salariale'!$Q32*0.65,4)*Basisbedragen!$I$2,2),ROUND(Basisbedragen!$D$36*Basisbedragen!$I$2,2)),ROUND(ROUND(Basisbedragen!$D$27*0.65,4)*Basisbedragen!$I$2,2))/2,2)</f>
        <v>31.65</v>
      </c>
      <c r="J37" s="388">
        <f>ROUND(MIN(MAX(ROUND(ROUND('Loonschijven_Tranches salariale'!$Q32*0.6,4)*Basisbedragen!$I$2,2),ROUND(Basisbedragen!$D$36*Basisbedragen!$I$2,2)),ROUND(ROUND(Basisbedragen!$D$28*0.6,4)*Basisbedragen!$I$2,2))/2,2)</f>
        <v>31.65</v>
      </c>
      <c r="K37" s="409">
        <f>ROUND(A_N_B_vol_plein!K37/2,2)</f>
        <v>28.77</v>
      </c>
      <c r="L37" s="56">
        <f>ROUND(A_N_B_vol_plein!L37/2,2)</f>
        <v>0</v>
      </c>
      <c r="M37" s="409">
        <f>ROUND(A_N_B_vol_plein!M37/2,2)</f>
        <v>28.77</v>
      </c>
      <c r="N37" s="56">
        <f>ROUND(A_N_B_vol_plein!N37/2,2)</f>
        <v>0</v>
      </c>
      <c r="O37" s="388">
        <f>ROUND(MIN(MAX(ROUND(ROUND('Loonschijven_Tranches salariale'!$Q32*0.65,4)*Basisbedragen!$I$2,2),ROUND(Basisbedragen!$D$38*Basisbedragen!$I$2,2)),ROUND(ROUND(Basisbedragen!$D$27*0.65,4)*Basisbedragen!$I$2,2))/2,2)</f>
        <v>30.46</v>
      </c>
      <c r="P37" s="388">
        <f>ROUND(MIN(MAX(ROUND(ROUND('Loonschijven_Tranches salariale'!$Q32*0.6,4)*Basisbedragen!$I$2,2),ROUND(Basisbedragen!$D$39*Basisbedragen!$I$2,2)),ROUND(ROUND(Basisbedragen!$D$28*0.6,4)*Basisbedragen!$I$2,2))/2,2)</f>
        <v>28.12</v>
      </c>
      <c r="Q37" s="409">
        <f>ROUND(A_N_B_vol_plein!Q37/2,2)</f>
        <v>25.56</v>
      </c>
      <c r="R37" s="56">
        <f>ROUND(A_N_B_vol_plein!R37/2,2)</f>
        <v>0</v>
      </c>
      <c r="S37" s="409">
        <f>ROUND(A_N_B_vol_plein!S37/2,2)</f>
        <v>21.19</v>
      </c>
      <c r="T37" s="409">
        <f>ROUND(A_N_B_vol_plein!T37/2,2)</f>
        <v>14.93</v>
      </c>
    </row>
    <row r="38" spans="1:20" ht="15.75" hidden="1" customHeight="1" outlineLevel="1" thickBot="1">
      <c r="A38" s="47">
        <f t="shared" si="0"/>
        <v>26</v>
      </c>
      <c r="C38" s="388">
        <f>ROUND(MIN(MAX(ROUND(ROUND('Loonschijven_Tranches salariale'!$Q33*0.65,4)*Basisbedragen!$I$2,2),ROUND(Basisbedragen!$D$34*Basisbedragen!$I$2,2)),ROUND(ROUND(Basisbedragen!$D$27*0.65,4)*Basisbedragen!$I$2,2))/2,2)</f>
        <v>39.049999999999997</v>
      </c>
      <c r="D38" s="388">
        <f>ROUND(MIN(MAX(ROUND(ROUND('Loonschijven_Tranches salariale'!$Q33*0.6,4)*Basisbedragen!$I$2,2),ROUND(Basisbedragen!$D$34*Basisbedragen!$I$2,2)),ROUND(ROUND(Basisbedragen!$D$28*0.6,4)*Basisbedragen!$I$2,2))/2,2)</f>
        <v>39.049999999999997</v>
      </c>
      <c r="E38" s="388">
        <f>ROUND(A_N_B_vol_plein!E38/2,2)</f>
        <v>35.5</v>
      </c>
      <c r="F38" s="56">
        <f>ROUND(A_N_B_vol_plein!F38/2,2)</f>
        <v>0</v>
      </c>
      <c r="G38" s="388">
        <f>ROUND(A_N_B_vol_plein!G38/2,2)</f>
        <v>35.5</v>
      </c>
      <c r="H38" s="56">
        <f>ROUND(A_N_B_vol_plein!H38/2,2)</f>
        <v>0</v>
      </c>
      <c r="I38" s="388">
        <f>ROUND(MIN(MAX(ROUND(ROUND('Loonschijven_Tranches salariale'!$Q33*0.65,4)*Basisbedragen!$I$2,2),ROUND(Basisbedragen!$D$36*Basisbedragen!$I$2,2)),ROUND(ROUND(Basisbedragen!$D$27*0.65,4)*Basisbedragen!$I$2,2))/2,2)</f>
        <v>31.65</v>
      </c>
      <c r="J38" s="388">
        <f>ROUND(MIN(MAX(ROUND(ROUND('Loonschijven_Tranches salariale'!$Q33*0.6,4)*Basisbedragen!$I$2,2),ROUND(Basisbedragen!$D$36*Basisbedragen!$I$2,2)),ROUND(ROUND(Basisbedragen!$D$28*0.6,4)*Basisbedragen!$I$2,2))/2,2)</f>
        <v>31.65</v>
      </c>
      <c r="K38" s="388">
        <f>ROUND(A_N_B_vol_plein!K38/2,2)</f>
        <v>28.77</v>
      </c>
      <c r="L38" s="56">
        <f>ROUND(A_N_B_vol_plein!L38/2,2)</f>
        <v>0</v>
      </c>
      <c r="M38" s="388">
        <f>ROUND(A_N_B_vol_plein!M38/2,2)</f>
        <v>28.77</v>
      </c>
      <c r="N38" s="56">
        <f>ROUND(A_N_B_vol_plein!N38/2,2)</f>
        <v>0</v>
      </c>
      <c r="O38" s="388">
        <f>ROUND(MIN(MAX(ROUND(ROUND('Loonschijven_Tranches salariale'!$Q33*0.65,4)*Basisbedragen!$I$2,2),ROUND(Basisbedragen!$D$38*Basisbedragen!$I$2,2)),ROUND(ROUND(Basisbedragen!$D$27*0.65,4)*Basisbedragen!$I$2,2))/2,2)</f>
        <v>30.46</v>
      </c>
      <c r="P38" s="388">
        <f>ROUND(MIN(MAX(ROUND(ROUND('Loonschijven_Tranches salariale'!$Q33*0.6,4)*Basisbedragen!$I$2,2),ROUND(Basisbedragen!$D$39*Basisbedragen!$I$2,2)),ROUND(ROUND(Basisbedragen!$D$28*0.6,4)*Basisbedragen!$I$2,2))/2,2)</f>
        <v>28.12</v>
      </c>
      <c r="Q38" s="388">
        <f>ROUND(A_N_B_vol_plein!Q38/2,2)</f>
        <v>25.56</v>
      </c>
      <c r="R38" s="56">
        <f>ROUND(A_N_B_vol_plein!R38/2,2)</f>
        <v>0</v>
      </c>
      <c r="S38" s="388">
        <f>ROUND(A_N_B_vol_plein!S38/2,2)</f>
        <v>21.19</v>
      </c>
      <c r="T38" s="388">
        <f>ROUND(A_N_B_vol_plein!T38/2,2)</f>
        <v>14.93</v>
      </c>
    </row>
    <row r="39" spans="1:20" ht="15.75" hidden="1" customHeight="1" outlineLevel="1" thickBot="1">
      <c r="A39" s="47">
        <f t="shared" si="0"/>
        <v>27</v>
      </c>
      <c r="C39" s="388">
        <f>ROUND(MIN(MAX(ROUND(ROUND('Loonschijven_Tranches salariale'!$Q34*0.65,4)*Basisbedragen!$I$2,2),ROUND(Basisbedragen!$D$34*Basisbedragen!$I$2,2)),ROUND(ROUND(Basisbedragen!$D$27*0.65,4)*Basisbedragen!$I$2,2))/2,2)</f>
        <v>39.049999999999997</v>
      </c>
      <c r="D39" s="388">
        <f>ROUND(MIN(MAX(ROUND(ROUND('Loonschijven_Tranches salariale'!$Q34*0.6,4)*Basisbedragen!$I$2,2),ROUND(Basisbedragen!$D$34*Basisbedragen!$I$2,2)),ROUND(ROUND(Basisbedragen!$D$28*0.6,4)*Basisbedragen!$I$2,2))/2,2)</f>
        <v>39.049999999999997</v>
      </c>
      <c r="E39" s="388">
        <f>ROUND(A_N_B_vol_plein!E39/2,2)</f>
        <v>35.5</v>
      </c>
      <c r="F39" s="56">
        <f>ROUND(A_N_B_vol_plein!F39/2,2)</f>
        <v>0</v>
      </c>
      <c r="G39" s="388">
        <f>ROUND(A_N_B_vol_plein!G39/2,2)</f>
        <v>35.5</v>
      </c>
      <c r="H39" s="56">
        <f>ROUND(A_N_B_vol_plein!H39/2,2)</f>
        <v>0</v>
      </c>
      <c r="I39" s="388">
        <f>ROUND(MIN(MAX(ROUND(ROUND('Loonschijven_Tranches salariale'!$Q34*0.65,4)*Basisbedragen!$I$2,2),ROUND(Basisbedragen!$D$36*Basisbedragen!$I$2,2)),ROUND(ROUND(Basisbedragen!$D$27*0.65,4)*Basisbedragen!$I$2,2))/2,2)</f>
        <v>31.65</v>
      </c>
      <c r="J39" s="388">
        <f>ROUND(MIN(MAX(ROUND(ROUND('Loonschijven_Tranches salariale'!$Q34*0.6,4)*Basisbedragen!$I$2,2),ROUND(Basisbedragen!$D$36*Basisbedragen!$I$2,2)),ROUND(ROUND(Basisbedragen!$D$28*0.6,4)*Basisbedragen!$I$2,2))/2,2)</f>
        <v>31.65</v>
      </c>
      <c r="K39" s="388">
        <f>ROUND(A_N_B_vol_plein!K39/2,2)</f>
        <v>28.77</v>
      </c>
      <c r="L39" s="56">
        <f>ROUND(A_N_B_vol_plein!L39/2,2)</f>
        <v>0</v>
      </c>
      <c r="M39" s="388">
        <f>ROUND(A_N_B_vol_plein!M39/2,2)</f>
        <v>28.77</v>
      </c>
      <c r="N39" s="56">
        <f>ROUND(A_N_B_vol_plein!N39/2,2)</f>
        <v>0</v>
      </c>
      <c r="O39" s="388">
        <f>ROUND(MIN(MAX(ROUND(ROUND('Loonschijven_Tranches salariale'!$Q34*0.65,4)*Basisbedragen!$I$2,2),ROUND(Basisbedragen!$D$38*Basisbedragen!$I$2,2)),ROUND(ROUND(Basisbedragen!$D$27*0.65,4)*Basisbedragen!$I$2,2))/2,2)</f>
        <v>30.46</v>
      </c>
      <c r="P39" s="388">
        <f>ROUND(MIN(MAX(ROUND(ROUND('Loonschijven_Tranches salariale'!$Q34*0.6,4)*Basisbedragen!$I$2,2),ROUND(Basisbedragen!$D$39*Basisbedragen!$I$2,2)),ROUND(ROUND(Basisbedragen!$D$28*0.6,4)*Basisbedragen!$I$2,2))/2,2)</f>
        <v>28.12</v>
      </c>
      <c r="Q39" s="388">
        <f>ROUND(A_N_B_vol_plein!Q39/2,2)</f>
        <v>25.56</v>
      </c>
      <c r="R39" s="56">
        <f>ROUND(A_N_B_vol_plein!R39/2,2)</f>
        <v>0</v>
      </c>
      <c r="S39" s="388">
        <f>ROUND(A_N_B_vol_plein!S39/2,2)</f>
        <v>21.19</v>
      </c>
      <c r="T39" s="388">
        <f>ROUND(A_N_B_vol_plein!T39/2,2)</f>
        <v>14.93</v>
      </c>
    </row>
    <row r="40" spans="1:20" ht="15.75" hidden="1" customHeight="1" outlineLevel="1" thickBot="1">
      <c r="A40" s="47">
        <f t="shared" si="0"/>
        <v>28</v>
      </c>
      <c r="C40" s="388">
        <f>ROUND(MIN(MAX(ROUND(ROUND('Loonschijven_Tranches salariale'!$Q35*0.65,4)*Basisbedragen!$I$2,2),ROUND(Basisbedragen!$D$34*Basisbedragen!$I$2,2)),ROUND(ROUND(Basisbedragen!$D$27*0.65,4)*Basisbedragen!$I$2,2))/2,2)</f>
        <v>39.049999999999997</v>
      </c>
      <c r="D40" s="388">
        <f>ROUND(MIN(MAX(ROUND(ROUND('Loonschijven_Tranches salariale'!$Q35*0.6,4)*Basisbedragen!$I$2,2),ROUND(Basisbedragen!$D$34*Basisbedragen!$I$2,2)),ROUND(ROUND(Basisbedragen!$D$28*0.6,4)*Basisbedragen!$I$2,2))/2,2)</f>
        <v>39.049999999999997</v>
      </c>
      <c r="E40" s="388">
        <f>ROUND(A_N_B_vol_plein!E40/2,2)</f>
        <v>35.5</v>
      </c>
      <c r="F40" s="56">
        <f>ROUND(A_N_B_vol_plein!F40/2,2)</f>
        <v>0</v>
      </c>
      <c r="G40" s="388">
        <f>ROUND(A_N_B_vol_plein!G40/2,2)</f>
        <v>35.5</v>
      </c>
      <c r="H40" s="56">
        <f>ROUND(A_N_B_vol_plein!H40/2,2)</f>
        <v>0</v>
      </c>
      <c r="I40" s="388">
        <f>ROUND(MIN(MAX(ROUND(ROUND('Loonschijven_Tranches salariale'!$Q35*0.65,4)*Basisbedragen!$I$2,2),ROUND(Basisbedragen!$D$36*Basisbedragen!$I$2,2)),ROUND(ROUND(Basisbedragen!$D$27*0.65,4)*Basisbedragen!$I$2,2))/2,2)</f>
        <v>31.65</v>
      </c>
      <c r="J40" s="388">
        <f>ROUND(MIN(MAX(ROUND(ROUND('Loonschijven_Tranches salariale'!$Q35*0.6,4)*Basisbedragen!$I$2,2),ROUND(Basisbedragen!$D$36*Basisbedragen!$I$2,2)),ROUND(ROUND(Basisbedragen!$D$28*0.6,4)*Basisbedragen!$I$2,2))/2,2)</f>
        <v>31.65</v>
      </c>
      <c r="K40" s="388">
        <f>ROUND(A_N_B_vol_plein!K40/2,2)</f>
        <v>28.77</v>
      </c>
      <c r="L40" s="56">
        <f>ROUND(A_N_B_vol_plein!L40/2,2)</f>
        <v>0</v>
      </c>
      <c r="M40" s="388">
        <f>ROUND(A_N_B_vol_plein!M40/2,2)</f>
        <v>28.77</v>
      </c>
      <c r="N40" s="56">
        <f>ROUND(A_N_B_vol_plein!N40/2,2)</f>
        <v>0</v>
      </c>
      <c r="O40" s="388">
        <f>ROUND(MIN(MAX(ROUND(ROUND('Loonschijven_Tranches salariale'!$Q35*0.65,4)*Basisbedragen!$I$2,2),ROUND(Basisbedragen!$D$38*Basisbedragen!$I$2,2)),ROUND(ROUND(Basisbedragen!$D$27*0.65,4)*Basisbedragen!$I$2,2))/2,2)</f>
        <v>30.46</v>
      </c>
      <c r="P40" s="388">
        <f>ROUND(MIN(MAX(ROUND(ROUND('Loonschijven_Tranches salariale'!$Q35*0.6,4)*Basisbedragen!$I$2,2),ROUND(Basisbedragen!$D$39*Basisbedragen!$I$2,2)),ROUND(ROUND(Basisbedragen!$D$28*0.6,4)*Basisbedragen!$I$2,2))/2,2)</f>
        <v>28.12</v>
      </c>
      <c r="Q40" s="388">
        <f>ROUND(A_N_B_vol_plein!Q40/2,2)</f>
        <v>25.56</v>
      </c>
      <c r="R40" s="56">
        <f>ROUND(A_N_B_vol_plein!R40/2,2)</f>
        <v>0</v>
      </c>
      <c r="S40" s="388">
        <f>ROUND(A_N_B_vol_plein!S40/2,2)</f>
        <v>21.19</v>
      </c>
      <c r="T40" s="388">
        <f>ROUND(A_N_B_vol_plein!T40/2,2)</f>
        <v>14.93</v>
      </c>
    </row>
    <row r="41" spans="1:20" ht="15.75" hidden="1" customHeight="1" outlineLevel="1" thickBot="1">
      <c r="A41" s="47">
        <f t="shared" si="0"/>
        <v>29</v>
      </c>
      <c r="C41" s="388">
        <f>ROUND(MIN(MAX(ROUND(ROUND('Loonschijven_Tranches salariale'!$Q36*0.65,4)*Basisbedragen!$I$2,2),ROUND(Basisbedragen!$D$34*Basisbedragen!$I$2,2)),ROUND(ROUND(Basisbedragen!$D$27*0.65,4)*Basisbedragen!$I$2,2))/2,2)</f>
        <v>39.049999999999997</v>
      </c>
      <c r="D41" s="388">
        <f>ROUND(MIN(MAX(ROUND(ROUND('Loonschijven_Tranches salariale'!$Q36*0.6,4)*Basisbedragen!$I$2,2),ROUND(Basisbedragen!$D$34*Basisbedragen!$I$2,2)),ROUND(ROUND(Basisbedragen!$D$28*0.6,4)*Basisbedragen!$I$2,2))/2,2)</f>
        <v>39.049999999999997</v>
      </c>
      <c r="E41" s="388">
        <f>ROUND(A_N_B_vol_plein!E41/2,2)</f>
        <v>35.5</v>
      </c>
      <c r="F41" s="56">
        <f>ROUND(A_N_B_vol_plein!F41/2,2)</f>
        <v>0</v>
      </c>
      <c r="G41" s="388">
        <f>ROUND(A_N_B_vol_plein!G41/2,2)</f>
        <v>35.5</v>
      </c>
      <c r="H41" s="56">
        <f>ROUND(A_N_B_vol_plein!H41/2,2)</f>
        <v>0</v>
      </c>
      <c r="I41" s="388">
        <f>ROUND(MIN(MAX(ROUND(ROUND('Loonschijven_Tranches salariale'!$Q36*0.65,4)*Basisbedragen!$I$2,2),ROUND(Basisbedragen!$D$36*Basisbedragen!$I$2,2)),ROUND(ROUND(Basisbedragen!$D$27*0.65,4)*Basisbedragen!$I$2,2))/2,2)</f>
        <v>31.65</v>
      </c>
      <c r="J41" s="388">
        <f>ROUND(MIN(MAX(ROUND(ROUND('Loonschijven_Tranches salariale'!$Q36*0.6,4)*Basisbedragen!$I$2,2),ROUND(Basisbedragen!$D$36*Basisbedragen!$I$2,2)),ROUND(ROUND(Basisbedragen!$D$28*0.6,4)*Basisbedragen!$I$2,2))/2,2)</f>
        <v>31.65</v>
      </c>
      <c r="K41" s="388">
        <f>ROUND(A_N_B_vol_plein!K41/2,2)</f>
        <v>28.77</v>
      </c>
      <c r="L41" s="56">
        <f>ROUND(A_N_B_vol_plein!L41/2,2)</f>
        <v>0</v>
      </c>
      <c r="M41" s="388">
        <f>ROUND(A_N_B_vol_plein!M41/2,2)</f>
        <v>28.77</v>
      </c>
      <c r="N41" s="56">
        <f>ROUND(A_N_B_vol_plein!N41/2,2)</f>
        <v>0</v>
      </c>
      <c r="O41" s="388">
        <f>ROUND(MIN(MAX(ROUND(ROUND('Loonschijven_Tranches salariale'!$Q36*0.65,4)*Basisbedragen!$I$2,2),ROUND(Basisbedragen!$D$38*Basisbedragen!$I$2,2)),ROUND(ROUND(Basisbedragen!$D$27*0.65,4)*Basisbedragen!$I$2,2))/2,2)</f>
        <v>30.46</v>
      </c>
      <c r="P41" s="388">
        <f>ROUND(MIN(MAX(ROUND(ROUND('Loonschijven_Tranches salariale'!$Q36*0.6,4)*Basisbedragen!$I$2,2),ROUND(Basisbedragen!$D$39*Basisbedragen!$I$2,2)),ROUND(ROUND(Basisbedragen!$D$28*0.6,4)*Basisbedragen!$I$2,2))/2,2)</f>
        <v>28.12</v>
      </c>
      <c r="Q41" s="388">
        <f>ROUND(A_N_B_vol_plein!Q41/2,2)</f>
        <v>25.56</v>
      </c>
      <c r="R41" s="56">
        <f>ROUND(A_N_B_vol_plein!R41/2,2)</f>
        <v>0</v>
      </c>
      <c r="S41" s="388">
        <f>ROUND(A_N_B_vol_plein!S41/2,2)</f>
        <v>21.19</v>
      </c>
      <c r="T41" s="388">
        <f>ROUND(A_N_B_vol_plein!T41/2,2)</f>
        <v>14.93</v>
      </c>
    </row>
    <row r="42" spans="1:20" ht="15.75" hidden="1" customHeight="1" outlineLevel="1" thickBot="1">
      <c r="A42" s="47">
        <f t="shared" si="0"/>
        <v>30</v>
      </c>
      <c r="C42" s="388">
        <f>ROUND(MIN(MAX(ROUND(ROUND('Loonschijven_Tranches salariale'!$Q37*0.65,4)*Basisbedragen!$I$2,2),ROUND(Basisbedragen!$D$34*Basisbedragen!$I$2,2)),ROUND(ROUND(Basisbedragen!$D$27*0.65,4)*Basisbedragen!$I$2,2))/2,2)</f>
        <v>39.049999999999997</v>
      </c>
      <c r="D42" s="388">
        <f>ROUND(MIN(MAX(ROUND(ROUND('Loonschijven_Tranches salariale'!$Q37*0.6,4)*Basisbedragen!$I$2,2),ROUND(Basisbedragen!$D$34*Basisbedragen!$I$2,2)),ROUND(ROUND(Basisbedragen!$D$28*0.6,4)*Basisbedragen!$I$2,2))/2,2)</f>
        <v>39.049999999999997</v>
      </c>
      <c r="E42" s="409">
        <f>ROUND(A_N_B_vol_plein!E42/2,2)</f>
        <v>35.5</v>
      </c>
      <c r="F42" s="56">
        <f>ROUND(A_N_B_vol_plein!F42/2,2)</f>
        <v>0</v>
      </c>
      <c r="G42" s="409">
        <f>ROUND(A_N_B_vol_plein!G42/2,2)</f>
        <v>35.5</v>
      </c>
      <c r="H42" s="56">
        <f>ROUND(A_N_B_vol_plein!H42/2,2)</f>
        <v>0</v>
      </c>
      <c r="I42" s="388">
        <f>ROUND(MIN(MAX(ROUND(ROUND('Loonschijven_Tranches salariale'!$Q37*0.65,4)*Basisbedragen!$I$2,2),ROUND(Basisbedragen!$D$36*Basisbedragen!$I$2,2)),ROUND(ROUND(Basisbedragen!$D$27*0.65,4)*Basisbedragen!$I$2,2))/2,2)</f>
        <v>31.65</v>
      </c>
      <c r="J42" s="388">
        <f>ROUND(MIN(MAX(ROUND(ROUND('Loonschijven_Tranches salariale'!$Q37*0.6,4)*Basisbedragen!$I$2,2),ROUND(Basisbedragen!$D$36*Basisbedragen!$I$2,2)),ROUND(ROUND(Basisbedragen!$D$28*0.6,4)*Basisbedragen!$I$2,2))/2,2)</f>
        <v>31.65</v>
      </c>
      <c r="K42" s="409">
        <f>ROUND(A_N_B_vol_plein!K42/2,2)</f>
        <v>28.77</v>
      </c>
      <c r="L42" s="56">
        <f>ROUND(A_N_B_vol_plein!L42/2,2)</f>
        <v>0</v>
      </c>
      <c r="M42" s="409">
        <f>ROUND(A_N_B_vol_plein!M42/2,2)</f>
        <v>28.77</v>
      </c>
      <c r="N42" s="56">
        <f>ROUND(A_N_B_vol_plein!N42/2,2)</f>
        <v>0</v>
      </c>
      <c r="O42" s="388">
        <f>ROUND(MIN(MAX(ROUND(ROUND('Loonschijven_Tranches salariale'!$Q37*0.65,4)*Basisbedragen!$I$2,2),ROUND(Basisbedragen!$D$38*Basisbedragen!$I$2,2)),ROUND(ROUND(Basisbedragen!$D$27*0.65,4)*Basisbedragen!$I$2,2))/2,2)</f>
        <v>30.46</v>
      </c>
      <c r="P42" s="388">
        <f>ROUND(MIN(MAX(ROUND(ROUND('Loonschijven_Tranches salariale'!$Q37*0.6,4)*Basisbedragen!$I$2,2),ROUND(Basisbedragen!$D$39*Basisbedragen!$I$2,2)),ROUND(ROUND(Basisbedragen!$D$28*0.6,4)*Basisbedragen!$I$2,2))/2,2)</f>
        <v>28.12</v>
      </c>
      <c r="Q42" s="409">
        <f>ROUND(A_N_B_vol_plein!Q42/2,2)</f>
        <v>25.56</v>
      </c>
      <c r="R42" s="56">
        <f>ROUND(A_N_B_vol_plein!R42/2,2)</f>
        <v>0</v>
      </c>
      <c r="S42" s="409">
        <f>ROUND(A_N_B_vol_plein!S42/2,2)</f>
        <v>21.19</v>
      </c>
      <c r="T42" s="409">
        <f>ROUND(A_N_B_vol_plein!T42/2,2)</f>
        <v>14.93</v>
      </c>
    </row>
    <row r="43" spans="1:20" ht="15.75" hidden="1" customHeight="1" outlineLevel="1" thickBot="1">
      <c r="A43" s="47">
        <f t="shared" si="0"/>
        <v>31</v>
      </c>
      <c r="C43" s="388">
        <f>ROUND(MIN(MAX(ROUND(ROUND('Loonschijven_Tranches salariale'!$Q38*0.65,4)*Basisbedragen!$I$2,2),ROUND(Basisbedragen!$D$34*Basisbedragen!$I$2,2)),ROUND(ROUND(Basisbedragen!$D$27*0.65,4)*Basisbedragen!$I$2,2))/2,2)</f>
        <v>39.049999999999997</v>
      </c>
      <c r="D43" s="388">
        <f>ROUND(MIN(MAX(ROUND(ROUND('Loonschijven_Tranches salariale'!$Q38*0.6,4)*Basisbedragen!$I$2,2),ROUND(Basisbedragen!$D$34*Basisbedragen!$I$2,2)),ROUND(ROUND(Basisbedragen!$D$28*0.6,4)*Basisbedragen!$I$2,2))/2,2)</f>
        <v>39.049999999999997</v>
      </c>
      <c r="E43" s="388">
        <f>ROUND(A_N_B_vol_plein!E43/2,2)</f>
        <v>35.5</v>
      </c>
      <c r="F43" s="56">
        <f>ROUND(A_N_B_vol_plein!F43/2,2)</f>
        <v>0</v>
      </c>
      <c r="G43" s="388">
        <f>ROUND(A_N_B_vol_plein!G43/2,2)</f>
        <v>35.5</v>
      </c>
      <c r="H43" s="56">
        <f>ROUND(A_N_B_vol_plein!H43/2,2)</f>
        <v>0</v>
      </c>
      <c r="I43" s="388">
        <f>ROUND(MIN(MAX(ROUND(ROUND('Loonschijven_Tranches salariale'!$Q38*0.65,4)*Basisbedragen!$I$2,2),ROUND(Basisbedragen!$D$36*Basisbedragen!$I$2,2)),ROUND(ROUND(Basisbedragen!$D$27*0.65,4)*Basisbedragen!$I$2,2))/2,2)</f>
        <v>31.65</v>
      </c>
      <c r="J43" s="388">
        <f>ROUND(MIN(MAX(ROUND(ROUND('Loonschijven_Tranches salariale'!$Q38*0.6,4)*Basisbedragen!$I$2,2),ROUND(Basisbedragen!$D$36*Basisbedragen!$I$2,2)),ROUND(ROUND(Basisbedragen!$D$28*0.6,4)*Basisbedragen!$I$2,2))/2,2)</f>
        <v>31.65</v>
      </c>
      <c r="K43" s="388">
        <f>ROUND(A_N_B_vol_plein!K43/2,2)</f>
        <v>28.77</v>
      </c>
      <c r="L43" s="56">
        <f>ROUND(A_N_B_vol_plein!L43/2,2)</f>
        <v>0</v>
      </c>
      <c r="M43" s="388">
        <f>ROUND(A_N_B_vol_plein!M43/2,2)</f>
        <v>28.77</v>
      </c>
      <c r="N43" s="56">
        <f>ROUND(A_N_B_vol_plein!N43/2,2)</f>
        <v>0</v>
      </c>
      <c r="O43" s="388">
        <f>ROUND(MIN(MAX(ROUND(ROUND('Loonschijven_Tranches salariale'!$Q38*0.65,4)*Basisbedragen!$I$2,2),ROUND(Basisbedragen!$D$38*Basisbedragen!$I$2,2)),ROUND(ROUND(Basisbedragen!$D$27*0.65,4)*Basisbedragen!$I$2,2))/2,2)</f>
        <v>30.46</v>
      </c>
      <c r="P43" s="388">
        <f>ROUND(MIN(MAX(ROUND(ROUND('Loonschijven_Tranches salariale'!$Q38*0.6,4)*Basisbedragen!$I$2,2),ROUND(Basisbedragen!$D$39*Basisbedragen!$I$2,2)),ROUND(ROUND(Basisbedragen!$D$28*0.6,4)*Basisbedragen!$I$2,2))/2,2)</f>
        <v>28.12</v>
      </c>
      <c r="Q43" s="388">
        <f>ROUND(A_N_B_vol_plein!Q43/2,2)</f>
        <v>25.56</v>
      </c>
      <c r="R43" s="56">
        <f>ROUND(A_N_B_vol_plein!R43/2,2)</f>
        <v>0</v>
      </c>
      <c r="S43" s="388">
        <f>ROUND(A_N_B_vol_plein!S43/2,2)</f>
        <v>21.19</v>
      </c>
      <c r="T43" s="388">
        <f>ROUND(A_N_B_vol_plein!T43/2,2)</f>
        <v>14.93</v>
      </c>
    </row>
    <row r="44" spans="1:20" ht="15.75" hidden="1" customHeight="1" outlineLevel="1" thickBot="1">
      <c r="A44" s="47">
        <f t="shared" si="0"/>
        <v>32</v>
      </c>
      <c r="C44" s="388">
        <f>ROUND(MIN(MAX(ROUND(ROUND('Loonschijven_Tranches salariale'!$Q39*0.65,4)*Basisbedragen!$I$2,2),ROUND(Basisbedragen!$D$34*Basisbedragen!$I$2,2)),ROUND(ROUND(Basisbedragen!$D$27*0.65,4)*Basisbedragen!$I$2,2))/2,2)</f>
        <v>39.049999999999997</v>
      </c>
      <c r="D44" s="388">
        <f>ROUND(MIN(MAX(ROUND(ROUND('Loonschijven_Tranches salariale'!$Q39*0.6,4)*Basisbedragen!$I$2,2),ROUND(Basisbedragen!$D$34*Basisbedragen!$I$2,2)),ROUND(ROUND(Basisbedragen!$D$28*0.6,4)*Basisbedragen!$I$2,2))/2,2)</f>
        <v>39.049999999999997</v>
      </c>
      <c r="E44" s="388">
        <f>ROUND(A_N_B_vol_plein!E44/2,2)</f>
        <v>35.5</v>
      </c>
      <c r="F44" s="56">
        <f>ROUND(A_N_B_vol_plein!F44/2,2)</f>
        <v>0</v>
      </c>
      <c r="G44" s="388">
        <f>ROUND(A_N_B_vol_plein!G44/2,2)</f>
        <v>35.5</v>
      </c>
      <c r="H44" s="56">
        <f>ROUND(A_N_B_vol_plein!H44/2,2)</f>
        <v>0</v>
      </c>
      <c r="I44" s="388">
        <f>ROUND(MIN(MAX(ROUND(ROUND('Loonschijven_Tranches salariale'!$Q39*0.65,4)*Basisbedragen!$I$2,2),ROUND(Basisbedragen!$D$36*Basisbedragen!$I$2,2)),ROUND(ROUND(Basisbedragen!$D$27*0.65,4)*Basisbedragen!$I$2,2))/2,2)</f>
        <v>31.65</v>
      </c>
      <c r="J44" s="388">
        <f>ROUND(MIN(MAX(ROUND(ROUND('Loonschijven_Tranches salariale'!$Q39*0.6,4)*Basisbedragen!$I$2,2),ROUND(Basisbedragen!$D$36*Basisbedragen!$I$2,2)),ROUND(ROUND(Basisbedragen!$D$28*0.6,4)*Basisbedragen!$I$2,2))/2,2)</f>
        <v>31.65</v>
      </c>
      <c r="K44" s="388">
        <f>ROUND(A_N_B_vol_plein!K44/2,2)</f>
        <v>28.77</v>
      </c>
      <c r="L44" s="56">
        <f>ROUND(A_N_B_vol_plein!L44/2,2)</f>
        <v>0</v>
      </c>
      <c r="M44" s="388">
        <f>ROUND(A_N_B_vol_plein!M44/2,2)</f>
        <v>28.77</v>
      </c>
      <c r="N44" s="56">
        <f>ROUND(A_N_B_vol_plein!N44/2,2)</f>
        <v>0</v>
      </c>
      <c r="O44" s="388">
        <f>ROUND(MIN(MAX(ROUND(ROUND('Loonschijven_Tranches salariale'!$Q39*0.65,4)*Basisbedragen!$I$2,2),ROUND(Basisbedragen!$D$38*Basisbedragen!$I$2,2)),ROUND(ROUND(Basisbedragen!$D$27*0.65,4)*Basisbedragen!$I$2,2))/2,2)</f>
        <v>30.46</v>
      </c>
      <c r="P44" s="388">
        <f>ROUND(MIN(MAX(ROUND(ROUND('Loonschijven_Tranches salariale'!$Q39*0.6,4)*Basisbedragen!$I$2,2),ROUND(Basisbedragen!$D$39*Basisbedragen!$I$2,2)),ROUND(ROUND(Basisbedragen!$D$28*0.6,4)*Basisbedragen!$I$2,2))/2,2)</f>
        <v>28.12</v>
      </c>
      <c r="Q44" s="388">
        <f>ROUND(A_N_B_vol_plein!Q44/2,2)</f>
        <v>25.56</v>
      </c>
      <c r="R44" s="56">
        <f>ROUND(A_N_B_vol_plein!R44/2,2)</f>
        <v>0</v>
      </c>
      <c r="S44" s="388">
        <f>ROUND(A_N_B_vol_plein!S44/2,2)</f>
        <v>21.19</v>
      </c>
      <c r="T44" s="388">
        <f>ROUND(A_N_B_vol_plein!T44/2,2)</f>
        <v>14.93</v>
      </c>
    </row>
    <row r="45" spans="1:20" ht="15.75" hidden="1" customHeight="1" outlineLevel="1" thickBot="1">
      <c r="A45" s="47">
        <f t="shared" si="0"/>
        <v>33</v>
      </c>
      <c r="C45" s="388">
        <f>ROUND(MIN(MAX(ROUND(ROUND('Loonschijven_Tranches salariale'!$Q40*0.65,4)*Basisbedragen!$I$2,2),ROUND(Basisbedragen!$D$34*Basisbedragen!$I$2,2)),ROUND(ROUND(Basisbedragen!$D$27*0.65,4)*Basisbedragen!$I$2,2))/2,2)</f>
        <v>39.049999999999997</v>
      </c>
      <c r="D45" s="388">
        <f>ROUND(MIN(MAX(ROUND(ROUND('Loonschijven_Tranches salariale'!$Q40*0.6,4)*Basisbedragen!$I$2,2),ROUND(Basisbedragen!$D$34*Basisbedragen!$I$2,2)),ROUND(ROUND(Basisbedragen!$D$28*0.6,4)*Basisbedragen!$I$2,2))/2,2)</f>
        <v>39.049999999999997</v>
      </c>
      <c r="E45" s="388">
        <f>ROUND(A_N_B_vol_plein!E45/2,2)</f>
        <v>35.5</v>
      </c>
      <c r="F45" s="56">
        <f>ROUND(A_N_B_vol_plein!F45/2,2)</f>
        <v>0</v>
      </c>
      <c r="G45" s="388">
        <f>ROUND(A_N_B_vol_plein!G45/2,2)</f>
        <v>35.5</v>
      </c>
      <c r="H45" s="56">
        <f>ROUND(A_N_B_vol_plein!H45/2,2)</f>
        <v>0</v>
      </c>
      <c r="I45" s="388">
        <f>ROUND(MIN(MAX(ROUND(ROUND('Loonschijven_Tranches salariale'!$Q40*0.65,4)*Basisbedragen!$I$2,2),ROUND(Basisbedragen!$D$36*Basisbedragen!$I$2,2)),ROUND(ROUND(Basisbedragen!$D$27*0.65,4)*Basisbedragen!$I$2,2))/2,2)</f>
        <v>31.65</v>
      </c>
      <c r="J45" s="388">
        <f>ROUND(MIN(MAX(ROUND(ROUND('Loonschijven_Tranches salariale'!$Q40*0.6,4)*Basisbedragen!$I$2,2),ROUND(Basisbedragen!$D$36*Basisbedragen!$I$2,2)),ROUND(ROUND(Basisbedragen!$D$28*0.6,4)*Basisbedragen!$I$2,2))/2,2)</f>
        <v>31.65</v>
      </c>
      <c r="K45" s="388">
        <f>ROUND(A_N_B_vol_plein!K45/2,2)</f>
        <v>28.77</v>
      </c>
      <c r="L45" s="56">
        <f>ROUND(A_N_B_vol_plein!L45/2,2)</f>
        <v>0</v>
      </c>
      <c r="M45" s="388">
        <f>ROUND(A_N_B_vol_plein!M45/2,2)</f>
        <v>28.77</v>
      </c>
      <c r="N45" s="56">
        <f>ROUND(A_N_B_vol_plein!N45/2,2)</f>
        <v>0</v>
      </c>
      <c r="O45" s="388">
        <f>ROUND(MIN(MAX(ROUND(ROUND('Loonschijven_Tranches salariale'!$Q40*0.65,4)*Basisbedragen!$I$2,2),ROUND(Basisbedragen!$D$38*Basisbedragen!$I$2,2)),ROUND(ROUND(Basisbedragen!$D$27*0.65,4)*Basisbedragen!$I$2,2))/2,2)</f>
        <v>30.46</v>
      </c>
      <c r="P45" s="388">
        <f>ROUND(MIN(MAX(ROUND(ROUND('Loonschijven_Tranches salariale'!$Q40*0.6,4)*Basisbedragen!$I$2,2),ROUND(Basisbedragen!$D$39*Basisbedragen!$I$2,2)),ROUND(ROUND(Basisbedragen!$D$28*0.6,4)*Basisbedragen!$I$2,2))/2,2)</f>
        <v>28.12</v>
      </c>
      <c r="Q45" s="388">
        <f>ROUND(A_N_B_vol_plein!Q45/2,2)</f>
        <v>25.56</v>
      </c>
      <c r="R45" s="56">
        <f>ROUND(A_N_B_vol_plein!R45/2,2)</f>
        <v>0</v>
      </c>
      <c r="S45" s="388">
        <f>ROUND(A_N_B_vol_plein!S45/2,2)</f>
        <v>21.19</v>
      </c>
      <c r="T45" s="388">
        <f>ROUND(A_N_B_vol_plein!T45/2,2)</f>
        <v>14.93</v>
      </c>
    </row>
    <row r="46" spans="1:20" ht="15.75" hidden="1" customHeight="1" outlineLevel="1" thickBot="1">
      <c r="A46" s="47">
        <f t="shared" si="0"/>
        <v>34</v>
      </c>
      <c r="C46" s="388">
        <f>ROUND(MIN(MAX(ROUND(ROUND('Loonschijven_Tranches salariale'!$Q41*0.65,4)*Basisbedragen!$I$2,2),ROUND(Basisbedragen!$D$34*Basisbedragen!$I$2,2)),ROUND(ROUND(Basisbedragen!$D$27*0.65,4)*Basisbedragen!$I$2,2))/2,2)</f>
        <v>39.049999999999997</v>
      </c>
      <c r="D46" s="388">
        <f>ROUND(MIN(MAX(ROUND(ROUND('Loonschijven_Tranches salariale'!$Q41*0.6,4)*Basisbedragen!$I$2,2),ROUND(Basisbedragen!$D$34*Basisbedragen!$I$2,2)),ROUND(ROUND(Basisbedragen!$D$28*0.6,4)*Basisbedragen!$I$2,2))/2,2)</f>
        <v>39.049999999999997</v>
      </c>
      <c r="E46" s="388">
        <f>ROUND(A_N_B_vol_plein!E46/2,2)</f>
        <v>35.5</v>
      </c>
      <c r="F46" s="56">
        <f>ROUND(A_N_B_vol_plein!F46/2,2)</f>
        <v>0</v>
      </c>
      <c r="G46" s="388">
        <f>ROUND(A_N_B_vol_plein!G46/2,2)</f>
        <v>35.5</v>
      </c>
      <c r="H46" s="56">
        <f>ROUND(A_N_B_vol_plein!H46/2,2)</f>
        <v>0</v>
      </c>
      <c r="I46" s="388">
        <f>ROUND(MIN(MAX(ROUND(ROUND('Loonschijven_Tranches salariale'!$Q41*0.65,4)*Basisbedragen!$I$2,2),ROUND(Basisbedragen!$D$36*Basisbedragen!$I$2,2)),ROUND(ROUND(Basisbedragen!$D$27*0.65,4)*Basisbedragen!$I$2,2))/2,2)</f>
        <v>31.65</v>
      </c>
      <c r="J46" s="388">
        <f>ROUND(MIN(MAX(ROUND(ROUND('Loonschijven_Tranches salariale'!$Q41*0.6,4)*Basisbedragen!$I$2,2),ROUND(Basisbedragen!$D$36*Basisbedragen!$I$2,2)),ROUND(ROUND(Basisbedragen!$D$28*0.6,4)*Basisbedragen!$I$2,2))/2,2)</f>
        <v>31.65</v>
      </c>
      <c r="K46" s="388">
        <f>ROUND(A_N_B_vol_plein!K46/2,2)</f>
        <v>28.77</v>
      </c>
      <c r="L46" s="56">
        <f>ROUND(A_N_B_vol_plein!L46/2,2)</f>
        <v>0</v>
      </c>
      <c r="M46" s="388">
        <f>ROUND(A_N_B_vol_plein!M46/2,2)</f>
        <v>28.77</v>
      </c>
      <c r="N46" s="56">
        <f>ROUND(A_N_B_vol_plein!N46/2,2)</f>
        <v>0</v>
      </c>
      <c r="O46" s="388">
        <f>ROUND(MIN(MAX(ROUND(ROUND('Loonschijven_Tranches salariale'!$Q41*0.65,4)*Basisbedragen!$I$2,2),ROUND(Basisbedragen!$D$38*Basisbedragen!$I$2,2)),ROUND(ROUND(Basisbedragen!$D$27*0.65,4)*Basisbedragen!$I$2,2))/2,2)</f>
        <v>30.46</v>
      </c>
      <c r="P46" s="388">
        <f>ROUND(MIN(MAX(ROUND(ROUND('Loonschijven_Tranches salariale'!$Q41*0.6,4)*Basisbedragen!$I$2,2),ROUND(Basisbedragen!$D$39*Basisbedragen!$I$2,2)),ROUND(ROUND(Basisbedragen!$D$28*0.6,4)*Basisbedragen!$I$2,2))/2,2)</f>
        <v>28.12</v>
      </c>
      <c r="Q46" s="388">
        <f>ROUND(A_N_B_vol_plein!Q46/2,2)</f>
        <v>25.56</v>
      </c>
      <c r="R46" s="56">
        <f>ROUND(A_N_B_vol_plein!R46/2,2)</f>
        <v>0</v>
      </c>
      <c r="S46" s="388">
        <f>ROUND(A_N_B_vol_plein!S46/2,2)</f>
        <v>21.19</v>
      </c>
      <c r="T46" s="388">
        <f>ROUND(A_N_B_vol_plein!T46/2,2)</f>
        <v>14.93</v>
      </c>
    </row>
    <row r="47" spans="1:20" ht="15.75" hidden="1" customHeight="1" outlineLevel="1" thickBot="1">
      <c r="A47" s="47">
        <f t="shared" si="0"/>
        <v>35</v>
      </c>
      <c r="C47" s="388">
        <f>ROUND(MIN(MAX(ROUND(ROUND('Loonschijven_Tranches salariale'!$Q42*0.65,4)*Basisbedragen!$I$2,2),ROUND(Basisbedragen!$D$34*Basisbedragen!$I$2,2)),ROUND(ROUND(Basisbedragen!$D$27*0.65,4)*Basisbedragen!$I$2,2))/2,2)</f>
        <v>39.049999999999997</v>
      </c>
      <c r="D47" s="388">
        <f>ROUND(MIN(MAX(ROUND(ROUND('Loonschijven_Tranches salariale'!$Q42*0.6,4)*Basisbedragen!$I$2,2),ROUND(Basisbedragen!$D$34*Basisbedragen!$I$2,2)),ROUND(ROUND(Basisbedragen!$D$28*0.6,4)*Basisbedragen!$I$2,2))/2,2)</f>
        <v>39.049999999999997</v>
      </c>
      <c r="E47" s="409">
        <f>ROUND(A_N_B_vol_plein!E47/2,2)</f>
        <v>35.5</v>
      </c>
      <c r="F47" s="56">
        <f>ROUND(A_N_B_vol_plein!F47/2,2)</f>
        <v>0</v>
      </c>
      <c r="G47" s="409">
        <f>ROUND(A_N_B_vol_plein!G47/2,2)</f>
        <v>35.5</v>
      </c>
      <c r="H47" s="56">
        <f>ROUND(A_N_B_vol_plein!H47/2,2)</f>
        <v>0</v>
      </c>
      <c r="I47" s="388">
        <f>ROUND(MIN(MAX(ROUND(ROUND('Loonschijven_Tranches salariale'!$Q42*0.65,4)*Basisbedragen!$I$2,2),ROUND(Basisbedragen!$D$36*Basisbedragen!$I$2,2)),ROUND(ROUND(Basisbedragen!$D$27*0.65,4)*Basisbedragen!$I$2,2))/2,2)</f>
        <v>31.65</v>
      </c>
      <c r="J47" s="388">
        <f>ROUND(MIN(MAX(ROUND(ROUND('Loonschijven_Tranches salariale'!$Q42*0.6,4)*Basisbedragen!$I$2,2),ROUND(Basisbedragen!$D$36*Basisbedragen!$I$2,2)),ROUND(ROUND(Basisbedragen!$D$28*0.6,4)*Basisbedragen!$I$2,2))/2,2)</f>
        <v>31.65</v>
      </c>
      <c r="K47" s="409">
        <f>ROUND(A_N_B_vol_plein!K47/2,2)</f>
        <v>28.77</v>
      </c>
      <c r="L47" s="56">
        <f>ROUND(A_N_B_vol_plein!L47/2,2)</f>
        <v>0</v>
      </c>
      <c r="M47" s="409">
        <f>ROUND(A_N_B_vol_plein!M47/2,2)</f>
        <v>28.77</v>
      </c>
      <c r="N47" s="56">
        <f>ROUND(A_N_B_vol_plein!N47/2,2)</f>
        <v>0</v>
      </c>
      <c r="O47" s="388">
        <f>ROUND(MIN(MAX(ROUND(ROUND('Loonschijven_Tranches salariale'!$Q42*0.65,4)*Basisbedragen!$I$2,2),ROUND(Basisbedragen!$D$38*Basisbedragen!$I$2,2)),ROUND(ROUND(Basisbedragen!$D$27*0.65,4)*Basisbedragen!$I$2,2))/2,2)</f>
        <v>30.46</v>
      </c>
      <c r="P47" s="388">
        <f>ROUND(MIN(MAX(ROUND(ROUND('Loonschijven_Tranches salariale'!$Q42*0.6,4)*Basisbedragen!$I$2,2),ROUND(Basisbedragen!$D$39*Basisbedragen!$I$2,2)),ROUND(ROUND(Basisbedragen!$D$28*0.6,4)*Basisbedragen!$I$2,2))/2,2)</f>
        <v>28.12</v>
      </c>
      <c r="Q47" s="409">
        <f>ROUND(A_N_B_vol_plein!Q47/2,2)</f>
        <v>25.56</v>
      </c>
      <c r="R47" s="56">
        <f>ROUND(A_N_B_vol_plein!R47/2,2)</f>
        <v>0</v>
      </c>
      <c r="S47" s="409">
        <f>ROUND(A_N_B_vol_plein!S47/2,2)</f>
        <v>21.19</v>
      </c>
      <c r="T47" s="409">
        <f>ROUND(A_N_B_vol_plein!T47/2,2)</f>
        <v>14.93</v>
      </c>
    </row>
    <row r="48" spans="1:20" ht="15.75" hidden="1" customHeight="1" outlineLevel="1" thickBot="1">
      <c r="A48" s="47">
        <f t="shared" si="0"/>
        <v>36</v>
      </c>
      <c r="C48" s="388">
        <f>ROUND(MIN(MAX(ROUND(ROUND('Loonschijven_Tranches salariale'!$Q43*0.65,4)*Basisbedragen!$I$2,2),ROUND(Basisbedragen!$D$34*Basisbedragen!$I$2,2)),ROUND(ROUND(Basisbedragen!$D$27*0.65,4)*Basisbedragen!$I$2,2))/2,2)</f>
        <v>39.049999999999997</v>
      </c>
      <c r="D48" s="388">
        <f>ROUND(MIN(MAX(ROUND(ROUND('Loonschijven_Tranches salariale'!$Q43*0.6,4)*Basisbedragen!$I$2,2),ROUND(Basisbedragen!$D$34*Basisbedragen!$I$2,2)),ROUND(ROUND(Basisbedragen!$D$28*0.6,4)*Basisbedragen!$I$2,2))/2,2)</f>
        <v>39.049999999999997</v>
      </c>
      <c r="E48" s="388">
        <f>ROUND(A_N_B_vol_plein!E48/2,2)</f>
        <v>35.5</v>
      </c>
      <c r="F48" s="56">
        <f>ROUND(A_N_B_vol_plein!F48/2,2)</f>
        <v>0</v>
      </c>
      <c r="G48" s="388">
        <f>ROUND(A_N_B_vol_plein!G48/2,2)</f>
        <v>35.5</v>
      </c>
      <c r="H48" s="56">
        <f>ROUND(A_N_B_vol_plein!H48/2,2)</f>
        <v>0</v>
      </c>
      <c r="I48" s="388">
        <f>ROUND(MIN(MAX(ROUND(ROUND('Loonschijven_Tranches salariale'!$Q43*0.65,4)*Basisbedragen!$I$2,2),ROUND(Basisbedragen!$D$36*Basisbedragen!$I$2,2)),ROUND(ROUND(Basisbedragen!$D$27*0.65,4)*Basisbedragen!$I$2,2))/2,2)</f>
        <v>31.65</v>
      </c>
      <c r="J48" s="388">
        <f>ROUND(MIN(MAX(ROUND(ROUND('Loonschijven_Tranches salariale'!$Q43*0.6,4)*Basisbedragen!$I$2,2),ROUND(Basisbedragen!$D$36*Basisbedragen!$I$2,2)),ROUND(ROUND(Basisbedragen!$D$28*0.6,4)*Basisbedragen!$I$2,2))/2,2)</f>
        <v>31.65</v>
      </c>
      <c r="K48" s="388">
        <f>ROUND(A_N_B_vol_plein!K48/2,2)</f>
        <v>28.77</v>
      </c>
      <c r="L48" s="56">
        <f>ROUND(A_N_B_vol_plein!L48/2,2)</f>
        <v>0</v>
      </c>
      <c r="M48" s="388">
        <f>ROUND(A_N_B_vol_plein!M48/2,2)</f>
        <v>28.77</v>
      </c>
      <c r="N48" s="56">
        <f>ROUND(A_N_B_vol_plein!N48/2,2)</f>
        <v>0</v>
      </c>
      <c r="O48" s="388">
        <f>ROUND(MIN(MAX(ROUND(ROUND('Loonschijven_Tranches salariale'!$Q43*0.65,4)*Basisbedragen!$I$2,2),ROUND(Basisbedragen!$D$38*Basisbedragen!$I$2,2)),ROUND(ROUND(Basisbedragen!$D$27*0.65,4)*Basisbedragen!$I$2,2))/2,2)</f>
        <v>30.46</v>
      </c>
      <c r="P48" s="388">
        <f>ROUND(MIN(MAX(ROUND(ROUND('Loonschijven_Tranches salariale'!$Q43*0.6,4)*Basisbedragen!$I$2,2),ROUND(Basisbedragen!$D$39*Basisbedragen!$I$2,2)),ROUND(ROUND(Basisbedragen!$D$28*0.6,4)*Basisbedragen!$I$2,2))/2,2)</f>
        <v>28.12</v>
      </c>
      <c r="Q48" s="388">
        <f>ROUND(A_N_B_vol_plein!Q48/2,2)</f>
        <v>25.56</v>
      </c>
      <c r="R48" s="56">
        <f>ROUND(A_N_B_vol_plein!R48/2,2)</f>
        <v>0</v>
      </c>
      <c r="S48" s="388">
        <f>ROUND(A_N_B_vol_plein!S48/2,2)</f>
        <v>21.19</v>
      </c>
      <c r="T48" s="388">
        <f>ROUND(A_N_B_vol_plein!T48/2,2)</f>
        <v>14.93</v>
      </c>
    </row>
    <row r="49" spans="1:20" ht="15.75" hidden="1" customHeight="1" outlineLevel="1" thickBot="1">
      <c r="A49" s="47">
        <f t="shared" si="0"/>
        <v>37</v>
      </c>
      <c r="C49" s="388">
        <f>ROUND(MIN(MAX(ROUND(ROUND('Loonschijven_Tranches salariale'!$Q44*0.65,4)*Basisbedragen!$I$2,2),ROUND(Basisbedragen!$D$34*Basisbedragen!$I$2,2)),ROUND(ROUND(Basisbedragen!$D$27*0.65,4)*Basisbedragen!$I$2,2))/2,2)</f>
        <v>39.049999999999997</v>
      </c>
      <c r="D49" s="388">
        <f>ROUND(MIN(MAX(ROUND(ROUND('Loonschijven_Tranches salariale'!$Q44*0.6,4)*Basisbedragen!$I$2,2),ROUND(Basisbedragen!$D$34*Basisbedragen!$I$2,2)),ROUND(ROUND(Basisbedragen!$D$28*0.6,4)*Basisbedragen!$I$2,2))/2,2)</f>
        <v>39.049999999999997</v>
      </c>
      <c r="E49" s="388">
        <f>ROUND(A_N_B_vol_plein!E49/2,2)</f>
        <v>35.5</v>
      </c>
      <c r="F49" s="56">
        <f>ROUND(A_N_B_vol_plein!F49/2,2)</f>
        <v>0</v>
      </c>
      <c r="G49" s="388">
        <f>ROUND(A_N_B_vol_plein!G49/2,2)</f>
        <v>35.5</v>
      </c>
      <c r="H49" s="56">
        <f>ROUND(A_N_B_vol_plein!H49/2,2)</f>
        <v>0</v>
      </c>
      <c r="I49" s="388">
        <f>ROUND(MIN(MAX(ROUND(ROUND('Loonschijven_Tranches salariale'!$Q44*0.65,4)*Basisbedragen!$I$2,2),ROUND(Basisbedragen!$D$36*Basisbedragen!$I$2,2)),ROUND(ROUND(Basisbedragen!$D$27*0.65,4)*Basisbedragen!$I$2,2))/2,2)</f>
        <v>31.65</v>
      </c>
      <c r="J49" s="388">
        <f>ROUND(MIN(MAX(ROUND(ROUND('Loonschijven_Tranches salariale'!$Q44*0.6,4)*Basisbedragen!$I$2,2),ROUND(Basisbedragen!$D$36*Basisbedragen!$I$2,2)),ROUND(ROUND(Basisbedragen!$D$28*0.6,4)*Basisbedragen!$I$2,2))/2,2)</f>
        <v>31.65</v>
      </c>
      <c r="K49" s="388">
        <f>ROUND(A_N_B_vol_plein!K49/2,2)</f>
        <v>28.77</v>
      </c>
      <c r="L49" s="56">
        <f>ROUND(A_N_B_vol_plein!L49/2,2)</f>
        <v>0</v>
      </c>
      <c r="M49" s="388">
        <f>ROUND(A_N_B_vol_plein!M49/2,2)</f>
        <v>28.77</v>
      </c>
      <c r="N49" s="56">
        <f>ROUND(A_N_B_vol_plein!N49/2,2)</f>
        <v>0</v>
      </c>
      <c r="O49" s="388">
        <f>ROUND(MIN(MAX(ROUND(ROUND('Loonschijven_Tranches salariale'!$Q44*0.65,4)*Basisbedragen!$I$2,2),ROUND(Basisbedragen!$D$38*Basisbedragen!$I$2,2)),ROUND(ROUND(Basisbedragen!$D$27*0.65,4)*Basisbedragen!$I$2,2))/2,2)</f>
        <v>30.46</v>
      </c>
      <c r="P49" s="388">
        <f>ROUND(MIN(MAX(ROUND(ROUND('Loonschijven_Tranches salariale'!$Q44*0.6,4)*Basisbedragen!$I$2,2),ROUND(Basisbedragen!$D$39*Basisbedragen!$I$2,2)),ROUND(ROUND(Basisbedragen!$D$28*0.6,4)*Basisbedragen!$I$2,2))/2,2)</f>
        <v>28.12</v>
      </c>
      <c r="Q49" s="388">
        <f>ROUND(A_N_B_vol_plein!Q49/2,2)</f>
        <v>25.56</v>
      </c>
      <c r="R49" s="56">
        <f>ROUND(A_N_B_vol_plein!R49/2,2)</f>
        <v>0</v>
      </c>
      <c r="S49" s="388">
        <f>ROUND(A_N_B_vol_plein!S49/2,2)</f>
        <v>21.19</v>
      </c>
      <c r="T49" s="388">
        <f>ROUND(A_N_B_vol_plein!T49/2,2)</f>
        <v>14.93</v>
      </c>
    </row>
    <row r="50" spans="1:20" ht="15.75" hidden="1" customHeight="1" outlineLevel="1" thickBot="1">
      <c r="A50" s="47">
        <f t="shared" si="0"/>
        <v>38</v>
      </c>
      <c r="C50" s="388">
        <f>ROUND(MIN(MAX(ROUND(ROUND('Loonschijven_Tranches salariale'!$Q45*0.65,4)*Basisbedragen!$I$2,2),ROUND(Basisbedragen!$D$34*Basisbedragen!$I$2,2)),ROUND(ROUND(Basisbedragen!$D$27*0.65,4)*Basisbedragen!$I$2,2))/2,2)</f>
        <v>39.049999999999997</v>
      </c>
      <c r="D50" s="388">
        <f>ROUND(MIN(MAX(ROUND(ROUND('Loonschijven_Tranches salariale'!$Q45*0.6,4)*Basisbedragen!$I$2,2),ROUND(Basisbedragen!$D$34*Basisbedragen!$I$2,2)),ROUND(ROUND(Basisbedragen!$D$28*0.6,4)*Basisbedragen!$I$2,2))/2,2)</f>
        <v>39.049999999999997</v>
      </c>
      <c r="E50" s="388">
        <f>ROUND(A_N_B_vol_plein!E50/2,2)</f>
        <v>35.5</v>
      </c>
      <c r="F50" s="56">
        <f>ROUND(A_N_B_vol_plein!F50/2,2)</f>
        <v>0</v>
      </c>
      <c r="G50" s="388">
        <f>ROUND(A_N_B_vol_plein!G50/2,2)</f>
        <v>35.5</v>
      </c>
      <c r="H50" s="56">
        <f>ROUND(A_N_B_vol_plein!H50/2,2)</f>
        <v>0</v>
      </c>
      <c r="I50" s="388">
        <f>ROUND(MIN(MAX(ROUND(ROUND('Loonschijven_Tranches salariale'!$Q45*0.65,4)*Basisbedragen!$I$2,2),ROUND(Basisbedragen!$D$36*Basisbedragen!$I$2,2)),ROUND(ROUND(Basisbedragen!$D$27*0.65,4)*Basisbedragen!$I$2,2))/2,2)</f>
        <v>31.65</v>
      </c>
      <c r="J50" s="388">
        <f>ROUND(MIN(MAX(ROUND(ROUND('Loonschijven_Tranches salariale'!$Q45*0.6,4)*Basisbedragen!$I$2,2),ROUND(Basisbedragen!$D$36*Basisbedragen!$I$2,2)),ROUND(ROUND(Basisbedragen!$D$28*0.6,4)*Basisbedragen!$I$2,2))/2,2)</f>
        <v>31.65</v>
      </c>
      <c r="K50" s="388">
        <f>ROUND(A_N_B_vol_plein!K50/2,2)</f>
        <v>28.77</v>
      </c>
      <c r="L50" s="56">
        <f>ROUND(A_N_B_vol_plein!L50/2,2)</f>
        <v>0</v>
      </c>
      <c r="M50" s="388">
        <f>ROUND(A_N_B_vol_plein!M50/2,2)</f>
        <v>28.77</v>
      </c>
      <c r="N50" s="56">
        <f>ROUND(A_N_B_vol_plein!N50/2,2)</f>
        <v>0</v>
      </c>
      <c r="O50" s="388">
        <f>ROUND(MIN(MAX(ROUND(ROUND('Loonschijven_Tranches salariale'!$Q45*0.65,4)*Basisbedragen!$I$2,2),ROUND(Basisbedragen!$D$38*Basisbedragen!$I$2,2)),ROUND(ROUND(Basisbedragen!$D$27*0.65,4)*Basisbedragen!$I$2,2))/2,2)</f>
        <v>30.46</v>
      </c>
      <c r="P50" s="388">
        <f>ROUND(MIN(MAX(ROUND(ROUND('Loonschijven_Tranches salariale'!$Q45*0.6,4)*Basisbedragen!$I$2,2),ROUND(Basisbedragen!$D$39*Basisbedragen!$I$2,2)),ROUND(ROUND(Basisbedragen!$D$28*0.6,4)*Basisbedragen!$I$2,2))/2,2)</f>
        <v>28.12</v>
      </c>
      <c r="Q50" s="388">
        <f>ROUND(A_N_B_vol_plein!Q50/2,2)</f>
        <v>25.56</v>
      </c>
      <c r="R50" s="56">
        <f>ROUND(A_N_B_vol_plein!R50/2,2)</f>
        <v>0</v>
      </c>
      <c r="S50" s="388">
        <f>ROUND(A_N_B_vol_plein!S50/2,2)</f>
        <v>21.19</v>
      </c>
      <c r="T50" s="388">
        <f>ROUND(A_N_B_vol_plein!T50/2,2)</f>
        <v>14.93</v>
      </c>
    </row>
    <row r="51" spans="1:20" ht="15.75" hidden="1" customHeight="1" outlineLevel="1" thickBot="1">
      <c r="A51" s="47">
        <f t="shared" si="0"/>
        <v>39</v>
      </c>
      <c r="C51" s="388">
        <f>ROUND(MIN(MAX(ROUND(ROUND('Loonschijven_Tranches salariale'!$Q46*0.65,4)*Basisbedragen!$I$2,2),ROUND(Basisbedragen!$D$34*Basisbedragen!$I$2,2)),ROUND(ROUND(Basisbedragen!$D$27*0.65,4)*Basisbedragen!$I$2,2))/2,2)</f>
        <v>39.049999999999997</v>
      </c>
      <c r="D51" s="388">
        <f>ROUND(MIN(MAX(ROUND(ROUND('Loonschijven_Tranches salariale'!$Q46*0.6,4)*Basisbedragen!$I$2,2),ROUND(Basisbedragen!$D$34*Basisbedragen!$I$2,2)),ROUND(ROUND(Basisbedragen!$D$28*0.6,4)*Basisbedragen!$I$2,2))/2,2)</f>
        <v>39.049999999999997</v>
      </c>
      <c r="E51" s="388">
        <f>ROUND(A_N_B_vol_plein!E51/2,2)</f>
        <v>35.5</v>
      </c>
      <c r="F51" s="56">
        <f>ROUND(A_N_B_vol_plein!F51/2,2)</f>
        <v>0</v>
      </c>
      <c r="G51" s="388">
        <f>ROUND(A_N_B_vol_plein!G51/2,2)</f>
        <v>35.5</v>
      </c>
      <c r="H51" s="56">
        <f>ROUND(A_N_B_vol_plein!H51/2,2)</f>
        <v>0</v>
      </c>
      <c r="I51" s="388">
        <f>ROUND(MIN(MAX(ROUND(ROUND('Loonschijven_Tranches salariale'!$Q46*0.65,4)*Basisbedragen!$I$2,2),ROUND(Basisbedragen!$D$36*Basisbedragen!$I$2,2)),ROUND(ROUND(Basisbedragen!$D$27*0.65,4)*Basisbedragen!$I$2,2))/2,2)</f>
        <v>31.65</v>
      </c>
      <c r="J51" s="388">
        <f>ROUND(MIN(MAX(ROUND(ROUND('Loonschijven_Tranches salariale'!$Q46*0.6,4)*Basisbedragen!$I$2,2),ROUND(Basisbedragen!$D$36*Basisbedragen!$I$2,2)),ROUND(ROUND(Basisbedragen!$D$28*0.6,4)*Basisbedragen!$I$2,2))/2,2)</f>
        <v>31.65</v>
      </c>
      <c r="K51" s="388">
        <f>ROUND(A_N_B_vol_plein!K51/2,2)</f>
        <v>28.77</v>
      </c>
      <c r="L51" s="56">
        <f>ROUND(A_N_B_vol_plein!L51/2,2)</f>
        <v>0</v>
      </c>
      <c r="M51" s="388">
        <f>ROUND(A_N_B_vol_plein!M51/2,2)</f>
        <v>28.77</v>
      </c>
      <c r="N51" s="56">
        <f>ROUND(A_N_B_vol_plein!N51/2,2)</f>
        <v>0</v>
      </c>
      <c r="O51" s="388">
        <f>ROUND(MIN(MAX(ROUND(ROUND('Loonschijven_Tranches salariale'!$Q46*0.65,4)*Basisbedragen!$I$2,2),ROUND(Basisbedragen!$D$38*Basisbedragen!$I$2,2)),ROUND(ROUND(Basisbedragen!$D$27*0.65,4)*Basisbedragen!$I$2,2))/2,2)</f>
        <v>30.46</v>
      </c>
      <c r="P51" s="388">
        <f>ROUND(MIN(MAX(ROUND(ROUND('Loonschijven_Tranches salariale'!$Q46*0.6,4)*Basisbedragen!$I$2,2),ROUND(Basisbedragen!$D$39*Basisbedragen!$I$2,2)),ROUND(ROUND(Basisbedragen!$D$28*0.6,4)*Basisbedragen!$I$2,2))/2,2)</f>
        <v>28.12</v>
      </c>
      <c r="Q51" s="388">
        <f>ROUND(A_N_B_vol_plein!Q51/2,2)</f>
        <v>25.56</v>
      </c>
      <c r="R51" s="56">
        <f>ROUND(A_N_B_vol_plein!R51/2,2)</f>
        <v>0</v>
      </c>
      <c r="S51" s="388">
        <f>ROUND(A_N_B_vol_plein!S51/2,2)</f>
        <v>21.19</v>
      </c>
      <c r="T51" s="388">
        <f>ROUND(A_N_B_vol_plein!T51/2,2)</f>
        <v>14.93</v>
      </c>
    </row>
    <row r="52" spans="1:20" ht="15.75" hidden="1" customHeight="1" outlineLevel="1" thickBot="1">
      <c r="A52" s="47">
        <f t="shared" si="0"/>
        <v>40</v>
      </c>
      <c r="C52" s="388">
        <f>ROUND(MIN(MAX(ROUND(ROUND('Loonschijven_Tranches salariale'!$Q47*0.65,4)*Basisbedragen!$I$2,2),ROUND(Basisbedragen!$D$34*Basisbedragen!$I$2,2)),ROUND(ROUND(Basisbedragen!$D$27*0.65,4)*Basisbedragen!$I$2,2))/2,2)</f>
        <v>39.049999999999997</v>
      </c>
      <c r="D52" s="388">
        <f>ROUND(MIN(MAX(ROUND(ROUND('Loonschijven_Tranches salariale'!$Q47*0.6,4)*Basisbedragen!$I$2,2),ROUND(Basisbedragen!$D$34*Basisbedragen!$I$2,2)),ROUND(ROUND(Basisbedragen!$D$28*0.6,4)*Basisbedragen!$I$2,2))/2,2)</f>
        <v>39.049999999999997</v>
      </c>
      <c r="E52" s="409">
        <f>ROUND(A_N_B_vol_plein!E52/2,2)</f>
        <v>35.5</v>
      </c>
      <c r="F52" s="56">
        <f>ROUND(A_N_B_vol_plein!F52/2,2)</f>
        <v>0</v>
      </c>
      <c r="G52" s="409">
        <f>ROUND(A_N_B_vol_plein!G52/2,2)</f>
        <v>35.5</v>
      </c>
      <c r="H52" s="56">
        <f>ROUND(A_N_B_vol_plein!H52/2,2)</f>
        <v>0</v>
      </c>
      <c r="I52" s="388">
        <f>ROUND(MIN(MAX(ROUND(ROUND('Loonschijven_Tranches salariale'!$Q47*0.65,4)*Basisbedragen!$I$2,2),ROUND(Basisbedragen!$D$36*Basisbedragen!$I$2,2)),ROUND(ROUND(Basisbedragen!$D$27*0.65,4)*Basisbedragen!$I$2,2))/2,2)</f>
        <v>31.65</v>
      </c>
      <c r="J52" s="388">
        <f>ROUND(MIN(MAX(ROUND(ROUND('Loonschijven_Tranches salariale'!$Q47*0.6,4)*Basisbedragen!$I$2,2),ROUND(Basisbedragen!$D$36*Basisbedragen!$I$2,2)),ROUND(ROUND(Basisbedragen!$D$28*0.6,4)*Basisbedragen!$I$2,2))/2,2)</f>
        <v>31.65</v>
      </c>
      <c r="K52" s="409">
        <f>ROUND(A_N_B_vol_plein!K52/2,2)</f>
        <v>28.77</v>
      </c>
      <c r="L52" s="56">
        <f>ROUND(A_N_B_vol_plein!L52/2,2)</f>
        <v>0</v>
      </c>
      <c r="M52" s="409">
        <f>ROUND(A_N_B_vol_plein!M52/2,2)</f>
        <v>28.77</v>
      </c>
      <c r="N52" s="56">
        <f>ROUND(A_N_B_vol_plein!N52/2,2)</f>
        <v>0</v>
      </c>
      <c r="O52" s="388">
        <f>ROUND(MIN(MAX(ROUND(ROUND('Loonschijven_Tranches salariale'!$Q47*0.65,4)*Basisbedragen!$I$2,2),ROUND(Basisbedragen!$D$38*Basisbedragen!$I$2,2)),ROUND(ROUND(Basisbedragen!$D$27*0.65,4)*Basisbedragen!$I$2,2))/2,2)</f>
        <v>30.46</v>
      </c>
      <c r="P52" s="388">
        <f>ROUND(MIN(MAX(ROUND(ROUND('Loonschijven_Tranches salariale'!$Q47*0.6,4)*Basisbedragen!$I$2,2),ROUND(Basisbedragen!$D$39*Basisbedragen!$I$2,2)),ROUND(ROUND(Basisbedragen!$D$28*0.6,4)*Basisbedragen!$I$2,2))/2,2)</f>
        <v>28.12</v>
      </c>
      <c r="Q52" s="409">
        <f>ROUND(A_N_B_vol_plein!Q52/2,2)</f>
        <v>25.56</v>
      </c>
      <c r="R52" s="56">
        <f>ROUND(A_N_B_vol_plein!R52/2,2)</f>
        <v>0</v>
      </c>
      <c r="S52" s="409">
        <f>ROUND(A_N_B_vol_plein!S52/2,2)</f>
        <v>21.19</v>
      </c>
      <c r="T52" s="409">
        <f>ROUND(A_N_B_vol_plein!T52/2,2)</f>
        <v>14.93</v>
      </c>
    </row>
    <row r="53" spans="1:20" ht="15.75" hidden="1" customHeight="1" outlineLevel="1" thickBot="1">
      <c r="A53" s="47">
        <f t="shared" si="0"/>
        <v>41</v>
      </c>
      <c r="C53" s="388">
        <f>ROUND(MIN(MAX(ROUND(ROUND('Loonschijven_Tranches salariale'!$Q48*0.65,4)*Basisbedragen!$I$2,2),ROUND(Basisbedragen!$D$34*Basisbedragen!$I$2,2)),ROUND(ROUND(Basisbedragen!$D$27*0.65,4)*Basisbedragen!$I$2,2))/2,2)</f>
        <v>39.049999999999997</v>
      </c>
      <c r="D53" s="388">
        <f>ROUND(MIN(MAX(ROUND(ROUND('Loonschijven_Tranches salariale'!$Q48*0.6,4)*Basisbedragen!$I$2,2),ROUND(Basisbedragen!$D$34*Basisbedragen!$I$2,2)),ROUND(ROUND(Basisbedragen!$D$28*0.6,4)*Basisbedragen!$I$2,2))/2,2)</f>
        <v>39.049999999999997</v>
      </c>
      <c r="E53" s="388">
        <f>ROUND(A_N_B_vol_plein!E53/2,2)</f>
        <v>35.5</v>
      </c>
      <c r="F53" s="56">
        <f>ROUND(A_N_B_vol_plein!F53/2,2)</f>
        <v>0</v>
      </c>
      <c r="G53" s="388">
        <f>ROUND(A_N_B_vol_plein!G53/2,2)</f>
        <v>35.5</v>
      </c>
      <c r="H53" s="56">
        <f>ROUND(A_N_B_vol_plein!H53/2,2)</f>
        <v>0</v>
      </c>
      <c r="I53" s="388">
        <f>ROUND(MIN(MAX(ROUND(ROUND('Loonschijven_Tranches salariale'!$Q48*0.65,4)*Basisbedragen!$I$2,2),ROUND(Basisbedragen!$D$36*Basisbedragen!$I$2,2)),ROUND(ROUND(Basisbedragen!$D$27*0.65,4)*Basisbedragen!$I$2,2))/2,2)</f>
        <v>31.65</v>
      </c>
      <c r="J53" s="388">
        <f>ROUND(MIN(MAX(ROUND(ROUND('Loonschijven_Tranches salariale'!$Q48*0.6,4)*Basisbedragen!$I$2,2),ROUND(Basisbedragen!$D$36*Basisbedragen!$I$2,2)),ROUND(ROUND(Basisbedragen!$D$28*0.6,4)*Basisbedragen!$I$2,2))/2,2)</f>
        <v>31.65</v>
      </c>
      <c r="K53" s="388">
        <f>ROUND(A_N_B_vol_plein!K53/2,2)</f>
        <v>28.77</v>
      </c>
      <c r="L53" s="56">
        <f>ROUND(A_N_B_vol_plein!L53/2,2)</f>
        <v>0</v>
      </c>
      <c r="M53" s="388">
        <f>ROUND(A_N_B_vol_plein!M53/2,2)</f>
        <v>28.77</v>
      </c>
      <c r="N53" s="56">
        <f>ROUND(A_N_B_vol_plein!N53/2,2)</f>
        <v>0</v>
      </c>
      <c r="O53" s="388">
        <f>ROUND(MIN(MAX(ROUND(ROUND('Loonschijven_Tranches salariale'!$Q48*0.65,4)*Basisbedragen!$I$2,2),ROUND(Basisbedragen!$D$38*Basisbedragen!$I$2,2)),ROUND(ROUND(Basisbedragen!$D$27*0.65,4)*Basisbedragen!$I$2,2))/2,2)</f>
        <v>30.46</v>
      </c>
      <c r="P53" s="388">
        <f>ROUND(MIN(MAX(ROUND(ROUND('Loonschijven_Tranches salariale'!$Q48*0.6,4)*Basisbedragen!$I$2,2),ROUND(Basisbedragen!$D$39*Basisbedragen!$I$2,2)),ROUND(ROUND(Basisbedragen!$D$28*0.6,4)*Basisbedragen!$I$2,2))/2,2)</f>
        <v>28.12</v>
      </c>
      <c r="Q53" s="388">
        <f>ROUND(A_N_B_vol_plein!Q53/2,2)</f>
        <v>25.56</v>
      </c>
      <c r="R53" s="56">
        <f>ROUND(A_N_B_vol_plein!R53/2,2)</f>
        <v>0</v>
      </c>
      <c r="S53" s="388">
        <f>ROUND(A_N_B_vol_plein!S53/2,2)</f>
        <v>21.19</v>
      </c>
      <c r="T53" s="388">
        <f>ROUND(A_N_B_vol_plein!T53/2,2)</f>
        <v>14.93</v>
      </c>
    </row>
    <row r="54" spans="1:20" ht="15.75" customHeight="1" collapsed="1" thickBot="1">
      <c r="A54" s="47">
        <f t="shared" si="0"/>
        <v>42</v>
      </c>
      <c r="C54" s="388">
        <f>ROUND(MIN(MAX(ROUND(ROUND('Loonschijven_Tranches salariale'!$Q49*0.65,4)*Basisbedragen!$I$2,2),ROUND(Basisbedragen!$D$34*Basisbedragen!$I$2,2)),ROUND(ROUND(Basisbedragen!$D$27*0.65,4)*Basisbedragen!$I$2,2))/2,2)</f>
        <v>39.049999999999997</v>
      </c>
      <c r="D54" s="388">
        <f>ROUND(MIN(MAX(ROUND(ROUND('Loonschijven_Tranches salariale'!$Q49*0.6,4)*Basisbedragen!$I$2,2),ROUND(Basisbedragen!$D$34*Basisbedragen!$I$2,2)),ROUND(ROUND(Basisbedragen!$D$28*0.6,4)*Basisbedragen!$I$2,2))/2,2)</f>
        <v>39.049999999999997</v>
      </c>
      <c r="E54" s="388">
        <f>ROUND(A_N_B_vol_plein!E54/2,2)</f>
        <v>35.5</v>
      </c>
      <c r="F54" s="56">
        <f>ROUND(A_N_B_vol_plein!F54/2,2)</f>
        <v>0</v>
      </c>
      <c r="G54" s="388">
        <f>ROUND(A_N_B_vol_plein!G54/2,2)</f>
        <v>35.5</v>
      </c>
      <c r="H54" s="56">
        <f>ROUND(A_N_B_vol_plein!H54/2,2)</f>
        <v>0</v>
      </c>
      <c r="I54" s="388">
        <f>ROUND(MIN(MAX(ROUND(ROUND('Loonschijven_Tranches salariale'!$Q49*0.65,4)*Basisbedragen!$I$2,2),ROUND(Basisbedragen!$D$36*Basisbedragen!$I$2,2)),ROUND(ROUND(Basisbedragen!$D$27*0.65,4)*Basisbedragen!$I$2,2))/2,2)</f>
        <v>31.65</v>
      </c>
      <c r="J54" s="388">
        <f>ROUND(MIN(MAX(ROUND(ROUND('Loonschijven_Tranches salariale'!$Q49*0.6,4)*Basisbedragen!$I$2,2),ROUND(Basisbedragen!$D$36*Basisbedragen!$I$2,2)),ROUND(ROUND(Basisbedragen!$D$28*0.6,4)*Basisbedragen!$I$2,2))/2,2)</f>
        <v>31.65</v>
      </c>
      <c r="K54" s="388">
        <f>ROUND(A_N_B_vol_plein!K54/2,2)</f>
        <v>28.77</v>
      </c>
      <c r="L54" s="56">
        <f>ROUND(A_N_B_vol_plein!L54/2,2)</f>
        <v>0</v>
      </c>
      <c r="M54" s="388">
        <f>ROUND(A_N_B_vol_plein!M54/2,2)</f>
        <v>28.77</v>
      </c>
      <c r="N54" s="56">
        <f>ROUND(A_N_B_vol_plein!N54/2,2)</f>
        <v>0</v>
      </c>
      <c r="O54" s="388">
        <f>ROUND(MIN(MAX(ROUND(ROUND('Loonschijven_Tranches salariale'!$Q49*0.65,4)*Basisbedragen!$I$2,2),ROUND(Basisbedragen!$D$38*Basisbedragen!$I$2,2)),ROUND(ROUND(Basisbedragen!$D$27*0.65,4)*Basisbedragen!$I$2,2))/2,2)</f>
        <v>30.46</v>
      </c>
      <c r="P54" s="388">
        <f>ROUND(MIN(MAX(ROUND(ROUND('Loonschijven_Tranches salariale'!$Q49*0.6,4)*Basisbedragen!$I$2,2),ROUND(Basisbedragen!$D$39*Basisbedragen!$I$2,2)),ROUND(ROUND(Basisbedragen!$D$28*0.6,4)*Basisbedragen!$I$2,2))/2,2)</f>
        <v>28.12</v>
      </c>
      <c r="Q54" s="388">
        <f>ROUND(A_N_B_vol_plein!Q54/2,2)</f>
        <v>25.56</v>
      </c>
      <c r="R54" s="56">
        <f>ROUND(A_N_B_vol_plein!R54/2,2)</f>
        <v>0</v>
      </c>
      <c r="S54" s="388">
        <f>ROUND(A_N_B_vol_plein!S54/2,2)</f>
        <v>21.19</v>
      </c>
      <c r="T54" s="388">
        <f>ROUND(A_N_B_vol_plein!T54/2,2)</f>
        <v>14.93</v>
      </c>
    </row>
    <row r="55" spans="1:20" ht="15.75" customHeight="1" thickBot="1">
      <c r="A55" s="47">
        <f t="shared" si="0"/>
        <v>43</v>
      </c>
      <c r="C55" s="388">
        <f>ROUND(MIN(MAX(ROUND(ROUND('Loonschijven_Tranches salariale'!$Q50*0.65,4)*Basisbedragen!$I$2,2),ROUND(Basisbedragen!$D$34*Basisbedragen!$I$2,2)),ROUND(ROUND(Basisbedragen!$D$27*0.65,4)*Basisbedragen!$I$2,2))/2,2)</f>
        <v>39.049999999999997</v>
      </c>
      <c r="D55" s="388">
        <f>ROUND(MIN(MAX(ROUND(ROUND('Loonschijven_Tranches salariale'!$Q50*0.6,4)*Basisbedragen!$I$2,2),ROUND(Basisbedragen!$D$34*Basisbedragen!$I$2,2)),ROUND(ROUND(Basisbedragen!$D$28*0.6,4)*Basisbedragen!$I$2,2))/2,2)</f>
        <v>39.049999999999997</v>
      </c>
      <c r="E55" s="388">
        <f>ROUND(A_N_B_vol_plein!E55/2,2)</f>
        <v>35.5</v>
      </c>
      <c r="F55" s="56">
        <f>ROUND(A_N_B_vol_plein!F55/2,2)</f>
        <v>0</v>
      </c>
      <c r="G55" s="388">
        <f>ROUND(A_N_B_vol_plein!G55/2,2)</f>
        <v>35.5</v>
      </c>
      <c r="H55" s="56">
        <f>ROUND(A_N_B_vol_plein!H55/2,2)</f>
        <v>0</v>
      </c>
      <c r="I55" s="388">
        <f>ROUND(MIN(MAX(ROUND(ROUND('Loonschijven_Tranches salariale'!$Q50*0.65,4)*Basisbedragen!$I$2,2),ROUND(Basisbedragen!$D$36*Basisbedragen!$I$2,2)),ROUND(ROUND(Basisbedragen!$D$27*0.65,4)*Basisbedragen!$I$2,2))/2,2)</f>
        <v>31.65</v>
      </c>
      <c r="J55" s="388">
        <f>ROUND(MIN(MAX(ROUND(ROUND('Loonschijven_Tranches salariale'!$Q50*0.6,4)*Basisbedragen!$I$2,2),ROUND(Basisbedragen!$D$36*Basisbedragen!$I$2,2)),ROUND(ROUND(Basisbedragen!$D$28*0.6,4)*Basisbedragen!$I$2,2))/2,2)</f>
        <v>31.65</v>
      </c>
      <c r="K55" s="388">
        <f>ROUND(A_N_B_vol_plein!K55/2,2)</f>
        <v>28.77</v>
      </c>
      <c r="L55" s="56">
        <f>ROUND(A_N_B_vol_plein!L55/2,2)</f>
        <v>0</v>
      </c>
      <c r="M55" s="388">
        <f>ROUND(A_N_B_vol_plein!M55/2,2)</f>
        <v>28.77</v>
      </c>
      <c r="N55" s="56">
        <f>ROUND(A_N_B_vol_plein!N55/2,2)</f>
        <v>0</v>
      </c>
      <c r="O55" s="388">
        <f>ROUND(MIN(MAX(ROUND(ROUND('Loonschijven_Tranches salariale'!$Q50*0.65,4)*Basisbedragen!$I$2,2),ROUND(Basisbedragen!$D$38*Basisbedragen!$I$2,2)),ROUND(ROUND(Basisbedragen!$D$27*0.65,4)*Basisbedragen!$I$2,2))/2,2)</f>
        <v>30.46</v>
      </c>
      <c r="P55" s="388">
        <f>ROUND(MIN(MAX(ROUND(ROUND('Loonschijven_Tranches salariale'!$Q50*0.6,4)*Basisbedragen!$I$2,2),ROUND(Basisbedragen!$D$39*Basisbedragen!$I$2,2)),ROUND(ROUND(Basisbedragen!$D$28*0.6,4)*Basisbedragen!$I$2,2))/2,2)</f>
        <v>28.12</v>
      </c>
      <c r="Q55" s="388">
        <f>ROUND(A_N_B_vol_plein!Q55/2,2)</f>
        <v>25.8</v>
      </c>
      <c r="R55" s="56">
        <f>ROUND(A_N_B_vol_plein!R55/2,2)</f>
        <v>0</v>
      </c>
      <c r="S55" s="388">
        <f>ROUND(A_N_B_vol_plein!S55/2,2)</f>
        <v>21.19</v>
      </c>
      <c r="T55" s="388">
        <f>ROUND(A_N_B_vol_plein!T55/2,2)</f>
        <v>14.93</v>
      </c>
    </row>
    <row r="56" spans="1:20" ht="15.75" customHeight="1" thickBot="1">
      <c r="A56" s="47">
        <f t="shared" si="0"/>
        <v>44</v>
      </c>
      <c r="C56" s="388">
        <f>ROUND(MIN(MAX(ROUND(ROUND('Loonschijven_Tranches salariale'!$Q51*0.65,4)*Basisbedragen!$I$2,2),ROUND(Basisbedragen!$D$34*Basisbedragen!$I$2,2)),ROUND(ROUND(Basisbedragen!$D$27*0.65,4)*Basisbedragen!$I$2,2))/2,2)</f>
        <v>39.049999999999997</v>
      </c>
      <c r="D56" s="388">
        <f>ROUND(MIN(MAX(ROUND(ROUND('Loonschijven_Tranches salariale'!$Q51*0.6,4)*Basisbedragen!$I$2,2),ROUND(Basisbedragen!$D$34*Basisbedragen!$I$2,2)),ROUND(ROUND(Basisbedragen!$D$28*0.6,4)*Basisbedragen!$I$2,2))/2,2)</f>
        <v>39.049999999999997</v>
      </c>
      <c r="E56" s="388">
        <f>ROUND(A_N_B_vol_plein!E56/2,2)</f>
        <v>35.5</v>
      </c>
      <c r="F56" s="56">
        <f>ROUND(A_N_B_vol_plein!F56/2,2)</f>
        <v>0</v>
      </c>
      <c r="G56" s="388">
        <f>ROUND(A_N_B_vol_plein!G56/2,2)</f>
        <v>35.5</v>
      </c>
      <c r="H56" s="56">
        <f>ROUND(A_N_B_vol_plein!H56/2,2)</f>
        <v>0</v>
      </c>
      <c r="I56" s="388">
        <f>ROUND(MIN(MAX(ROUND(ROUND('Loonschijven_Tranches salariale'!$Q51*0.65,4)*Basisbedragen!$I$2,2),ROUND(Basisbedragen!$D$36*Basisbedragen!$I$2,2)),ROUND(ROUND(Basisbedragen!$D$27*0.65,4)*Basisbedragen!$I$2,2))/2,2)</f>
        <v>31.65</v>
      </c>
      <c r="J56" s="388">
        <f>ROUND(MIN(MAX(ROUND(ROUND('Loonschijven_Tranches salariale'!$Q51*0.6,4)*Basisbedragen!$I$2,2),ROUND(Basisbedragen!$D$36*Basisbedragen!$I$2,2)),ROUND(ROUND(Basisbedragen!$D$28*0.6,4)*Basisbedragen!$I$2,2))/2,2)</f>
        <v>31.65</v>
      </c>
      <c r="K56" s="388">
        <f>ROUND(A_N_B_vol_plein!K56/2,2)</f>
        <v>28.77</v>
      </c>
      <c r="L56" s="56">
        <f>ROUND(A_N_B_vol_plein!L56/2,2)</f>
        <v>0</v>
      </c>
      <c r="M56" s="388">
        <f>ROUND(A_N_B_vol_plein!M56/2,2)</f>
        <v>28.77</v>
      </c>
      <c r="N56" s="56">
        <f>ROUND(A_N_B_vol_plein!N56/2,2)</f>
        <v>0</v>
      </c>
      <c r="O56" s="388">
        <f>ROUND(MIN(MAX(ROUND(ROUND('Loonschijven_Tranches salariale'!$Q51*0.65,4)*Basisbedragen!$I$2,2),ROUND(Basisbedragen!$D$38*Basisbedragen!$I$2,2)),ROUND(ROUND(Basisbedragen!$D$27*0.65,4)*Basisbedragen!$I$2,2))/2,2)</f>
        <v>30.46</v>
      </c>
      <c r="P56" s="388">
        <f>ROUND(MIN(MAX(ROUND(ROUND('Loonschijven_Tranches salariale'!$Q51*0.6,4)*Basisbedragen!$I$2,2),ROUND(Basisbedragen!$D$39*Basisbedragen!$I$2,2)),ROUND(ROUND(Basisbedragen!$D$28*0.6,4)*Basisbedragen!$I$2,2))/2,2)</f>
        <v>28.12</v>
      </c>
      <c r="Q56" s="388">
        <f>ROUND(A_N_B_vol_plein!Q56/2,2)</f>
        <v>26.27</v>
      </c>
      <c r="R56" s="56">
        <f>ROUND(A_N_B_vol_plein!R56/2,2)</f>
        <v>0</v>
      </c>
      <c r="S56" s="388">
        <f>ROUND(A_N_B_vol_plein!S56/2,2)</f>
        <v>21.19</v>
      </c>
      <c r="T56" s="388">
        <f>ROUND(A_N_B_vol_plein!T56/2,2)</f>
        <v>14.93</v>
      </c>
    </row>
    <row r="57" spans="1:20" ht="15.75" customHeight="1" thickBot="1">
      <c r="A57" s="47">
        <f t="shared" si="0"/>
        <v>45</v>
      </c>
      <c r="C57" s="388">
        <f>ROUND(MIN(MAX(ROUND(ROUND('Loonschijven_Tranches salariale'!$Q52*0.65,4)*Basisbedragen!$I$2,2),ROUND(Basisbedragen!$D$34*Basisbedragen!$I$2,2)),ROUND(ROUND(Basisbedragen!$D$27*0.65,4)*Basisbedragen!$I$2,2))/2,2)</f>
        <v>39.049999999999997</v>
      </c>
      <c r="D57" s="388">
        <f>ROUND(MIN(MAX(ROUND(ROUND('Loonschijven_Tranches salariale'!$Q52*0.6,4)*Basisbedragen!$I$2,2),ROUND(Basisbedragen!$D$34*Basisbedragen!$I$2,2)),ROUND(ROUND(Basisbedragen!$D$28*0.6,4)*Basisbedragen!$I$2,2))/2,2)</f>
        <v>39.049999999999997</v>
      </c>
      <c r="E57" s="409">
        <f>ROUND(A_N_B_vol_plein!E57/2,2)</f>
        <v>35.5</v>
      </c>
      <c r="F57" s="56">
        <f>ROUND(A_N_B_vol_plein!F57/2,2)</f>
        <v>0</v>
      </c>
      <c r="G57" s="409">
        <f>ROUND(A_N_B_vol_plein!G57/2,2)</f>
        <v>35.5</v>
      </c>
      <c r="H57" s="56">
        <f>ROUND(A_N_B_vol_plein!H57/2,2)</f>
        <v>0</v>
      </c>
      <c r="I57" s="388">
        <f>ROUND(MIN(MAX(ROUND(ROUND('Loonschijven_Tranches salariale'!$Q52*0.65,4)*Basisbedragen!$I$2,2),ROUND(Basisbedragen!$D$36*Basisbedragen!$I$2,2)),ROUND(ROUND(Basisbedragen!$D$27*0.65,4)*Basisbedragen!$I$2,2))/2,2)</f>
        <v>31.65</v>
      </c>
      <c r="J57" s="388">
        <f>ROUND(MIN(MAX(ROUND(ROUND('Loonschijven_Tranches salariale'!$Q52*0.6,4)*Basisbedragen!$I$2,2),ROUND(Basisbedragen!$D$36*Basisbedragen!$I$2,2)),ROUND(ROUND(Basisbedragen!$D$28*0.6,4)*Basisbedragen!$I$2,2))/2,2)</f>
        <v>31.65</v>
      </c>
      <c r="K57" s="409">
        <f>ROUND(A_N_B_vol_plein!K57/2,2)</f>
        <v>28.77</v>
      </c>
      <c r="L57" s="56">
        <f>ROUND(A_N_B_vol_plein!L57/2,2)</f>
        <v>0</v>
      </c>
      <c r="M57" s="409">
        <f>ROUND(A_N_B_vol_plein!M57/2,2)</f>
        <v>28.77</v>
      </c>
      <c r="N57" s="56">
        <f>ROUND(A_N_B_vol_plein!N57/2,2)</f>
        <v>0</v>
      </c>
      <c r="O57" s="388">
        <f>ROUND(MIN(MAX(ROUND(ROUND('Loonschijven_Tranches salariale'!$Q52*0.65,4)*Basisbedragen!$I$2,2),ROUND(Basisbedragen!$D$38*Basisbedragen!$I$2,2)),ROUND(ROUND(Basisbedragen!$D$27*0.65,4)*Basisbedragen!$I$2,2))/2,2)</f>
        <v>30.46</v>
      </c>
      <c r="P57" s="388">
        <f>ROUND(MIN(MAX(ROUND(ROUND('Loonschijven_Tranches salariale'!$Q52*0.6,4)*Basisbedragen!$I$2,2),ROUND(Basisbedragen!$D$39*Basisbedragen!$I$2,2)),ROUND(ROUND(Basisbedragen!$D$28*0.6,4)*Basisbedragen!$I$2,2))/2,2)</f>
        <v>28.12</v>
      </c>
      <c r="Q57" s="409">
        <f>ROUND(A_N_B_vol_plein!Q57/2,2)</f>
        <v>26.74</v>
      </c>
      <c r="R57" s="56">
        <f>ROUND(A_N_B_vol_plein!R57/2,2)</f>
        <v>0</v>
      </c>
      <c r="S57" s="409">
        <f>ROUND(A_N_B_vol_plein!S57/2,2)</f>
        <v>21.19</v>
      </c>
      <c r="T57" s="409">
        <f>ROUND(A_N_B_vol_plein!T57/2,2)</f>
        <v>14.93</v>
      </c>
    </row>
    <row r="58" spans="1:20" ht="15" thickBot="1">
      <c r="A58" s="47">
        <f t="shared" si="0"/>
        <v>46</v>
      </c>
      <c r="C58" s="388">
        <f>ROUND(MIN(MAX(ROUND(ROUND('Loonschijven_Tranches salariale'!$Q53*0.65,4)*Basisbedragen!$I$2,2),ROUND(Basisbedragen!$D$34*Basisbedragen!$I$2,2)),ROUND(ROUND(Basisbedragen!$D$27*0.65,4)*Basisbedragen!$I$2,2))/2,2)</f>
        <v>39.049999999999997</v>
      </c>
      <c r="D58" s="388">
        <f>ROUND(MIN(MAX(ROUND(ROUND('Loonschijven_Tranches salariale'!$Q53*0.6,4)*Basisbedragen!$I$2,2),ROUND(Basisbedragen!$D$34*Basisbedragen!$I$2,2)),ROUND(ROUND(Basisbedragen!$D$28*0.6,4)*Basisbedragen!$I$2,2))/2,2)</f>
        <v>39.049999999999997</v>
      </c>
      <c r="E58" s="388">
        <f>ROUND(A_N_B_vol_plein!E58/2,2)</f>
        <v>35.5</v>
      </c>
      <c r="F58" s="56">
        <f>ROUND(A_N_B_vol_plein!F58/2,2)</f>
        <v>0</v>
      </c>
      <c r="G58" s="388">
        <f>ROUND(A_N_B_vol_plein!G58/2,2)</f>
        <v>35.5</v>
      </c>
      <c r="H58" s="56">
        <f>ROUND(A_N_B_vol_plein!H58/2,2)</f>
        <v>0</v>
      </c>
      <c r="I58" s="388">
        <f>ROUND(MIN(MAX(ROUND(ROUND('Loonschijven_Tranches salariale'!$Q53*0.65,4)*Basisbedragen!$I$2,2),ROUND(Basisbedragen!$D$36*Basisbedragen!$I$2,2)),ROUND(ROUND(Basisbedragen!$D$27*0.65,4)*Basisbedragen!$I$2,2))/2,2)</f>
        <v>31.65</v>
      </c>
      <c r="J58" s="388">
        <f>ROUND(MIN(MAX(ROUND(ROUND('Loonschijven_Tranches salariale'!$Q53*0.6,4)*Basisbedragen!$I$2,2),ROUND(Basisbedragen!$D$36*Basisbedragen!$I$2,2)),ROUND(ROUND(Basisbedragen!$D$28*0.6,4)*Basisbedragen!$I$2,2))/2,2)</f>
        <v>31.65</v>
      </c>
      <c r="K58" s="388">
        <f>ROUND(A_N_B_vol_plein!K58/2,2)</f>
        <v>28.77</v>
      </c>
      <c r="L58" s="56">
        <f>ROUND(A_N_B_vol_plein!L58/2,2)</f>
        <v>0</v>
      </c>
      <c r="M58" s="388">
        <f>ROUND(A_N_B_vol_plein!M58/2,2)</f>
        <v>28.77</v>
      </c>
      <c r="N58" s="56">
        <f>ROUND(A_N_B_vol_plein!N58/2,2)</f>
        <v>0</v>
      </c>
      <c r="O58" s="388">
        <f>ROUND(MIN(MAX(ROUND(ROUND('Loonschijven_Tranches salariale'!$Q53*0.65,4)*Basisbedragen!$I$2,2),ROUND(Basisbedragen!$D$38*Basisbedragen!$I$2,2)),ROUND(ROUND(Basisbedragen!$D$27*0.65,4)*Basisbedragen!$I$2,2))/2,2)</f>
        <v>30.46</v>
      </c>
      <c r="P58" s="388">
        <f>ROUND(MIN(MAX(ROUND(ROUND('Loonschijven_Tranches salariale'!$Q53*0.6,4)*Basisbedragen!$I$2,2),ROUND(Basisbedragen!$D$39*Basisbedragen!$I$2,2)),ROUND(ROUND(Basisbedragen!$D$28*0.6,4)*Basisbedragen!$I$2,2))/2,2)</f>
        <v>28.12</v>
      </c>
      <c r="Q58" s="388">
        <f>ROUND(A_N_B_vol_plein!Q58/2,2)</f>
        <v>27.21</v>
      </c>
      <c r="R58" s="56">
        <f>ROUND(A_N_B_vol_plein!R58/2,2)</f>
        <v>0</v>
      </c>
      <c r="S58" s="388">
        <f>ROUND(A_N_B_vol_plein!S58/2,2)</f>
        <v>21.19</v>
      </c>
      <c r="T58" s="388">
        <f>ROUND(A_N_B_vol_plein!T58/2,2)</f>
        <v>14.93</v>
      </c>
    </row>
    <row r="59" spans="1:20" ht="15" thickBot="1">
      <c r="A59" s="47">
        <f t="shared" si="0"/>
        <v>47</v>
      </c>
      <c r="C59" s="388">
        <f>ROUND(MIN(MAX(ROUND(ROUND('Loonschijven_Tranches salariale'!$Q54*0.65,4)*Basisbedragen!$I$2,2),ROUND(Basisbedragen!$D$34*Basisbedragen!$I$2,2)),ROUND(ROUND(Basisbedragen!$D$27*0.65,4)*Basisbedragen!$I$2,2))/2,2)</f>
        <v>39.049999999999997</v>
      </c>
      <c r="D59" s="388">
        <f>ROUND(MIN(MAX(ROUND(ROUND('Loonschijven_Tranches salariale'!$Q54*0.6,4)*Basisbedragen!$I$2,2),ROUND(Basisbedragen!$D$34*Basisbedragen!$I$2,2)),ROUND(ROUND(Basisbedragen!$D$28*0.6,4)*Basisbedragen!$I$2,2))/2,2)</f>
        <v>39.049999999999997</v>
      </c>
      <c r="E59" s="388">
        <f>ROUND(A_N_B_vol_plein!E59/2,2)</f>
        <v>35.5</v>
      </c>
      <c r="F59" s="56">
        <f>ROUND(A_N_B_vol_plein!F59/2,2)</f>
        <v>0</v>
      </c>
      <c r="G59" s="388">
        <f>ROUND(A_N_B_vol_plein!G59/2,2)</f>
        <v>35.5</v>
      </c>
      <c r="H59" s="56">
        <f>ROUND(A_N_B_vol_plein!H59/2,2)</f>
        <v>0</v>
      </c>
      <c r="I59" s="388">
        <f>ROUND(MIN(MAX(ROUND(ROUND('Loonschijven_Tranches salariale'!$Q54*0.65,4)*Basisbedragen!$I$2,2),ROUND(Basisbedragen!$D$36*Basisbedragen!$I$2,2)),ROUND(ROUND(Basisbedragen!$D$27*0.65,4)*Basisbedragen!$I$2,2))/2,2)</f>
        <v>31.65</v>
      </c>
      <c r="J59" s="388">
        <f>ROUND(MIN(MAX(ROUND(ROUND('Loonschijven_Tranches salariale'!$Q54*0.6,4)*Basisbedragen!$I$2,2),ROUND(Basisbedragen!$D$36*Basisbedragen!$I$2,2)),ROUND(ROUND(Basisbedragen!$D$28*0.6,4)*Basisbedragen!$I$2,2))/2,2)</f>
        <v>31.65</v>
      </c>
      <c r="K59" s="388">
        <f>ROUND(A_N_B_vol_plein!K59/2,2)</f>
        <v>28.77</v>
      </c>
      <c r="L59" s="56">
        <f>ROUND(A_N_B_vol_plein!L59/2,2)</f>
        <v>0</v>
      </c>
      <c r="M59" s="388">
        <f>ROUND(A_N_B_vol_plein!M59/2,2)</f>
        <v>28.77</v>
      </c>
      <c r="N59" s="56">
        <f>ROUND(A_N_B_vol_plein!N59/2,2)</f>
        <v>0</v>
      </c>
      <c r="O59" s="388">
        <f>ROUND(MIN(MAX(ROUND(ROUND('Loonschijven_Tranches salariale'!$Q54*0.65,4)*Basisbedragen!$I$2,2),ROUND(Basisbedragen!$D$38*Basisbedragen!$I$2,2)),ROUND(ROUND(Basisbedragen!$D$27*0.65,4)*Basisbedragen!$I$2,2))/2,2)</f>
        <v>30.46</v>
      </c>
      <c r="P59" s="388">
        <f>ROUND(MIN(MAX(ROUND(ROUND('Loonschijven_Tranches salariale'!$Q54*0.6,4)*Basisbedragen!$I$2,2),ROUND(Basisbedragen!$D$39*Basisbedragen!$I$2,2)),ROUND(ROUND(Basisbedragen!$D$28*0.6,4)*Basisbedragen!$I$2,2))/2,2)</f>
        <v>28.12</v>
      </c>
      <c r="Q59" s="388">
        <f>ROUND(A_N_B_vol_plein!Q59/2,2)</f>
        <v>27.68</v>
      </c>
      <c r="R59" s="56">
        <f>ROUND(A_N_B_vol_plein!R59/2,2)</f>
        <v>0</v>
      </c>
      <c r="S59" s="388">
        <f>ROUND(A_N_B_vol_plein!S59/2,2)</f>
        <v>21.19</v>
      </c>
      <c r="T59" s="388">
        <f>ROUND(A_N_B_vol_plein!T59/2,2)</f>
        <v>14.93</v>
      </c>
    </row>
    <row r="60" spans="1:20" ht="15" thickBot="1">
      <c r="A60" s="47">
        <f t="shared" si="0"/>
        <v>48</v>
      </c>
      <c r="C60" s="388">
        <f>ROUND(MIN(MAX(ROUND(ROUND('Loonschijven_Tranches salariale'!$Q55*0.65,4)*Basisbedragen!$I$2,2),ROUND(Basisbedragen!$D$34*Basisbedragen!$I$2,2)),ROUND(ROUND(Basisbedragen!$D$27*0.65,4)*Basisbedragen!$I$2,2))/2,2)</f>
        <v>39.049999999999997</v>
      </c>
      <c r="D60" s="388">
        <f>ROUND(MIN(MAX(ROUND(ROUND('Loonschijven_Tranches salariale'!$Q55*0.6,4)*Basisbedragen!$I$2,2),ROUND(Basisbedragen!$D$34*Basisbedragen!$I$2,2)),ROUND(ROUND(Basisbedragen!$D$28*0.6,4)*Basisbedragen!$I$2,2))/2,2)</f>
        <v>39.049999999999997</v>
      </c>
      <c r="E60" s="388">
        <f>ROUND(A_N_B_vol_plein!E60/2,2)</f>
        <v>35.5</v>
      </c>
      <c r="F60" s="56">
        <f>ROUND(A_N_B_vol_plein!F60/2,2)</f>
        <v>0</v>
      </c>
      <c r="G60" s="388">
        <f>ROUND(A_N_B_vol_plein!G60/2,2)</f>
        <v>35.5</v>
      </c>
      <c r="H60" s="56">
        <f>ROUND(A_N_B_vol_plein!H60/2,2)</f>
        <v>0</v>
      </c>
      <c r="I60" s="388">
        <f>ROUND(MIN(MAX(ROUND(ROUND('Loonschijven_Tranches salariale'!$Q55*0.65,4)*Basisbedragen!$I$2,2),ROUND(Basisbedragen!$D$36*Basisbedragen!$I$2,2)),ROUND(ROUND(Basisbedragen!$D$27*0.65,4)*Basisbedragen!$I$2,2))/2,2)</f>
        <v>31.65</v>
      </c>
      <c r="J60" s="388">
        <f>ROUND(MIN(MAX(ROUND(ROUND('Loonschijven_Tranches salariale'!$Q55*0.6,4)*Basisbedragen!$I$2,2),ROUND(Basisbedragen!$D$36*Basisbedragen!$I$2,2)),ROUND(ROUND(Basisbedragen!$D$28*0.6,4)*Basisbedragen!$I$2,2))/2,2)</f>
        <v>31.65</v>
      </c>
      <c r="K60" s="388">
        <f>ROUND(A_N_B_vol_plein!K60/2,2)</f>
        <v>28.77</v>
      </c>
      <c r="L60" s="56">
        <f>ROUND(A_N_B_vol_plein!L60/2,2)</f>
        <v>0</v>
      </c>
      <c r="M60" s="388">
        <f>ROUND(A_N_B_vol_plein!M60/2,2)</f>
        <v>28.77</v>
      </c>
      <c r="N60" s="56">
        <f>ROUND(A_N_B_vol_plein!N60/2,2)</f>
        <v>0</v>
      </c>
      <c r="O60" s="388">
        <f>ROUND(MIN(MAX(ROUND(ROUND('Loonschijven_Tranches salariale'!$Q55*0.65,4)*Basisbedragen!$I$2,2),ROUND(Basisbedragen!$D$38*Basisbedragen!$I$2,2)),ROUND(ROUND(Basisbedragen!$D$27*0.65,4)*Basisbedragen!$I$2,2))/2,2)</f>
        <v>30.49</v>
      </c>
      <c r="P60" s="388">
        <f>ROUND(MIN(MAX(ROUND(ROUND('Loonschijven_Tranches salariale'!$Q55*0.6,4)*Basisbedragen!$I$2,2),ROUND(Basisbedragen!$D$39*Basisbedragen!$I$2,2)),ROUND(ROUND(Basisbedragen!$D$28*0.6,4)*Basisbedragen!$I$2,2))/2,2)</f>
        <v>28.15</v>
      </c>
      <c r="Q60" s="388">
        <f>ROUND(A_N_B_vol_plein!Q60/2,2)</f>
        <v>28.15</v>
      </c>
      <c r="R60" s="56">
        <f>ROUND(A_N_B_vol_plein!R60/2,2)</f>
        <v>0</v>
      </c>
      <c r="S60" s="388">
        <f>ROUND(A_N_B_vol_plein!S60/2,2)</f>
        <v>21.19</v>
      </c>
      <c r="T60" s="388">
        <f>ROUND(A_N_B_vol_plein!T60/2,2)</f>
        <v>14.93</v>
      </c>
    </row>
    <row r="61" spans="1:20" ht="15" thickBot="1">
      <c r="A61" s="47">
        <f t="shared" si="0"/>
        <v>49</v>
      </c>
      <c r="C61" s="388">
        <f>ROUND(MIN(MAX(ROUND(ROUND('Loonschijven_Tranches salariale'!$Q56*0.65,4)*Basisbedragen!$I$2,2),ROUND(Basisbedragen!$D$34*Basisbedragen!$I$2,2)),ROUND(ROUND(Basisbedragen!$D$27*0.65,4)*Basisbedragen!$I$2,2))/2,2)</f>
        <v>39.049999999999997</v>
      </c>
      <c r="D61" s="388">
        <f>ROUND(MIN(MAX(ROUND(ROUND('Loonschijven_Tranches salariale'!$Q56*0.6,4)*Basisbedragen!$I$2,2),ROUND(Basisbedragen!$D$34*Basisbedragen!$I$2,2)),ROUND(ROUND(Basisbedragen!$D$28*0.6,4)*Basisbedragen!$I$2,2))/2,2)</f>
        <v>39.049999999999997</v>
      </c>
      <c r="E61" s="388">
        <f>ROUND(A_N_B_vol_plein!E61/2,2)</f>
        <v>35.5</v>
      </c>
      <c r="F61" s="56">
        <f>ROUND(A_N_B_vol_plein!F61/2,2)</f>
        <v>0</v>
      </c>
      <c r="G61" s="388">
        <f>ROUND(A_N_B_vol_plein!G61/2,2)</f>
        <v>35.5</v>
      </c>
      <c r="H61" s="56">
        <f>ROUND(A_N_B_vol_plein!H61/2,2)</f>
        <v>0</v>
      </c>
      <c r="I61" s="388">
        <f>ROUND(MIN(MAX(ROUND(ROUND('Loonschijven_Tranches salariale'!$Q56*0.65,4)*Basisbedragen!$I$2,2),ROUND(Basisbedragen!$D$36*Basisbedragen!$I$2,2)),ROUND(ROUND(Basisbedragen!$D$27*0.65,4)*Basisbedragen!$I$2,2))/2,2)</f>
        <v>31.65</v>
      </c>
      <c r="J61" s="388">
        <f>ROUND(MIN(MAX(ROUND(ROUND('Loonschijven_Tranches salariale'!$Q56*0.6,4)*Basisbedragen!$I$2,2),ROUND(Basisbedragen!$D$36*Basisbedragen!$I$2,2)),ROUND(ROUND(Basisbedragen!$D$28*0.6,4)*Basisbedragen!$I$2,2))/2,2)</f>
        <v>31.65</v>
      </c>
      <c r="K61" s="388">
        <f>ROUND(A_N_B_vol_plein!K61/2,2)</f>
        <v>28.77</v>
      </c>
      <c r="L61" s="56">
        <f>ROUND(A_N_B_vol_plein!L61/2,2)</f>
        <v>0</v>
      </c>
      <c r="M61" s="388">
        <f>ROUND(A_N_B_vol_plein!M61/2,2)</f>
        <v>28.77</v>
      </c>
      <c r="N61" s="56">
        <f>ROUND(A_N_B_vol_plein!N61/2,2)</f>
        <v>0</v>
      </c>
      <c r="O61" s="388">
        <f>ROUND(MIN(MAX(ROUND(ROUND('Loonschijven_Tranches salariale'!$Q56*0.65,4)*Basisbedragen!$I$2,2),ROUND(Basisbedragen!$D$38*Basisbedragen!$I$2,2)),ROUND(ROUND(Basisbedragen!$D$27*0.65,4)*Basisbedragen!$I$2,2))/2,2)</f>
        <v>31</v>
      </c>
      <c r="P61" s="388">
        <f>ROUND(MIN(MAX(ROUND(ROUND('Loonschijven_Tranches salariale'!$Q56*0.6,4)*Basisbedragen!$I$2,2),ROUND(Basisbedragen!$D$39*Basisbedragen!$I$2,2)),ROUND(ROUND(Basisbedragen!$D$28*0.6,4)*Basisbedragen!$I$2,2))/2,2)</f>
        <v>28.61</v>
      </c>
      <c r="Q61" s="388">
        <f>ROUND(A_N_B_vol_plein!Q61/2,2)</f>
        <v>28.61</v>
      </c>
      <c r="R61" s="56">
        <f>ROUND(A_N_B_vol_plein!R61/2,2)</f>
        <v>0</v>
      </c>
      <c r="S61" s="388">
        <f>ROUND(A_N_B_vol_plein!S61/2,2)</f>
        <v>21.19</v>
      </c>
      <c r="T61" s="388">
        <f>ROUND(A_N_B_vol_plein!T61/2,2)</f>
        <v>14.93</v>
      </c>
    </row>
    <row r="62" spans="1:20" ht="15" thickBot="1">
      <c r="A62" s="47">
        <f t="shared" si="0"/>
        <v>50</v>
      </c>
      <c r="C62" s="388">
        <f>ROUND(MIN(MAX(ROUND(ROUND('Loonschijven_Tranches salariale'!$Q57*0.65,4)*Basisbedragen!$I$2,2),ROUND(Basisbedragen!$D$34*Basisbedragen!$I$2,2)),ROUND(ROUND(Basisbedragen!$D$27*0.65,4)*Basisbedragen!$I$2,2))/2,2)</f>
        <v>39.049999999999997</v>
      </c>
      <c r="D62" s="388">
        <f>ROUND(MIN(MAX(ROUND(ROUND('Loonschijven_Tranches salariale'!$Q57*0.6,4)*Basisbedragen!$I$2,2),ROUND(Basisbedragen!$D$34*Basisbedragen!$I$2,2)),ROUND(ROUND(Basisbedragen!$D$28*0.6,4)*Basisbedragen!$I$2,2))/2,2)</f>
        <v>39.049999999999997</v>
      </c>
      <c r="E62" s="409">
        <f>ROUND(A_N_B_vol_plein!E62/2,2)</f>
        <v>35.5</v>
      </c>
      <c r="F62" s="56">
        <f>ROUND(A_N_B_vol_plein!F62/2,2)</f>
        <v>0</v>
      </c>
      <c r="G62" s="409">
        <f>ROUND(A_N_B_vol_plein!G62/2,2)</f>
        <v>35.5</v>
      </c>
      <c r="H62" s="56">
        <f>ROUND(A_N_B_vol_plein!H62/2,2)</f>
        <v>0</v>
      </c>
      <c r="I62" s="388">
        <f>ROUND(MIN(MAX(ROUND(ROUND('Loonschijven_Tranches salariale'!$Q57*0.65,4)*Basisbedragen!$I$2,2),ROUND(Basisbedragen!$D$36*Basisbedragen!$I$2,2)),ROUND(ROUND(Basisbedragen!$D$27*0.65,4)*Basisbedragen!$I$2,2))/2,2)</f>
        <v>31.65</v>
      </c>
      <c r="J62" s="388">
        <f>ROUND(MIN(MAX(ROUND(ROUND('Loonschijven_Tranches salariale'!$Q57*0.6,4)*Basisbedragen!$I$2,2),ROUND(Basisbedragen!$D$36*Basisbedragen!$I$2,2)),ROUND(ROUND(Basisbedragen!$D$28*0.6,4)*Basisbedragen!$I$2,2))/2,2)</f>
        <v>31.65</v>
      </c>
      <c r="K62" s="409">
        <f>ROUND(A_N_B_vol_plein!K62/2,2)</f>
        <v>29.08</v>
      </c>
      <c r="L62" s="56">
        <f>ROUND(A_N_B_vol_plein!L62/2,2)</f>
        <v>0</v>
      </c>
      <c r="M62" s="409">
        <f>ROUND(A_N_B_vol_plein!M62/2,2)</f>
        <v>28.77</v>
      </c>
      <c r="N62" s="56">
        <f>ROUND(A_N_B_vol_plein!N62/2,2)</f>
        <v>0</v>
      </c>
      <c r="O62" s="388">
        <f>ROUND(MIN(MAX(ROUND(ROUND('Loonschijven_Tranches salariale'!$Q57*0.65,4)*Basisbedragen!$I$2,2),ROUND(Basisbedragen!$D$38*Basisbedragen!$I$2,2)),ROUND(ROUND(Basisbedragen!$D$27*0.65,4)*Basisbedragen!$I$2,2))/2,2)</f>
        <v>31.51</v>
      </c>
      <c r="P62" s="388">
        <f>ROUND(MIN(MAX(ROUND(ROUND('Loonschijven_Tranches salariale'!$Q57*0.6,4)*Basisbedragen!$I$2,2),ROUND(Basisbedragen!$D$39*Basisbedragen!$I$2,2)),ROUND(ROUND(Basisbedragen!$D$28*0.6,4)*Basisbedragen!$I$2,2))/2,2)</f>
        <v>29.08</v>
      </c>
      <c r="Q62" s="409">
        <f>ROUND(A_N_B_vol_plein!Q62/2,2)</f>
        <v>29.08</v>
      </c>
      <c r="R62" s="56">
        <f>ROUND(A_N_B_vol_plein!R62/2,2)</f>
        <v>0</v>
      </c>
      <c r="S62" s="409">
        <f>ROUND(A_N_B_vol_plein!S62/2,2)</f>
        <v>21.19</v>
      </c>
      <c r="T62" s="409">
        <f>ROUND(A_N_B_vol_plein!T62/2,2)</f>
        <v>14.93</v>
      </c>
    </row>
    <row r="63" spans="1:20" ht="15" thickBot="1">
      <c r="A63" s="47">
        <f t="shared" si="0"/>
        <v>51</v>
      </c>
      <c r="C63" s="388">
        <f>ROUND(MIN(MAX(ROUND(ROUND('Loonschijven_Tranches salariale'!$Q58*0.65,4)*Basisbedragen!$I$2,2),ROUND(Basisbedragen!$D$34*Basisbedragen!$I$2,2)),ROUND(ROUND(Basisbedragen!$D$27*0.65,4)*Basisbedragen!$I$2,2))/2,2)</f>
        <v>39.049999999999997</v>
      </c>
      <c r="D63" s="388">
        <f>ROUND(MIN(MAX(ROUND(ROUND('Loonschijven_Tranches salariale'!$Q58*0.6,4)*Basisbedragen!$I$2,2),ROUND(Basisbedragen!$D$34*Basisbedragen!$I$2,2)),ROUND(ROUND(Basisbedragen!$D$28*0.6,4)*Basisbedragen!$I$2,2))/2,2)</f>
        <v>39.049999999999997</v>
      </c>
      <c r="E63" s="388">
        <f>ROUND(A_N_B_vol_plein!E63/2,2)</f>
        <v>35.5</v>
      </c>
      <c r="F63" s="56">
        <f>ROUND(A_N_B_vol_plein!F63/2,2)</f>
        <v>0</v>
      </c>
      <c r="G63" s="388">
        <f>ROUND(A_N_B_vol_plein!G63/2,2)</f>
        <v>35.5</v>
      </c>
      <c r="H63" s="56">
        <f>ROUND(A_N_B_vol_plein!H63/2,2)</f>
        <v>0</v>
      </c>
      <c r="I63" s="388">
        <f>ROUND(MIN(MAX(ROUND(ROUND('Loonschijven_Tranches salariale'!$Q58*0.65,4)*Basisbedragen!$I$2,2),ROUND(Basisbedragen!$D$36*Basisbedragen!$I$2,2)),ROUND(ROUND(Basisbedragen!$D$27*0.65,4)*Basisbedragen!$I$2,2))/2,2)</f>
        <v>32.020000000000003</v>
      </c>
      <c r="J63" s="388">
        <f>ROUND(MIN(MAX(ROUND(ROUND('Loonschijven_Tranches salariale'!$Q58*0.6,4)*Basisbedragen!$I$2,2),ROUND(Basisbedragen!$D$36*Basisbedragen!$I$2,2)),ROUND(ROUND(Basisbedragen!$D$28*0.6,4)*Basisbedragen!$I$2,2))/2,2)</f>
        <v>31.65</v>
      </c>
      <c r="K63" s="388">
        <f>ROUND(A_N_B_vol_plein!K63/2,2)</f>
        <v>29.55</v>
      </c>
      <c r="L63" s="56">
        <f>ROUND(A_N_B_vol_plein!L63/2,2)</f>
        <v>0</v>
      </c>
      <c r="M63" s="388">
        <f>ROUND(A_N_B_vol_plein!M63/2,2)</f>
        <v>28.77</v>
      </c>
      <c r="N63" s="56">
        <f>ROUND(A_N_B_vol_plein!N63/2,2)</f>
        <v>0</v>
      </c>
      <c r="O63" s="388">
        <f>ROUND(MIN(MAX(ROUND(ROUND('Loonschijven_Tranches salariale'!$Q58*0.65,4)*Basisbedragen!$I$2,2),ROUND(Basisbedragen!$D$38*Basisbedragen!$I$2,2)),ROUND(ROUND(Basisbedragen!$D$27*0.65,4)*Basisbedragen!$I$2,2))/2,2)</f>
        <v>32.020000000000003</v>
      </c>
      <c r="P63" s="388">
        <f>ROUND(MIN(MAX(ROUND(ROUND('Loonschijven_Tranches salariale'!$Q58*0.6,4)*Basisbedragen!$I$2,2),ROUND(Basisbedragen!$D$39*Basisbedragen!$I$2,2)),ROUND(ROUND(Basisbedragen!$D$28*0.6,4)*Basisbedragen!$I$2,2))/2,2)</f>
        <v>29.55</v>
      </c>
      <c r="Q63" s="388">
        <f>ROUND(A_N_B_vol_plein!Q63/2,2)</f>
        <v>29.55</v>
      </c>
      <c r="R63" s="56">
        <f>ROUND(A_N_B_vol_plein!R63/2,2)</f>
        <v>0</v>
      </c>
      <c r="S63" s="388">
        <f>ROUND(A_N_B_vol_plein!S63/2,2)</f>
        <v>21.19</v>
      </c>
      <c r="T63" s="388">
        <f>ROUND(A_N_B_vol_plein!T63/2,2)</f>
        <v>14.93</v>
      </c>
    </row>
    <row r="64" spans="1:20" ht="15" thickBot="1">
      <c r="A64" s="47">
        <f t="shared" si="0"/>
        <v>52</v>
      </c>
      <c r="C64" s="388">
        <f>ROUND(MIN(MAX(ROUND(ROUND('Loonschijven_Tranches salariale'!$Q59*0.65,4)*Basisbedragen!$I$2,2),ROUND(Basisbedragen!$D$34*Basisbedragen!$I$2,2)),ROUND(ROUND(Basisbedragen!$D$27*0.65,4)*Basisbedragen!$I$2,2))/2,2)</f>
        <v>39.049999999999997</v>
      </c>
      <c r="D64" s="388">
        <f>ROUND(MIN(MAX(ROUND(ROUND('Loonschijven_Tranches salariale'!$Q59*0.6,4)*Basisbedragen!$I$2,2),ROUND(Basisbedragen!$D$34*Basisbedragen!$I$2,2)),ROUND(ROUND(Basisbedragen!$D$28*0.6,4)*Basisbedragen!$I$2,2))/2,2)</f>
        <v>39.049999999999997</v>
      </c>
      <c r="E64" s="388">
        <f>ROUND(A_N_B_vol_plein!E64/2,2)</f>
        <v>35.5</v>
      </c>
      <c r="F64" s="56">
        <f>ROUND(A_N_B_vol_plein!F64/2,2)</f>
        <v>0</v>
      </c>
      <c r="G64" s="388">
        <f>ROUND(A_N_B_vol_plein!G64/2,2)</f>
        <v>35.5</v>
      </c>
      <c r="H64" s="56">
        <f>ROUND(A_N_B_vol_plein!H64/2,2)</f>
        <v>0</v>
      </c>
      <c r="I64" s="388">
        <f>ROUND(MIN(MAX(ROUND(ROUND('Loonschijven_Tranches salariale'!$Q59*0.65,4)*Basisbedragen!$I$2,2),ROUND(Basisbedragen!$D$36*Basisbedragen!$I$2,2)),ROUND(ROUND(Basisbedragen!$D$27*0.65,4)*Basisbedragen!$I$2,2))/2,2)</f>
        <v>32.520000000000003</v>
      </c>
      <c r="J64" s="388">
        <f>ROUND(MIN(MAX(ROUND(ROUND('Loonschijven_Tranches salariale'!$Q59*0.6,4)*Basisbedragen!$I$2,2),ROUND(Basisbedragen!$D$36*Basisbedragen!$I$2,2)),ROUND(ROUND(Basisbedragen!$D$28*0.6,4)*Basisbedragen!$I$2,2))/2,2)</f>
        <v>31.65</v>
      </c>
      <c r="K64" s="388">
        <f>ROUND(A_N_B_vol_plein!K64/2,2)</f>
        <v>30.02</v>
      </c>
      <c r="L64" s="56">
        <f>ROUND(A_N_B_vol_plein!L64/2,2)</f>
        <v>0</v>
      </c>
      <c r="M64" s="388">
        <f>ROUND(A_N_B_vol_plein!M64/2,2)</f>
        <v>28.77</v>
      </c>
      <c r="N64" s="56">
        <f>ROUND(A_N_B_vol_plein!N64/2,2)</f>
        <v>0</v>
      </c>
      <c r="O64" s="388">
        <f>ROUND(MIN(MAX(ROUND(ROUND('Loonschijven_Tranches salariale'!$Q59*0.65,4)*Basisbedragen!$I$2,2),ROUND(Basisbedragen!$D$38*Basisbedragen!$I$2,2)),ROUND(ROUND(Basisbedragen!$D$27*0.65,4)*Basisbedragen!$I$2,2))/2,2)</f>
        <v>32.520000000000003</v>
      </c>
      <c r="P64" s="388">
        <f>ROUND(MIN(MAX(ROUND(ROUND('Loonschijven_Tranches salariale'!$Q59*0.6,4)*Basisbedragen!$I$2,2),ROUND(Basisbedragen!$D$39*Basisbedragen!$I$2,2)),ROUND(ROUND(Basisbedragen!$D$28*0.6,4)*Basisbedragen!$I$2,2))/2,2)</f>
        <v>30.02</v>
      </c>
      <c r="Q64" s="388">
        <f>ROUND(A_N_B_vol_plein!Q64/2,2)</f>
        <v>30.02</v>
      </c>
      <c r="R64" s="56">
        <f>ROUND(A_N_B_vol_plein!R64/2,2)</f>
        <v>0</v>
      </c>
      <c r="S64" s="388">
        <f>ROUND(A_N_B_vol_plein!S64/2,2)</f>
        <v>21.19</v>
      </c>
      <c r="T64" s="388">
        <f>ROUND(A_N_B_vol_plein!T64/2,2)</f>
        <v>14.93</v>
      </c>
    </row>
    <row r="65" spans="1:20" ht="15" thickBot="1">
      <c r="A65" s="47">
        <f t="shared" si="0"/>
        <v>53</v>
      </c>
      <c r="C65" s="388">
        <f>ROUND(MIN(MAX(ROUND(ROUND('Loonschijven_Tranches salariale'!$Q60*0.65,4)*Basisbedragen!$I$2,2),ROUND(Basisbedragen!$D$34*Basisbedragen!$I$2,2)),ROUND(ROUND(Basisbedragen!$D$27*0.65,4)*Basisbedragen!$I$2,2))/2,2)</f>
        <v>39.049999999999997</v>
      </c>
      <c r="D65" s="388">
        <f>ROUND(MIN(MAX(ROUND(ROUND('Loonschijven_Tranches salariale'!$Q60*0.6,4)*Basisbedragen!$I$2,2),ROUND(Basisbedragen!$D$34*Basisbedragen!$I$2,2)),ROUND(ROUND(Basisbedragen!$D$28*0.6,4)*Basisbedragen!$I$2,2))/2,2)</f>
        <v>39.049999999999997</v>
      </c>
      <c r="E65" s="388">
        <f>ROUND(A_N_B_vol_plein!E65/2,2)</f>
        <v>35.5</v>
      </c>
      <c r="F65" s="56">
        <f>ROUND(A_N_B_vol_plein!F65/2,2)</f>
        <v>0</v>
      </c>
      <c r="G65" s="388">
        <f>ROUND(A_N_B_vol_plein!G65/2,2)</f>
        <v>35.5</v>
      </c>
      <c r="H65" s="56">
        <f>ROUND(A_N_B_vol_plein!H65/2,2)</f>
        <v>0</v>
      </c>
      <c r="I65" s="388">
        <f>ROUND(MIN(MAX(ROUND(ROUND('Loonschijven_Tranches salariale'!$Q60*0.65,4)*Basisbedragen!$I$2,2),ROUND(Basisbedragen!$D$36*Basisbedragen!$I$2,2)),ROUND(ROUND(Basisbedragen!$D$27*0.65,4)*Basisbedragen!$I$2,2))/2,2)</f>
        <v>33.03</v>
      </c>
      <c r="J65" s="388">
        <f>ROUND(MIN(MAX(ROUND(ROUND('Loonschijven_Tranches salariale'!$Q60*0.6,4)*Basisbedragen!$I$2,2),ROUND(Basisbedragen!$D$36*Basisbedragen!$I$2,2)),ROUND(ROUND(Basisbedragen!$D$28*0.6,4)*Basisbedragen!$I$2,2))/2,2)</f>
        <v>31.65</v>
      </c>
      <c r="K65" s="388">
        <f>ROUND(A_N_B_vol_plein!K65/2,2)</f>
        <v>30.49</v>
      </c>
      <c r="L65" s="56">
        <f>ROUND(A_N_B_vol_plein!L65/2,2)</f>
        <v>0</v>
      </c>
      <c r="M65" s="388">
        <f>ROUND(A_N_B_vol_plein!M65/2,2)</f>
        <v>28.77</v>
      </c>
      <c r="N65" s="56">
        <f>ROUND(A_N_B_vol_plein!N65/2,2)</f>
        <v>0</v>
      </c>
      <c r="O65" s="388">
        <f>ROUND(MIN(MAX(ROUND(ROUND('Loonschijven_Tranches salariale'!$Q60*0.65,4)*Basisbedragen!$I$2,2),ROUND(Basisbedragen!$D$38*Basisbedragen!$I$2,2)),ROUND(ROUND(Basisbedragen!$D$27*0.65,4)*Basisbedragen!$I$2,2))/2,2)</f>
        <v>33.03</v>
      </c>
      <c r="P65" s="388">
        <f>ROUND(MIN(MAX(ROUND(ROUND('Loonschijven_Tranches salariale'!$Q60*0.6,4)*Basisbedragen!$I$2,2),ROUND(Basisbedragen!$D$39*Basisbedragen!$I$2,2)),ROUND(ROUND(Basisbedragen!$D$28*0.6,4)*Basisbedragen!$I$2,2))/2,2)</f>
        <v>30.49</v>
      </c>
      <c r="Q65" s="388">
        <f>ROUND(A_N_B_vol_plein!Q65/2,2)</f>
        <v>30.49</v>
      </c>
      <c r="R65" s="56">
        <f>ROUND(A_N_B_vol_plein!R65/2,2)</f>
        <v>0</v>
      </c>
      <c r="S65" s="388">
        <f>ROUND(A_N_B_vol_plein!S65/2,2)</f>
        <v>21.19</v>
      </c>
      <c r="T65" s="388">
        <f>ROUND(A_N_B_vol_plein!T65/2,2)</f>
        <v>14.93</v>
      </c>
    </row>
    <row r="66" spans="1:20" ht="15" thickBot="1">
      <c r="A66" s="47">
        <f t="shared" si="0"/>
        <v>54</v>
      </c>
      <c r="C66" s="388">
        <f>ROUND(MIN(MAX(ROUND(ROUND('Loonschijven_Tranches salariale'!$Q61*0.65,4)*Basisbedragen!$I$2,2),ROUND(Basisbedragen!$D$34*Basisbedragen!$I$2,2)),ROUND(ROUND(Basisbedragen!$D$27*0.65,4)*Basisbedragen!$I$2,2))/2,2)</f>
        <v>39.049999999999997</v>
      </c>
      <c r="D66" s="388">
        <f>ROUND(MIN(MAX(ROUND(ROUND('Loonschijven_Tranches salariale'!$Q61*0.6,4)*Basisbedragen!$I$2,2),ROUND(Basisbedragen!$D$34*Basisbedragen!$I$2,2)),ROUND(ROUND(Basisbedragen!$D$28*0.6,4)*Basisbedragen!$I$2,2))/2,2)</f>
        <v>39.049999999999997</v>
      </c>
      <c r="E66" s="388">
        <f>ROUND(A_N_B_vol_plein!E66/2,2)</f>
        <v>35.5</v>
      </c>
      <c r="F66" s="56">
        <f>ROUND(A_N_B_vol_plein!F66/2,2)</f>
        <v>0</v>
      </c>
      <c r="G66" s="388">
        <f>ROUND(A_N_B_vol_plein!G66/2,2)</f>
        <v>35.5</v>
      </c>
      <c r="H66" s="56">
        <f>ROUND(A_N_B_vol_plein!H66/2,2)</f>
        <v>0</v>
      </c>
      <c r="I66" s="388">
        <f>ROUND(MIN(MAX(ROUND(ROUND('Loonschijven_Tranches salariale'!$Q61*0.65,4)*Basisbedragen!$I$2,2),ROUND(Basisbedragen!$D$36*Basisbedragen!$I$2,2)),ROUND(ROUND(Basisbedragen!$D$27*0.65,4)*Basisbedragen!$I$2,2))/2,2)</f>
        <v>33.29</v>
      </c>
      <c r="J66" s="388">
        <f>ROUND(MIN(MAX(ROUND(ROUND('Loonschijven_Tranches salariale'!$Q61*0.6,4)*Basisbedragen!$I$2,2),ROUND(Basisbedragen!$D$36*Basisbedragen!$I$2,2)),ROUND(ROUND(Basisbedragen!$D$28*0.6,4)*Basisbedragen!$I$2,2))/2,2)</f>
        <v>31.65</v>
      </c>
      <c r="K66" s="388">
        <f>ROUND(A_N_B_vol_plein!K66/2,2)</f>
        <v>30.73</v>
      </c>
      <c r="L66" s="56">
        <f>ROUND(A_N_B_vol_plein!L66/2,2)</f>
        <v>0</v>
      </c>
      <c r="M66" s="388">
        <f>ROUND(A_N_B_vol_plein!M66/2,2)</f>
        <v>28.77</v>
      </c>
      <c r="N66" s="56">
        <f>ROUND(A_N_B_vol_plein!N66/2,2)</f>
        <v>0</v>
      </c>
      <c r="O66" s="388">
        <f>ROUND(MIN(MAX(ROUND(ROUND('Loonschijven_Tranches salariale'!$Q61*0.65,4)*Basisbedragen!$I$2,2),ROUND(Basisbedragen!$D$38*Basisbedragen!$I$2,2)),ROUND(ROUND(Basisbedragen!$D$27*0.65,4)*Basisbedragen!$I$2,2))/2,2)</f>
        <v>33.29</v>
      </c>
      <c r="P66" s="388">
        <f>ROUND(MIN(MAX(ROUND(ROUND('Loonschijven_Tranches salariale'!$Q61*0.6,4)*Basisbedragen!$I$2,2),ROUND(Basisbedragen!$D$39*Basisbedragen!$I$2,2)),ROUND(ROUND(Basisbedragen!$D$28*0.6,4)*Basisbedragen!$I$2,2))/2,2)</f>
        <v>30.73</v>
      </c>
      <c r="Q66" s="388">
        <f>ROUND(A_N_B_vol_plein!Q66/2,2)</f>
        <v>30.73</v>
      </c>
      <c r="R66" s="56">
        <f>ROUND(A_N_B_vol_plein!R66/2,2)</f>
        <v>0</v>
      </c>
      <c r="S66" s="388">
        <f>ROUND(A_N_B_vol_plein!S66/2,2)</f>
        <v>21.19</v>
      </c>
      <c r="T66" s="388">
        <f>ROUND(A_N_B_vol_plein!T66/2,2)</f>
        <v>14.93</v>
      </c>
    </row>
    <row r="67" spans="1:20" ht="15" thickBot="1">
      <c r="A67" s="47">
        <f t="shared" si="0"/>
        <v>55</v>
      </c>
      <c r="C67" s="388">
        <f>ROUND(MIN(MAX(ROUND(ROUND('Loonschijven_Tranches salariale'!$Q62*0.65,4)*Basisbedragen!$I$2,2),ROUND(Basisbedragen!$D$34*Basisbedragen!$I$2,2)),ROUND(ROUND(Basisbedragen!$D$27*0.65,4)*Basisbedragen!$I$2,2))/2,2)</f>
        <v>39.049999999999997</v>
      </c>
      <c r="D67" s="388">
        <f>ROUND(MIN(MAX(ROUND(ROUND('Loonschijven_Tranches salariale'!$Q62*0.6,4)*Basisbedragen!$I$2,2),ROUND(Basisbedragen!$D$34*Basisbedragen!$I$2,2)),ROUND(ROUND(Basisbedragen!$D$28*0.6,4)*Basisbedragen!$I$2,2))/2,2)</f>
        <v>39.049999999999997</v>
      </c>
      <c r="E67" s="409">
        <f>ROUND(A_N_B_vol_plein!E67/2,2)</f>
        <v>35.5</v>
      </c>
      <c r="F67" s="56">
        <f>ROUND(A_N_B_vol_plein!F67/2,2)</f>
        <v>0</v>
      </c>
      <c r="G67" s="409">
        <f>ROUND(A_N_B_vol_plein!G67/2,2)</f>
        <v>35.5</v>
      </c>
      <c r="H67" s="56">
        <f>ROUND(A_N_B_vol_plein!H67/2,2)</f>
        <v>0</v>
      </c>
      <c r="I67" s="388">
        <f>ROUND(MIN(MAX(ROUND(ROUND('Loonschijven_Tranches salariale'!$Q62*0.65,4)*Basisbedragen!$I$2,2),ROUND(Basisbedragen!$D$36*Basisbedragen!$I$2,2)),ROUND(ROUND(Basisbedragen!$D$27*0.65,4)*Basisbedragen!$I$2,2))/2,2)</f>
        <v>33.54</v>
      </c>
      <c r="J67" s="388">
        <f>ROUND(MIN(MAX(ROUND(ROUND('Loonschijven_Tranches salariale'!$Q62*0.6,4)*Basisbedragen!$I$2,2),ROUND(Basisbedragen!$D$36*Basisbedragen!$I$2,2)),ROUND(ROUND(Basisbedragen!$D$28*0.6,4)*Basisbedragen!$I$2,2))/2,2)</f>
        <v>31.65</v>
      </c>
      <c r="K67" s="409">
        <f>ROUND(A_N_B_vol_plein!K67/2,2)</f>
        <v>30.96</v>
      </c>
      <c r="L67" s="56">
        <f>ROUND(A_N_B_vol_plein!L67/2,2)</f>
        <v>0</v>
      </c>
      <c r="M67" s="409">
        <f>ROUND(A_N_B_vol_plein!M67/2,2)</f>
        <v>28.77</v>
      </c>
      <c r="N67" s="56">
        <f>ROUND(A_N_B_vol_plein!N67/2,2)</f>
        <v>0</v>
      </c>
      <c r="O67" s="388">
        <f>ROUND(MIN(MAX(ROUND(ROUND('Loonschijven_Tranches salariale'!$Q62*0.65,4)*Basisbedragen!$I$2,2),ROUND(Basisbedragen!$D$38*Basisbedragen!$I$2,2)),ROUND(ROUND(Basisbedragen!$D$27*0.65,4)*Basisbedragen!$I$2,2))/2,2)</f>
        <v>33.54</v>
      </c>
      <c r="P67" s="388">
        <f>ROUND(MIN(MAX(ROUND(ROUND('Loonschijven_Tranches salariale'!$Q62*0.6,4)*Basisbedragen!$I$2,2),ROUND(Basisbedragen!$D$39*Basisbedragen!$I$2,2)),ROUND(ROUND(Basisbedragen!$D$28*0.6,4)*Basisbedragen!$I$2,2))/2,2)</f>
        <v>30.96</v>
      </c>
      <c r="Q67" s="409">
        <f>ROUND(A_N_B_vol_plein!Q67/2,2)</f>
        <v>30.96</v>
      </c>
      <c r="R67" s="56">
        <f>ROUND(A_N_B_vol_plein!R67/2,2)</f>
        <v>0</v>
      </c>
      <c r="S67" s="409">
        <f>ROUND(A_N_B_vol_plein!S67/2,2)</f>
        <v>21.19</v>
      </c>
      <c r="T67" s="409">
        <f>ROUND(A_N_B_vol_plein!T67/2,2)</f>
        <v>14.93</v>
      </c>
    </row>
    <row r="68" spans="1:20" ht="15" thickBot="1">
      <c r="A68" s="47">
        <f t="shared" si="0"/>
        <v>56</v>
      </c>
      <c r="C68" s="388">
        <f>ROUND(MIN(MAX(ROUND(ROUND('Loonschijven_Tranches salariale'!$Q63*0.65,4)*Basisbedragen!$I$2,2),ROUND(Basisbedragen!$D$34*Basisbedragen!$I$2,2)),ROUND(ROUND(Basisbedragen!$D$27*0.65,4)*Basisbedragen!$I$2,2))/2,2)</f>
        <v>39.049999999999997</v>
      </c>
      <c r="D68" s="388">
        <f>ROUND(MIN(MAX(ROUND(ROUND('Loonschijven_Tranches salariale'!$Q63*0.6,4)*Basisbedragen!$I$2,2),ROUND(Basisbedragen!$D$34*Basisbedragen!$I$2,2)),ROUND(ROUND(Basisbedragen!$D$28*0.6,4)*Basisbedragen!$I$2,2))/2,2)</f>
        <v>39.049999999999997</v>
      </c>
      <c r="E68" s="388">
        <f>ROUND(A_N_B_vol_plein!E68/2,2)</f>
        <v>35.5</v>
      </c>
      <c r="F68" s="56">
        <f>ROUND(A_N_B_vol_plein!F68/2,2)</f>
        <v>0</v>
      </c>
      <c r="G68" s="388">
        <f>ROUND(A_N_B_vol_plein!G68/2,2)</f>
        <v>35.5</v>
      </c>
      <c r="H68" s="56">
        <f>ROUND(A_N_B_vol_plein!H68/2,2)</f>
        <v>0</v>
      </c>
      <c r="I68" s="388">
        <f>ROUND(MIN(MAX(ROUND(ROUND('Loonschijven_Tranches salariale'!$Q63*0.65,4)*Basisbedragen!$I$2,2),ROUND(Basisbedragen!$D$36*Basisbedragen!$I$2,2)),ROUND(ROUND(Basisbedragen!$D$27*0.65,4)*Basisbedragen!$I$2,2))/2,2)</f>
        <v>34.049999999999997</v>
      </c>
      <c r="J68" s="388">
        <f>ROUND(MIN(MAX(ROUND(ROUND('Loonschijven_Tranches salariale'!$Q63*0.6,4)*Basisbedragen!$I$2,2),ROUND(Basisbedragen!$D$36*Basisbedragen!$I$2,2)),ROUND(ROUND(Basisbedragen!$D$28*0.6,4)*Basisbedragen!$I$2,2))/2,2)</f>
        <v>31.65</v>
      </c>
      <c r="K68" s="388">
        <f>ROUND(A_N_B_vol_plein!K68/2,2)</f>
        <v>31.43</v>
      </c>
      <c r="L68" s="56">
        <f>ROUND(A_N_B_vol_plein!L68/2,2)</f>
        <v>0</v>
      </c>
      <c r="M68" s="388">
        <f>ROUND(A_N_B_vol_plein!M68/2,2)</f>
        <v>28.77</v>
      </c>
      <c r="N68" s="56">
        <f>ROUND(A_N_B_vol_plein!N68/2,2)</f>
        <v>0</v>
      </c>
      <c r="O68" s="388">
        <f>ROUND(MIN(MAX(ROUND(ROUND('Loonschijven_Tranches salariale'!$Q63*0.65,4)*Basisbedragen!$I$2,2),ROUND(Basisbedragen!$D$38*Basisbedragen!$I$2,2)),ROUND(ROUND(Basisbedragen!$D$27*0.65,4)*Basisbedragen!$I$2,2))/2,2)</f>
        <v>34.049999999999997</v>
      </c>
      <c r="P68" s="388">
        <f>ROUND(MIN(MAX(ROUND(ROUND('Loonschijven_Tranches salariale'!$Q63*0.6,4)*Basisbedragen!$I$2,2),ROUND(Basisbedragen!$D$39*Basisbedragen!$I$2,2)),ROUND(ROUND(Basisbedragen!$D$28*0.6,4)*Basisbedragen!$I$2,2))/2,2)</f>
        <v>31.43</v>
      </c>
      <c r="Q68" s="388">
        <f>ROUND(A_N_B_vol_plein!Q68/2,2)</f>
        <v>31.43</v>
      </c>
      <c r="R68" s="56">
        <f>ROUND(A_N_B_vol_plein!R68/2,2)</f>
        <v>0</v>
      </c>
      <c r="S68" s="388">
        <f>ROUND(A_N_B_vol_plein!S68/2,2)</f>
        <v>21.19</v>
      </c>
      <c r="T68" s="388">
        <f>ROUND(A_N_B_vol_plein!T68/2,2)</f>
        <v>14.93</v>
      </c>
    </row>
    <row r="69" spans="1:20" ht="15" thickBot="1">
      <c r="A69" s="47">
        <f t="shared" si="0"/>
        <v>57</v>
      </c>
      <c r="C69" s="388">
        <f>ROUND(MIN(MAX(ROUND(ROUND('Loonschijven_Tranches salariale'!$Q64*0.65,4)*Basisbedragen!$I$2,2),ROUND(Basisbedragen!$D$34*Basisbedragen!$I$2,2)),ROUND(ROUND(Basisbedragen!$D$27*0.65,4)*Basisbedragen!$I$2,2))/2,2)</f>
        <v>39.049999999999997</v>
      </c>
      <c r="D69" s="388">
        <f>ROUND(MIN(MAX(ROUND(ROUND('Loonschijven_Tranches salariale'!$Q64*0.6,4)*Basisbedragen!$I$2,2),ROUND(Basisbedragen!$D$34*Basisbedragen!$I$2,2)),ROUND(ROUND(Basisbedragen!$D$28*0.6,4)*Basisbedragen!$I$2,2))/2,2)</f>
        <v>39.049999999999997</v>
      </c>
      <c r="E69" s="388">
        <f>ROUND(A_N_B_vol_plein!E69/2,2)</f>
        <v>35.5</v>
      </c>
      <c r="F69" s="56">
        <f>ROUND(A_N_B_vol_plein!F69/2,2)</f>
        <v>0</v>
      </c>
      <c r="G69" s="388">
        <f>ROUND(A_N_B_vol_plein!G69/2,2)</f>
        <v>35.5</v>
      </c>
      <c r="H69" s="56">
        <f>ROUND(A_N_B_vol_plein!H69/2,2)</f>
        <v>0</v>
      </c>
      <c r="I69" s="388">
        <f>ROUND(MIN(MAX(ROUND(ROUND('Loonschijven_Tranches salariale'!$Q64*0.65,4)*Basisbedragen!$I$2,2),ROUND(Basisbedragen!$D$36*Basisbedragen!$I$2,2)),ROUND(ROUND(Basisbedragen!$D$27*0.65,4)*Basisbedragen!$I$2,2))/2,2)</f>
        <v>34.56</v>
      </c>
      <c r="J69" s="388">
        <f>ROUND(MIN(MAX(ROUND(ROUND('Loonschijven_Tranches salariale'!$Q64*0.6,4)*Basisbedragen!$I$2,2),ROUND(Basisbedragen!$D$36*Basisbedragen!$I$2,2)),ROUND(ROUND(Basisbedragen!$D$28*0.6,4)*Basisbedragen!$I$2,2))/2,2)</f>
        <v>31.9</v>
      </c>
      <c r="K69" s="388">
        <f>ROUND(A_N_B_vol_plein!K69/2,2)</f>
        <v>31.9</v>
      </c>
      <c r="L69" s="56">
        <f>ROUND(A_N_B_vol_plein!L69/2,2)</f>
        <v>0</v>
      </c>
      <c r="M69" s="388">
        <f>ROUND(A_N_B_vol_plein!M69/2,2)</f>
        <v>28.77</v>
      </c>
      <c r="N69" s="56">
        <f>ROUND(A_N_B_vol_plein!N69/2,2)</f>
        <v>0</v>
      </c>
      <c r="O69" s="388">
        <f>ROUND(MIN(MAX(ROUND(ROUND('Loonschijven_Tranches salariale'!$Q64*0.65,4)*Basisbedragen!$I$2,2),ROUND(Basisbedragen!$D$38*Basisbedragen!$I$2,2)),ROUND(ROUND(Basisbedragen!$D$27*0.65,4)*Basisbedragen!$I$2,2))/2,2)</f>
        <v>34.56</v>
      </c>
      <c r="P69" s="388">
        <f>ROUND(MIN(MAX(ROUND(ROUND('Loonschijven_Tranches salariale'!$Q64*0.6,4)*Basisbedragen!$I$2,2),ROUND(Basisbedragen!$D$39*Basisbedragen!$I$2,2)),ROUND(ROUND(Basisbedragen!$D$28*0.6,4)*Basisbedragen!$I$2,2))/2,2)</f>
        <v>31.9</v>
      </c>
      <c r="Q69" s="388">
        <f>ROUND(A_N_B_vol_plein!Q69/2,2)</f>
        <v>31.9</v>
      </c>
      <c r="R69" s="56">
        <f>ROUND(A_N_B_vol_plein!R69/2,2)</f>
        <v>0</v>
      </c>
      <c r="S69" s="388">
        <f>ROUND(A_N_B_vol_plein!S69/2,2)</f>
        <v>21.19</v>
      </c>
      <c r="T69" s="388">
        <f>ROUND(A_N_B_vol_plein!T69/2,2)</f>
        <v>14.93</v>
      </c>
    </row>
    <row r="70" spans="1:20" ht="15" thickBot="1">
      <c r="A70" s="47">
        <f t="shared" si="0"/>
        <v>58</v>
      </c>
      <c r="C70" s="388">
        <f>ROUND(MIN(MAX(ROUND(ROUND('Loonschijven_Tranches salariale'!$Q65*0.65,4)*Basisbedragen!$I$2,2),ROUND(Basisbedragen!$D$34*Basisbedragen!$I$2,2)),ROUND(ROUND(Basisbedragen!$D$27*0.65,4)*Basisbedragen!$I$2,2))/2,2)</f>
        <v>39.049999999999997</v>
      </c>
      <c r="D70" s="388">
        <f>ROUND(MIN(MAX(ROUND(ROUND('Loonschijven_Tranches salariale'!$Q65*0.6,4)*Basisbedragen!$I$2,2),ROUND(Basisbedragen!$D$34*Basisbedragen!$I$2,2)),ROUND(ROUND(Basisbedragen!$D$28*0.6,4)*Basisbedragen!$I$2,2))/2,2)</f>
        <v>39.049999999999997</v>
      </c>
      <c r="E70" s="388">
        <f>ROUND(A_N_B_vol_plein!E70/2,2)</f>
        <v>35.5</v>
      </c>
      <c r="F70" s="56">
        <f>ROUND(A_N_B_vol_plein!F70/2,2)</f>
        <v>0</v>
      </c>
      <c r="G70" s="388">
        <f>ROUND(A_N_B_vol_plein!G70/2,2)</f>
        <v>35.5</v>
      </c>
      <c r="H70" s="56">
        <f>ROUND(A_N_B_vol_plein!H70/2,2)</f>
        <v>0</v>
      </c>
      <c r="I70" s="388">
        <f>ROUND(MIN(MAX(ROUND(ROUND('Loonschijven_Tranches salariale'!$Q65*0.65,4)*Basisbedragen!$I$2,2),ROUND(Basisbedragen!$D$36*Basisbedragen!$I$2,2)),ROUND(ROUND(Basisbedragen!$D$27*0.65,4)*Basisbedragen!$I$2,2))/2,2)</f>
        <v>35.06</v>
      </c>
      <c r="J70" s="388">
        <f>ROUND(MIN(MAX(ROUND(ROUND('Loonschijven_Tranches salariale'!$Q65*0.6,4)*Basisbedragen!$I$2,2),ROUND(Basisbedragen!$D$36*Basisbedragen!$I$2,2)),ROUND(ROUND(Basisbedragen!$D$28*0.6,4)*Basisbedragen!$I$2,2))/2,2)</f>
        <v>32.369999999999997</v>
      </c>
      <c r="K70" s="388">
        <f>ROUND(A_N_B_vol_plein!K70/2,2)</f>
        <v>32.369999999999997</v>
      </c>
      <c r="L70" s="56">
        <f>ROUND(A_N_B_vol_plein!L70/2,2)</f>
        <v>0</v>
      </c>
      <c r="M70" s="388">
        <f>ROUND(A_N_B_vol_plein!M70/2,2)</f>
        <v>28.77</v>
      </c>
      <c r="N70" s="56">
        <f>ROUND(A_N_B_vol_plein!N70/2,2)</f>
        <v>0</v>
      </c>
      <c r="O70" s="388">
        <f>ROUND(MIN(MAX(ROUND(ROUND('Loonschijven_Tranches salariale'!$Q65*0.65,4)*Basisbedragen!$I$2,2),ROUND(Basisbedragen!$D$38*Basisbedragen!$I$2,2)),ROUND(ROUND(Basisbedragen!$D$27*0.65,4)*Basisbedragen!$I$2,2))/2,2)</f>
        <v>35.06</v>
      </c>
      <c r="P70" s="388">
        <f>ROUND(MIN(MAX(ROUND(ROUND('Loonschijven_Tranches salariale'!$Q65*0.6,4)*Basisbedragen!$I$2,2),ROUND(Basisbedragen!$D$39*Basisbedragen!$I$2,2)),ROUND(ROUND(Basisbedragen!$D$28*0.6,4)*Basisbedragen!$I$2,2))/2,2)</f>
        <v>32.369999999999997</v>
      </c>
      <c r="Q70" s="388">
        <f>ROUND(A_N_B_vol_plein!Q70/2,2)</f>
        <v>32.369999999999997</v>
      </c>
      <c r="R70" s="56">
        <f>ROUND(A_N_B_vol_plein!R70/2,2)</f>
        <v>0</v>
      </c>
      <c r="S70" s="388">
        <f>ROUND(A_N_B_vol_plein!S70/2,2)</f>
        <v>21.19</v>
      </c>
      <c r="T70" s="388">
        <f>ROUND(A_N_B_vol_plein!T70/2,2)</f>
        <v>14.93</v>
      </c>
    </row>
    <row r="71" spans="1:20" ht="15" thickBot="1">
      <c r="A71" s="47">
        <f t="shared" si="0"/>
        <v>59</v>
      </c>
      <c r="C71" s="388">
        <f>ROUND(MIN(MAX(ROUND(ROUND('Loonschijven_Tranches salariale'!$Q66*0.65,4)*Basisbedragen!$I$2,2),ROUND(Basisbedragen!$D$34*Basisbedragen!$I$2,2)),ROUND(ROUND(Basisbedragen!$D$27*0.65,4)*Basisbedragen!$I$2,2))/2,2)</f>
        <v>39.049999999999997</v>
      </c>
      <c r="D71" s="388">
        <f>ROUND(MIN(MAX(ROUND(ROUND('Loonschijven_Tranches salariale'!$Q66*0.6,4)*Basisbedragen!$I$2,2),ROUND(Basisbedragen!$D$34*Basisbedragen!$I$2,2)),ROUND(ROUND(Basisbedragen!$D$28*0.6,4)*Basisbedragen!$I$2,2))/2,2)</f>
        <v>39.049999999999997</v>
      </c>
      <c r="E71" s="388">
        <f>ROUND(A_N_B_vol_plein!E71/2,2)</f>
        <v>35.5</v>
      </c>
      <c r="F71" s="56">
        <f>ROUND(A_N_B_vol_plein!F71/2,2)</f>
        <v>0</v>
      </c>
      <c r="G71" s="388">
        <f>ROUND(A_N_B_vol_plein!G71/2,2)</f>
        <v>35.5</v>
      </c>
      <c r="H71" s="56">
        <f>ROUND(A_N_B_vol_plein!H71/2,2)</f>
        <v>0</v>
      </c>
      <c r="I71" s="388">
        <f>ROUND(MIN(MAX(ROUND(ROUND('Loonschijven_Tranches salariale'!$Q66*0.65,4)*Basisbedragen!$I$2,2),ROUND(Basisbedragen!$D$36*Basisbedragen!$I$2,2)),ROUND(ROUND(Basisbedragen!$D$27*0.65,4)*Basisbedragen!$I$2,2))/2,2)</f>
        <v>35.700000000000003</v>
      </c>
      <c r="J71" s="388">
        <f>ROUND(MIN(MAX(ROUND(ROUND('Loonschijven_Tranches salariale'!$Q66*0.6,4)*Basisbedragen!$I$2,2),ROUND(Basisbedragen!$D$36*Basisbedragen!$I$2,2)),ROUND(ROUND(Basisbedragen!$D$28*0.6,4)*Basisbedragen!$I$2,2))/2,2)</f>
        <v>32.950000000000003</v>
      </c>
      <c r="K71" s="388">
        <f>ROUND(A_N_B_vol_plein!K71/2,2)</f>
        <v>32.950000000000003</v>
      </c>
      <c r="L71" s="56">
        <f>ROUND(A_N_B_vol_plein!L71/2,2)</f>
        <v>0</v>
      </c>
      <c r="M71" s="388">
        <f>ROUND(A_N_B_vol_plein!M71/2,2)</f>
        <v>28.77</v>
      </c>
      <c r="N71" s="56">
        <f>ROUND(A_N_B_vol_plein!N71/2,2)</f>
        <v>0</v>
      </c>
      <c r="O71" s="388">
        <f>ROUND(MIN(MAX(ROUND(ROUND('Loonschijven_Tranches salariale'!$Q66*0.65,4)*Basisbedragen!$I$2,2),ROUND(Basisbedragen!$D$38*Basisbedragen!$I$2,2)),ROUND(ROUND(Basisbedragen!$D$27*0.65,4)*Basisbedragen!$I$2,2))/2,2)</f>
        <v>35.700000000000003</v>
      </c>
      <c r="P71" s="388">
        <f>ROUND(MIN(MAX(ROUND(ROUND('Loonschijven_Tranches salariale'!$Q66*0.6,4)*Basisbedragen!$I$2,2),ROUND(Basisbedragen!$D$39*Basisbedragen!$I$2,2)),ROUND(ROUND(Basisbedragen!$D$28*0.6,4)*Basisbedragen!$I$2,2))/2,2)</f>
        <v>32.950000000000003</v>
      </c>
      <c r="Q71" s="388">
        <f>ROUND(A_N_B_vol_plein!Q71/2,2)</f>
        <v>32.950000000000003</v>
      </c>
      <c r="R71" s="56">
        <f>ROUND(A_N_B_vol_plein!R71/2,2)</f>
        <v>0</v>
      </c>
      <c r="S71" s="388">
        <f>ROUND(A_N_B_vol_plein!S71/2,2)</f>
        <v>21.19</v>
      </c>
      <c r="T71" s="388">
        <f>ROUND(A_N_B_vol_plein!T71/2,2)</f>
        <v>14.93</v>
      </c>
    </row>
    <row r="72" spans="1:20" ht="15" thickBot="1">
      <c r="A72" s="47">
        <f t="shared" si="0"/>
        <v>60</v>
      </c>
      <c r="C72" s="388">
        <f>ROUND(MIN(MAX(ROUND(ROUND('Loonschijven_Tranches salariale'!$Q67*0.65,4)*Basisbedragen!$I$2,2),ROUND(Basisbedragen!$D$34*Basisbedragen!$I$2,2)),ROUND(ROUND(Basisbedragen!$D$27*0.65,4)*Basisbedragen!$I$2,2))/2,2)</f>
        <v>39.049999999999997</v>
      </c>
      <c r="D72" s="388">
        <f>ROUND(MIN(MAX(ROUND(ROUND('Loonschijven_Tranches salariale'!$Q67*0.6,4)*Basisbedragen!$I$2,2),ROUND(Basisbedragen!$D$34*Basisbedragen!$I$2,2)),ROUND(ROUND(Basisbedragen!$D$28*0.6,4)*Basisbedragen!$I$2,2))/2,2)</f>
        <v>39.049999999999997</v>
      </c>
      <c r="E72" s="409">
        <f>ROUND(A_N_B_vol_plein!E72/2,2)</f>
        <v>35.5</v>
      </c>
      <c r="F72" s="56">
        <f>ROUND(A_N_B_vol_plein!F72/2,2)</f>
        <v>0</v>
      </c>
      <c r="G72" s="409">
        <f>ROUND(A_N_B_vol_plein!G72/2,2)</f>
        <v>35.5</v>
      </c>
      <c r="H72" s="56">
        <f>ROUND(A_N_B_vol_plein!H72/2,2)</f>
        <v>0</v>
      </c>
      <c r="I72" s="388">
        <f>ROUND(MIN(MAX(ROUND(ROUND('Loonschijven_Tranches salariale'!$Q67*0.65,4)*Basisbedragen!$I$2,2),ROUND(Basisbedragen!$D$36*Basisbedragen!$I$2,2)),ROUND(ROUND(Basisbedragen!$D$27*0.65,4)*Basisbedragen!$I$2,2))/2,2)</f>
        <v>36.14</v>
      </c>
      <c r="J72" s="388">
        <f>ROUND(MIN(MAX(ROUND(ROUND('Loonschijven_Tranches salariale'!$Q67*0.6,4)*Basisbedragen!$I$2,2),ROUND(Basisbedragen!$D$36*Basisbedragen!$I$2,2)),ROUND(ROUND(Basisbedragen!$D$28*0.6,4)*Basisbedragen!$I$2,2))/2,2)</f>
        <v>33.36</v>
      </c>
      <c r="K72" s="409">
        <f>ROUND(A_N_B_vol_plein!K72/2,2)</f>
        <v>33.36</v>
      </c>
      <c r="L72" s="56">
        <f>ROUND(A_N_B_vol_plein!L72/2,2)</f>
        <v>0</v>
      </c>
      <c r="M72" s="409">
        <f>ROUND(A_N_B_vol_plein!M72/2,2)</f>
        <v>28.77</v>
      </c>
      <c r="N72" s="56">
        <f>ROUND(A_N_B_vol_plein!N72/2,2)</f>
        <v>0</v>
      </c>
      <c r="O72" s="388">
        <f>ROUND(MIN(MAX(ROUND(ROUND('Loonschijven_Tranches salariale'!$Q67*0.65,4)*Basisbedragen!$I$2,2),ROUND(Basisbedragen!$D$38*Basisbedragen!$I$2,2)),ROUND(ROUND(Basisbedragen!$D$27*0.65,4)*Basisbedragen!$I$2,2))/2,2)</f>
        <v>36.14</v>
      </c>
      <c r="P72" s="388">
        <f>ROUND(MIN(MAX(ROUND(ROUND('Loonschijven_Tranches salariale'!$Q67*0.6,4)*Basisbedragen!$I$2,2),ROUND(Basisbedragen!$D$39*Basisbedragen!$I$2,2)),ROUND(ROUND(Basisbedragen!$D$28*0.6,4)*Basisbedragen!$I$2,2))/2,2)</f>
        <v>33.36</v>
      </c>
      <c r="Q72" s="409">
        <f>ROUND(A_N_B_vol_plein!Q72/2,2)</f>
        <v>33.36</v>
      </c>
      <c r="R72" s="56">
        <f>ROUND(A_N_B_vol_plein!R72/2,2)</f>
        <v>0</v>
      </c>
      <c r="S72" s="409">
        <f>ROUND(A_N_B_vol_plein!S72/2,2)</f>
        <v>21.19</v>
      </c>
      <c r="T72" s="409">
        <f>ROUND(A_N_B_vol_plein!T72/2,2)</f>
        <v>14.93</v>
      </c>
    </row>
    <row r="73" spans="1:20" ht="15" thickBot="1">
      <c r="A73" s="47">
        <f t="shared" si="0"/>
        <v>61</v>
      </c>
      <c r="C73" s="388">
        <f>ROUND(MIN(MAX(ROUND(ROUND('Loonschijven_Tranches salariale'!$Q68*0.65,4)*Basisbedragen!$I$2,2),ROUND(Basisbedragen!$D$34*Basisbedragen!$I$2,2)),ROUND(ROUND(Basisbedragen!$D$27*0.65,4)*Basisbedragen!$I$2,2))/2,2)</f>
        <v>39.049999999999997</v>
      </c>
      <c r="D73" s="388">
        <f>ROUND(MIN(MAX(ROUND(ROUND('Loonschijven_Tranches salariale'!$Q68*0.6,4)*Basisbedragen!$I$2,2),ROUND(Basisbedragen!$D$34*Basisbedragen!$I$2,2)),ROUND(ROUND(Basisbedragen!$D$28*0.6,4)*Basisbedragen!$I$2,2))/2,2)</f>
        <v>39.049999999999997</v>
      </c>
      <c r="E73" s="388">
        <f>ROUND(A_N_B_vol_plein!E73/2,2)</f>
        <v>35.5</v>
      </c>
      <c r="F73" s="56">
        <f>ROUND(A_N_B_vol_plein!F73/2,2)</f>
        <v>0</v>
      </c>
      <c r="G73" s="388">
        <f>ROUND(A_N_B_vol_plein!G73/2,2)</f>
        <v>35.5</v>
      </c>
      <c r="H73" s="56">
        <f>ROUND(A_N_B_vol_plein!H73/2,2)</f>
        <v>0</v>
      </c>
      <c r="I73" s="388">
        <f>ROUND(MIN(MAX(ROUND(ROUND('Loonschijven_Tranches salariale'!$Q68*0.65,4)*Basisbedragen!$I$2,2),ROUND(Basisbedragen!$D$36*Basisbedragen!$I$2,2)),ROUND(ROUND(Basisbedragen!$D$27*0.65,4)*Basisbedragen!$I$2,2))/2,2)</f>
        <v>36.590000000000003</v>
      </c>
      <c r="J73" s="388">
        <f>ROUND(MIN(MAX(ROUND(ROUND('Loonschijven_Tranches salariale'!$Q68*0.6,4)*Basisbedragen!$I$2,2),ROUND(Basisbedragen!$D$36*Basisbedragen!$I$2,2)),ROUND(ROUND(Basisbedragen!$D$28*0.6,4)*Basisbedragen!$I$2,2))/2,2)</f>
        <v>33.770000000000003</v>
      </c>
      <c r="K73" s="388">
        <f>ROUND(A_N_B_vol_plein!K73/2,2)</f>
        <v>33.770000000000003</v>
      </c>
      <c r="L73" s="56">
        <f>ROUND(A_N_B_vol_plein!L73/2,2)</f>
        <v>0</v>
      </c>
      <c r="M73" s="388">
        <f>ROUND(A_N_B_vol_plein!M73/2,2)</f>
        <v>28.77</v>
      </c>
      <c r="N73" s="56">
        <f>ROUND(A_N_B_vol_plein!N73/2,2)</f>
        <v>0</v>
      </c>
      <c r="O73" s="388">
        <f>ROUND(MIN(MAX(ROUND(ROUND('Loonschijven_Tranches salariale'!$Q68*0.65,4)*Basisbedragen!$I$2,2),ROUND(Basisbedragen!$D$38*Basisbedragen!$I$2,2)),ROUND(ROUND(Basisbedragen!$D$27*0.65,4)*Basisbedragen!$I$2,2))/2,2)</f>
        <v>36.590000000000003</v>
      </c>
      <c r="P73" s="388">
        <f>ROUND(MIN(MAX(ROUND(ROUND('Loonschijven_Tranches salariale'!$Q68*0.6,4)*Basisbedragen!$I$2,2),ROUND(Basisbedragen!$D$39*Basisbedragen!$I$2,2)),ROUND(ROUND(Basisbedragen!$D$28*0.6,4)*Basisbedragen!$I$2,2))/2,2)</f>
        <v>33.770000000000003</v>
      </c>
      <c r="Q73" s="388">
        <f>ROUND(A_N_B_vol_plein!Q73/2,2)</f>
        <v>33.770000000000003</v>
      </c>
      <c r="R73" s="56">
        <f>ROUND(A_N_B_vol_plein!R73/2,2)</f>
        <v>0</v>
      </c>
      <c r="S73" s="388">
        <f>ROUND(A_N_B_vol_plein!S73/2,2)</f>
        <v>21.19</v>
      </c>
      <c r="T73" s="388">
        <f>ROUND(A_N_B_vol_plein!T73/2,2)</f>
        <v>14.93</v>
      </c>
    </row>
    <row r="74" spans="1:20" ht="15" thickBot="1">
      <c r="A74" s="47">
        <f t="shared" si="0"/>
        <v>62</v>
      </c>
      <c r="C74" s="388">
        <f>ROUND(MIN(MAX(ROUND(ROUND('Loonschijven_Tranches salariale'!$Q69*0.65,4)*Basisbedragen!$I$2,2),ROUND(Basisbedragen!$D$34*Basisbedragen!$I$2,2)),ROUND(ROUND(Basisbedragen!$D$27*0.65,4)*Basisbedragen!$I$2,2))/2,2)</f>
        <v>39.049999999999997</v>
      </c>
      <c r="D74" s="388">
        <f>ROUND(MIN(MAX(ROUND(ROUND('Loonschijven_Tranches salariale'!$Q69*0.6,4)*Basisbedragen!$I$2,2),ROUND(Basisbedragen!$D$34*Basisbedragen!$I$2,2)),ROUND(ROUND(Basisbedragen!$D$28*0.6,4)*Basisbedragen!$I$2,2))/2,2)</f>
        <v>39.049999999999997</v>
      </c>
      <c r="E74" s="388">
        <f>ROUND(A_N_B_vol_plein!E74/2,2)</f>
        <v>35.5</v>
      </c>
      <c r="F74" s="56">
        <f>ROUND(A_N_B_vol_plein!F74/2,2)</f>
        <v>0</v>
      </c>
      <c r="G74" s="388">
        <f>ROUND(A_N_B_vol_plein!G74/2,2)</f>
        <v>35.5</v>
      </c>
      <c r="H74" s="56">
        <f>ROUND(A_N_B_vol_plein!H74/2,2)</f>
        <v>0</v>
      </c>
      <c r="I74" s="388">
        <f>ROUND(MIN(MAX(ROUND(ROUND('Loonschijven_Tranches salariale'!$Q69*0.65,4)*Basisbedragen!$I$2,2),ROUND(Basisbedragen!$D$36*Basisbedragen!$I$2,2)),ROUND(ROUND(Basisbedragen!$D$27*0.65,4)*Basisbedragen!$I$2,2))/2,2)</f>
        <v>37.1</v>
      </c>
      <c r="J74" s="388">
        <f>ROUND(MIN(MAX(ROUND(ROUND('Loonschijven_Tranches salariale'!$Q69*0.6,4)*Basisbedragen!$I$2,2),ROUND(Basisbedragen!$D$36*Basisbedragen!$I$2,2)),ROUND(ROUND(Basisbedragen!$D$28*0.6,4)*Basisbedragen!$I$2,2))/2,2)</f>
        <v>34.24</v>
      </c>
      <c r="K74" s="388">
        <f>ROUND(A_N_B_vol_plein!K74/2,2)</f>
        <v>34.24</v>
      </c>
      <c r="L74" s="56">
        <f>ROUND(A_N_B_vol_plein!L74/2,2)</f>
        <v>0</v>
      </c>
      <c r="M74" s="388">
        <f>ROUND(A_N_B_vol_plein!M74/2,2)</f>
        <v>28.77</v>
      </c>
      <c r="N74" s="56">
        <f>ROUND(A_N_B_vol_plein!N74/2,2)</f>
        <v>0</v>
      </c>
      <c r="O74" s="388">
        <f>ROUND(MIN(MAX(ROUND(ROUND('Loonschijven_Tranches salariale'!$Q69*0.65,4)*Basisbedragen!$I$2,2),ROUND(Basisbedragen!$D$38*Basisbedragen!$I$2,2)),ROUND(ROUND(Basisbedragen!$D$27*0.65,4)*Basisbedragen!$I$2,2))/2,2)</f>
        <v>37.1</v>
      </c>
      <c r="P74" s="388">
        <f>ROUND(MIN(MAX(ROUND(ROUND('Loonschijven_Tranches salariale'!$Q69*0.6,4)*Basisbedragen!$I$2,2),ROUND(Basisbedragen!$D$39*Basisbedragen!$I$2,2)),ROUND(ROUND(Basisbedragen!$D$28*0.6,4)*Basisbedragen!$I$2,2))/2,2)</f>
        <v>34.24</v>
      </c>
      <c r="Q74" s="388">
        <f>ROUND(A_N_B_vol_plein!Q74/2,2)</f>
        <v>34.24</v>
      </c>
      <c r="R74" s="56">
        <f>ROUND(A_N_B_vol_plein!R74/2,2)</f>
        <v>0</v>
      </c>
      <c r="S74" s="388">
        <f>ROUND(A_N_B_vol_plein!S74/2,2)</f>
        <v>21.19</v>
      </c>
      <c r="T74" s="388">
        <f>ROUND(A_N_B_vol_plein!T74/2,2)</f>
        <v>14.93</v>
      </c>
    </row>
    <row r="75" spans="1:20" ht="15" thickBot="1">
      <c r="A75" s="47">
        <f t="shared" si="0"/>
        <v>63</v>
      </c>
      <c r="C75" s="388">
        <f>ROUND(MIN(MAX(ROUND(ROUND('Loonschijven_Tranches salariale'!$Q70*0.65,4)*Basisbedragen!$I$2,2),ROUND(Basisbedragen!$D$34*Basisbedragen!$I$2,2)),ROUND(ROUND(Basisbedragen!$D$27*0.65,4)*Basisbedragen!$I$2,2))/2,2)</f>
        <v>39.049999999999997</v>
      </c>
      <c r="D75" s="388">
        <f>ROUND(MIN(MAX(ROUND(ROUND('Loonschijven_Tranches salariale'!$Q70*0.6,4)*Basisbedragen!$I$2,2),ROUND(Basisbedragen!$D$34*Basisbedragen!$I$2,2)),ROUND(ROUND(Basisbedragen!$D$28*0.6,4)*Basisbedragen!$I$2,2))/2,2)</f>
        <v>39.049999999999997</v>
      </c>
      <c r="E75" s="388">
        <f>ROUND(A_N_B_vol_plein!E75/2,2)</f>
        <v>35.5</v>
      </c>
      <c r="F75" s="56">
        <f>ROUND(A_N_B_vol_plein!F75/2,2)</f>
        <v>0</v>
      </c>
      <c r="G75" s="388">
        <f>ROUND(A_N_B_vol_plein!G75/2,2)</f>
        <v>35.5</v>
      </c>
      <c r="H75" s="56">
        <f>ROUND(A_N_B_vol_plein!H75/2,2)</f>
        <v>0</v>
      </c>
      <c r="I75" s="388">
        <f>ROUND(MIN(MAX(ROUND(ROUND('Loonschijven_Tranches salariale'!$Q70*0.65,4)*Basisbedragen!$I$2,2),ROUND(Basisbedragen!$D$36*Basisbedragen!$I$2,2)),ROUND(ROUND(Basisbedragen!$D$27*0.65,4)*Basisbedragen!$I$2,2))/2,2)</f>
        <v>37.6</v>
      </c>
      <c r="J75" s="388">
        <f>ROUND(MIN(MAX(ROUND(ROUND('Loonschijven_Tranches salariale'!$Q70*0.6,4)*Basisbedragen!$I$2,2),ROUND(Basisbedragen!$D$36*Basisbedragen!$I$2,2)),ROUND(ROUND(Basisbedragen!$D$28*0.6,4)*Basisbedragen!$I$2,2))/2,2)</f>
        <v>34.71</v>
      </c>
      <c r="K75" s="388">
        <f>ROUND(A_N_B_vol_plein!K75/2,2)</f>
        <v>34.71</v>
      </c>
      <c r="L75" s="56">
        <f>ROUND(A_N_B_vol_plein!L75/2,2)</f>
        <v>0</v>
      </c>
      <c r="M75" s="388">
        <f>ROUND(A_N_B_vol_plein!M75/2,2)</f>
        <v>28.77</v>
      </c>
      <c r="N75" s="56">
        <f>ROUND(A_N_B_vol_plein!N75/2,2)</f>
        <v>0</v>
      </c>
      <c r="O75" s="388">
        <f>ROUND(MIN(MAX(ROUND(ROUND('Loonschijven_Tranches salariale'!$Q70*0.65,4)*Basisbedragen!$I$2,2),ROUND(Basisbedragen!$D$38*Basisbedragen!$I$2,2)),ROUND(ROUND(Basisbedragen!$D$27*0.65,4)*Basisbedragen!$I$2,2))/2,2)</f>
        <v>37.6</v>
      </c>
      <c r="P75" s="388">
        <f>ROUND(MIN(MAX(ROUND(ROUND('Loonschijven_Tranches salariale'!$Q70*0.6,4)*Basisbedragen!$I$2,2),ROUND(Basisbedragen!$D$39*Basisbedragen!$I$2,2)),ROUND(ROUND(Basisbedragen!$D$28*0.6,4)*Basisbedragen!$I$2,2))/2,2)</f>
        <v>34.71</v>
      </c>
      <c r="Q75" s="388">
        <f>ROUND(A_N_B_vol_plein!Q75/2,2)</f>
        <v>34.71</v>
      </c>
      <c r="R75" s="56">
        <f>ROUND(A_N_B_vol_plein!R75/2,2)</f>
        <v>0</v>
      </c>
      <c r="S75" s="388">
        <f>ROUND(A_N_B_vol_plein!S75/2,2)</f>
        <v>21.19</v>
      </c>
      <c r="T75" s="388">
        <f>ROUND(A_N_B_vol_plein!T75/2,2)</f>
        <v>14.93</v>
      </c>
    </row>
    <row r="76" spans="1:20" ht="15" thickBot="1">
      <c r="A76" s="47">
        <f t="shared" si="0"/>
        <v>64</v>
      </c>
      <c r="C76" s="388">
        <f>ROUND(MIN(MAX(ROUND(ROUND('Loonschijven_Tranches salariale'!$Q71*0.65,4)*Basisbedragen!$I$2,2),ROUND(Basisbedragen!$D$34*Basisbedragen!$I$2,2)),ROUND(ROUND(Basisbedragen!$D$27*0.65,4)*Basisbedragen!$I$2,2))/2,2)</f>
        <v>39.049999999999997</v>
      </c>
      <c r="D76" s="388">
        <f>ROUND(MIN(MAX(ROUND(ROUND('Loonschijven_Tranches salariale'!$Q71*0.6,4)*Basisbedragen!$I$2,2),ROUND(Basisbedragen!$D$34*Basisbedragen!$I$2,2)),ROUND(ROUND(Basisbedragen!$D$28*0.6,4)*Basisbedragen!$I$2,2))/2,2)</f>
        <v>39.049999999999997</v>
      </c>
      <c r="E76" s="388">
        <f>ROUND(A_N_B_vol_plein!E76/2,2)</f>
        <v>35.5</v>
      </c>
      <c r="F76" s="56">
        <f>ROUND(A_N_B_vol_plein!F76/2,2)</f>
        <v>0</v>
      </c>
      <c r="G76" s="388">
        <f>ROUND(A_N_B_vol_plein!G76/2,2)</f>
        <v>35.5</v>
      </c>
      <c r="H76" s="56">
        <f>ROUND(A_N_B_vol_plein!H76/2,2)</f>
        <v>0</v>
      </c>
      <c r="I76" s="388">
        <f>ROUND(MIN(MAX(ROUND(ROUND('Loonschijven_Tranches salariale'!$Q71*0.65,4)*Basisbedragen!$I$2,2),ROUND(Basisbedragen!$D$36*Basisbedragen!$I$2,2)),ROUND(ROUND(Basisbedragen!$D$27*0.65,4)*Basisbedragen!$I$2,2))/2,2)</f>
        <v>38.200000000000003</v>
      </c>
      <c r="J76" s="388">
        <f>ROUND(MIN(MAX(ROUND(ROUND('Loonschijven_Tranches salariale'!$Q71*0.6,4)*Basisbedragen!$I$2,2),ROUND(Basisbedragen!$D$36*Basisbedragen!$I$2,2)),ROUND(ROUND(Basisbedragen!$D$28*0.6,4)*Basisbedragen!$I$2,2))/2,2)</f>
        <v>35.26</v>
      </c>
      <c r="K76" s="388">
        <f>ROUND(A_N_B_vol_plein!K76/2,2)</f>
        <v>35.26</v>
      </c>
      <c r="L76" s="56">
        <f>ROUND(A_N_B_vol_plein!L76/2,2)</f>
        <v>0</v>
      </c>
      <c r="M76" s="388">
        <f>ROUND(A_N_B_vol_plein!M76/2,2)</f>
        <v>28.77</v>
      </c>
      <c r="N76" s="56">
        <f>ROUND(A_N_B_vol_plein!N76/2,2)</f>
        <v>0</v>
      </c>
      <c r="O76" s="388">
        <f>ROUND(MIN(MAX(ROUND(ROUND('Loonschijven_Tranches salariale'!$Q71*0.65,4)*Basisbedragen!$I$2,2),ROUND(Basisbedragen!$D$38*Basisbedragen!$I$2,2)),ROUND(ROUND(Basisbedragen!$D$27*0.65,4)*Basisbedragen!$I$2,2))/2,2)</f>
        <v>38.200000000000003</v>
      </c>
      <c r="P76" s="388">
        <f>ROUND(MIN(MAX(ROUND(ROUND('Loonschijven_Tranches salariale'!$Q71*0.6,4)*Basisbedragen!$I$2,2),ROUND(Basisbedragen!$D$39*Basisbedragen!$I$2,2)),ROUND(ROUND(Basisbedragen!$D$28*0.6,4)*Basisbedragen!$I$2,2))/2,2)</f>
        <v>35.26</v>
      </c>
      <c r="Q76" s="388">
        <f>ROUND(A_N_B_vol_plein!Q76/2,2)</f>
        <v>35.26</v>
      </c>
      <c r="R76" s="56">
        <f>ROUND(A_N_B_vol_plein!R76/2,2)</f>
        <v>0</v>
      </c>
      <c r="S76" s="388">
        <f>ROUND(A_N_B_vol_plein!S76/2,2)</f>
        <v>21.19</v>
      </c>
      <c r="T76" s="388">
        <f>ROUND(A_N_B_vol_plein!T76/2,2)</f>
        <v>14.93</v>
      </c>
    </row>
    <row r="77" spans="1:20" ht="15" thickBot="1">
      <c r="A77" s="47">
        <f t="shared" si="0"/>
        <v>65</v>
      </c>
      <c r="C77" s="388">
        <f>ROUND(MIN(MAX(ROUND(ROUND('Loonschijven_Tranches salariale'!$Q72*0.65,4)*Basisbedragen!$I$2,2),ROUND(Basisbedragen!$D$34*Basisbedragen!$I$2,2)),ROUND(ROUND(Basisbedragen!$D$27*0.65,4)*Basisbedragen!$I$2,2))/2,2)</f>
        <v>39.049999999999997</v>
      </c>
      <c r="D77" s="388">
        <f>ROUND(MIN(MAX(ROUND(ROUND('Loonschijven_Tranches salariale'!$Q72*0.6,4)*Basisbedragen!$I$2,2),ROUND(Basisbedragen!$D$34*Basisbedragen!$I$2,2)),ROUND(ROUND(Basisbedragen!$D$28*0.6,4)*Basisbedragen!$I$2,2))/2,2)</f>
        <v>39.049999999999997</v>
      </c>
      <c r="E77" s="409">
        <f>ROUND(A_N_B_vol_plein!E77/2,2)</f>
        <v>35.700000000000003</v>
      </c>
      <c r="F77" s="56">
        <f>ROUND(A_N_B_vol_plein!F77/2,2)</f>
        <v>0</v>
      </c>
      <c r="G77" s="409">
        <f>ROUND(A_N_B_vol_plein!G77/2,2)</f>
        <v>35.5</v>
      </c>
      <c r="H77" s="56">
        <f>ROUND(A_N_B_vol_plein!H77/2,2)</f>
        <v>0</v>
      </c>
      <c r="I77" s="388">
        <f>ROUND(MIN(MAX(ROUND(ROUND('Loonschijven_Tranches salariale'!$Q72*0.65,4)*Basisbedragen!$I$2,2),ROUND(Basisbedragen!$D$36*Basisbedragen!$I$2,2)),ROUND(ROUND(Basisbedragen!$D$27*0.65,4)*Basisbedragen!$I$2,2))/2,2)</f>
        <v>38.68</v>
      </c>
      <c r="J77" s="388">
        <f>ROUND(MIN(MAX(ROUND(ROUND('Loonschijven_Tranches salariale'!$Q72*0.6,4)*Basisbedragen!$I$2,2),ROUND(Basisbedragen!$D$36*Basisbedragen!$I$2,2)),ROUND(ROUND(Basisbedragen!$D$28*0.6,4)*Basisbedragen!$I$2,2))/2,2)</f>
        <v>35.700000000000003</v>
      </c>
      <c r="K77" s="409">
        <f>ROUND(A_N_B_vol_plein!K77/2,2)</f>
        <v>35.700000000000003</v>
      </c>
      <c r="L77" s="56">
        <f>ROUND(A_N_B_vol_plein!L77/2,2)</f>
        <v>0</v>
      </c>
      <c r="M77" s="409">
        <f>ROUND(A_N_B_vol_plein!M77/2,2)</f>
        <v>28.77</v>
      </c>
      <c r="N77" s="56">
        <f>ROUND(A_N_B_vol_plein!N77/2,2)</f>
        <v>0</v>
      </c>
      <c r="O77" s="388">
        <f>ROUND(MIN(MAX(ROUND(ROUND('Loonschijven_Tranches salariale'!$Q72*0.65,4)*Basisbedragen!$I$2,2),ROUND(Basisbedragen!$D$38*Basisbedragen!$I$2,2)),ROUND(ROUND(Basisbedragen!$D$27*0.65,4)*Basisbedragen!$I$2,2))/2,2)</f>
        <v>38.68</v>
      </c>
      <c r="P77" s="388">
        <f>ROUND(MIN(MAX(ROUND(ROUND('Loonschijven_Tranches salariale'!$Q72*0.6,4)*Basisbedragen!$I$2,2),ROUND(Basisbedragen!$D$39*Basisbedragen!$I$2,2)),ROUND(ROUND(Basisbedragen!$D$28*0.6,4)*Basisbedragen!$I$2,2))/2,2)</f>
        <v>35.700000000000003</v>
      </c>
      <c r="Q77" s="409">
        <f>ROUND(A_N_B_vol_plein!Q77/2,2)</f>
        <v>35.700000000000003</v>
      </c>
      <c r="R77" s="56">
        <f>ROUND(A_N_B_vol_plein!R77/2,2)</f>
        <v>0</v>
      </c>
      <c r="S77" s="409">
        <f>ROUND(A_N_B_vol_plein!S77/2,2)</f>
        <v>21.19</v>
      </c>
      <c r="T77" s="409">
        <f>ROUND(A_N_B_vol_plein!T77/2,2)</f>
        <v>14.93</v>
      </c>
    </row>
    <row r="78" spans="1:20" ht="15" thickBot="1">
      <c r="A78" s="47">
        <f t="shared" si="0"/>
        <v>66</v>
      </c>
      <c r="C78" s="388">
        <f>ROUND(MIN(MAX(ROUND(ROUND('Loonschijven_Tranches salariale'!$Q73*0.65,4)*Basisbedragen!$I$2,2),ROUND(Basisbedragen!$D$34*Basisbedragen!$I$2,2)),ROUND(ROUND(Basisbedragen!$D$27*0.65,4)*Basisbedragen!$I$2,2))/2,2)</f>
        <v>39.130000000000003</v>
      </c>
      <c r="D78" s="388">
        <f>ROUND(MIN(MAX(ROUND(ROUND('Loonschijven_Tranches salariale'!$Q73*0.6,4)*Basisbedragen!$I$2,2),ROUND(Basisbedragen!$D$34*Basisbedragen!$I$2,2)),ROUND(ROUND(Basisbedragen!$D$28*0.6,4)*Basisbedragen!$I$2,2))/2,2)</f>
        <v>39.049999999999997</v>
      </c>
      <c r="E78" s="388">
        <f>ROUND(A_N_B_vol_plein!E78/2,2)</f>
        <v>36.119999999999997</v>
      </c>
      <c r="F78" s="56">
        <f>ROUND(A_N_B_vol_plein!F78/2,2)</f>
        <v>0</v>
      </c>
      <c r="G78" s="388">
        <f>ROUND(A_N_B_vol_plein!G78/2,2)</f>
        <v>35.5</v>
      </c>
      <c r="H78" s="56">
        <f>ROUND(A_N_B_vol_plein!H78/2,2)</f>
        <v>0</v>
      </c>
      <c r="I78" s="388">
        <f>ROUND(MIN(MAX(ROUND(ROUND('Loonschijven_Tranches salariale'!$Q73*0.65,4)*Basisbedragen!$I$2,2),ROUND(Basisbedragen!$D$36*Basisbedragen!$I$2,2)),ROUND(ROUND(Basisbedragen!$D$27*0.65,4)*Basisbedragen!$I$2,2))/2,2)</f>
        <v>39.130000000000003</v>
      </c>
      <c r="J78" s="388">
        <f>ROUND(MIN(MAX(ROUND(ROUND('Loonschijven_Tranches salariale'!$Q73*0.6,4)*Basisbedragen!$I$2,2),ROUND(Basisbedragen!$D$36*Basisbedragen!$I$2,2)),ROUND(ROUND(Basisbedragen!$D$28*0.6,4)*Basisbedragen!$I$2,2))/2,2)</f>
        <v>36.119999999999997</v>
      </c>
      <c r="K78" s="388">
        <f>ROUND(A_N_B_vol_plein!K78/2,2)</f>
        <v>36.119999999999997</v>
      </c>
      <c r="L78" s="56">
        <f>ROUND(A_N_B_vol_plein!L78/2,2)</f>
        <v>0</v>
      </c>
      <c r="M78" s="388">
        <f>ROUND(A_N_B_vol_plein!M78/2,2)</f>
        <v>28.77</v>
      </c>
      <c r="N78" s="56">
        <f>ROUND(A_N_B_vol_plein!N78/2,2)</f>
        <v>0</v>
      </c>
      <c r="O78" s="388">
        <f>ROUND(MIN(MAX(ROUND(ROUND('Loonschijven_Tranches salariale'!$Q73*0.65,4)*Basisbedragen!$I$2,2),ROUND(Basisbedragen!$D$38*Basisbedragen!$I$2,2)),ROUND(ROUND(Basisbedragen!$D$27*0.65,4)*Basisbedragen!$I$2,2))/2,2)</f>
        <v>39.130000000000003</v>
      </c>
      <c r="P78" s="388">
        <f>ROUND(MIN(MAX(ROUND(ROUND('Loonschijven_Tranches salariale'!$Q73*0.6,4)*Basisbedragen!$I$2,2),ROUND(Basisbedragen!$D$39*Basisbedragen!$I$2,2)),ROUND(ROUND(Basisbedragen!$D$28*0.6,4)*Basisbedragen!$I$2,2))/2,2)</f>
        <v>36.119999999999997</v>
      </c>
      <c r="Q78" s="388">
        <f>ROUND(A_N_B_vol_plein!Q78/2,2)</f>
        <v>36.119999999999997</v>
      </c>
      <c r="R78" s="56">
        <f>ROUND(A_N_B_vol_plein!R78/2,2)</f>
        <v>0</v>
      </c>
      <c r="S78" s="388">
        <f>ROUND(A_N_B_vol_plein!S78/2,2)</f>
        <v>21.19</v>
      </c>
      <c r="T78" s="388">
        <f>ROUND(A_N_B_vol_plein!T78/2,2)</f>
        <v>14.93</v>
      </c>
    </row>
    <row r="79" spans="1:20" ht="15" thickBot="1">
      <c r="A79" s="47">
        <f t="shared" ref="A79:A111" si="1">A78+1</f>
        <v>67</v>
      </c>
      <c r="C79" s="388">
        <f>ROUND(MIN(MAX(ROUND(ROUND('Loonschijven_Tranches salariale'!$Q74*0.65,4)*Basisbedragen!$I$2,2),ROUND(Basisbedragen!$D$34*Basisbedragen!$I$2,2)),ROUND(ROUND(Basisbedragen!$D$27*0.65,4)*Basisbedragen!$I$2,2))/2,2)</f>
        <v>39.64</v>
      </c>
      <c r="D79" s="388">
        <f>ROUND(MIN(MAX(ROUND(ROUND('Loonschijven_Tranches salariale'!$Q74*0.6,4)*Basisbedragen!$I$2,2),ROUND(Basisbedragen!$D$34*Basisbedragen!$I$2,2)),ROUND(ROUND(Basisbedragen!$D$28*0.6,4)*Basisbedragen!$I$2,2))/2,2)</f>
        <v>39.049999999999997</v>
      </c>
      <c r="E79" s="388">
        <f>ROUND(A_N_B_vol_plein!E79/2,2)</f>
        <v>36.590000000000003</v>
      </c>
      <c r="F79" s="56">
        <f>ROUND(A_N_B_vol_plein!F79/2,2)</f>
        <v>0</v>
      </c>
      <c r="G79" s="388">
        <f>ROUND(A_N_B_vol_plein!G79/2,2)</f>
        <v>35.5</v>
      </c>
      <c r="H79" s="56">
        <f>ROUND(A_N_B_vol_plein!H79/2,2)</f>
        <v>0</v>
      </c>
      <c r="I79" s="388">
        <f>ROUND(MIN(MAX(ROUND(ROUND('Loonschijven_Tranches salariale'!$Q74*0.65,4)*Basisbedragen!$I$2,2),ROUND(Basisbedragen!$D$36*Basisbedragen!$I$2,2)),ROUND(ROUND(Basisbedragen!$D$27*0.65,4)*Basisbedragen!$I$2,2))/2,2)</f>
        <v>39.64</v>
      </c>
      <c r="J79" s="388">
        <f>ROUND(MIN(MAX(ROUND(ROUND('Loonschijven_Tranches salariale'!$Q74*0.6,4)*Basisbedragen!$I$2,2),ROUND(Basisbedragen!$D$36*Basisbedragen!$I$2,2)),ROUND(ROUND(Basisbedragen!$D$28*0.6,4)*Basisbedragen!$I$2,2))/2,2)</f>
        <v>36.590000000000003</v>
      </c>
      <c r="K79" s="388">
        <f>ROUND(A_N_B_vol_plein!K79/2,2)</f>
        <v>36.590000000000003</v>
      </c>
      <c r="L79" s="56">
        <f>ROUND(A_N_B_vol_plein!L79/2,2)</f>
        <v>0</v>
      </c>
      <c r="M79" s="388">
        <f>ROUND(A_N_B_vol_plein!M79/2,2)</f>
        <v>28.77</v>
      </c>
      <c r="N79" s="56">
        <f>ROUND(A_N_B_vol_plein!N79/2,2)</f>
        <v>0</v>
      </c>
      <c r="O79" s="388">
        <f>ROUND(MIN(MAX(ROUND(ROUND('Loonschijven_Tranches salariale'!$Q74*0.65,4)*Basisbedragen!$I$2,2),ROUND(Basisbedragen!$D$38*Basisbedragen!$I$2,2)),ROUND(ROUND(Basisbedragen!$D$27*0.65,4)*Basisbedragen!$I$2,2))/2,2)</f>
        <v>39.64</v>
      </c>
      <c r="P79" s="388">
        <f>ROUND(MIN(MAX(ROUND(ROUND('Loonschijven_Tranches salariale'!$Q74*0.6,4)*Basisbedragen!$I$2,2),ROUND(Basisbedragen!$D$39*Basisbedragen!$I$2,2)),ROUND(ROUND(Basisbedragen!$D$28*0.6,4)*Basisbedragen!$I$2,2))/2,2)</f>
        <v>36.590000000000003</v>
      </c>
      <c r="Q79" s="388">
        <f>ROUND(A_N_B_vol_plein!Q79/2,2)</f>
        <v>36.590000000000003</v>
      </c>
      <c r="R79" s="56">
        <f>ROUND(A_N_B_vol_plein!R79/2,2)</f>
        <v>0</v>
      </c>
      <c r="S79" s="388">
        <f>ROUND(A_N_B_vol_plein!S79/2,2)</f>
        <v>21.19</v>
      </c>
      <c r="T79" s="388">
        <f>ROUND(A_N_B_vol_plein!T79/2,2)</f>
        <v>14.93</v>
      </c>
    </row>
    <row r="80" spans="1:20" ht="15" thickBot="1">
      <c r="A80" s="47">
        <f t="shared" si="1"/>
        <v>68</v>
      </c>
      <c r="C80" s="388">
        <f>ROUND(MIN(MAX(ROUND(ROUND('Loonschijven_Tranches salariale'!$Q75*0.65,4)*Basisbedragen!$I$2,2),ROUND(Basisbedragen!$D$34*Basisbedragen!$I$2,2)),ROUND(ROUND(Basisbedragen!$D$27*0.65,4)*Basisbedragen!$I$2,2))/2,2)</f>
        <v>40.14</v>
      </c>
      <c r="D80" s="388">
        <f>ROUND(MIN(MAX(ROUND(ROUND('Loonschijven_Tranches salariale'!$Q75*0.6,4)*Basisbedragen!$I$2,2),ROUND(Basisbedragen!$D$34*Basisbedragen!$I$2,2)),ROUND(ROUND(Basisbedragen!$D$28*0.6,4)*Basisbedragen!$I$2,2))/2,2)</f>
        <v>39.049999999999997</v>
      </c>
      <c r="E80" s="388">
        <f>ROUND(A_N_B_vol_plein!E80/2,2)</f>
        <v>37.06</v>
      </c>
      <c r="F80" s="56">
        <f>ROUND(A_N_B_vol_plein!F80/2,2)</f>
        <v>0</v>
      </c>
      <c r="G80" s="388">
        <f>ROUND(A_N_B_vol_plein!G80/2,2)</f>
        <v>35.5</v>
      </c>
      <c r="H80" s="56">
        <f>ROUND(A_N_B_vol_plein!H80/2,2)</f>
        <v>0</v>
      </c>
      <c r="I80" s="388">
        <f>ROUND(MIN(MAX(ROUND(ROUND('Loonschijven_Tranches salariale'!$Q75*0.65,4)*Basisbedragen!$I$2,2),ROUND(Basisbedragen!$D$36*Basisbedragen!$I$2,2)),ROUND(ROUND(Basisbedragen!$D$27*0.65,4)*Basisbedragen!$I$2,2))/2,2)</f>
        <v>40.14</v>
      </c>
      <c r="J80" s="388">
        <f>ROUND(MIN(MAX(ROUND(ROUND('Loonschijven_Tranches salariale'!$Q75*0.6,4)*Basisbedragen!$I$2,2),ROUND(Basisbedragen!$D$36*Basisbedragen!$I$2,2)),ROUND(ROUND(Basisbedragen!$D$28*0.6,4)*Basisbedragen!$I$2,2))/2,2)</f>
        <v>37.06</v>
      </c>
      <c r="K80" s="388">
        <f>ROUND(A_N_B_vol_plein!K80/2,2)</f>
        <v>37.06</v>
      </c>
      <c r="L80" s="56">
        <f>ROUND(A_N_B_vol_plein!L80/2,2)</f>
        <v>0</v>
      </c>
      <c r="M80" s="388">
        <f>ROUND(A_N_B_vol_plein!M80/2,2)</f>
        <v>28.77</v>
      </c>
      <c r="N80" s="56">
        <f>ROUND(A_N_B_vol_plein!N80/2,2)</f>
        <v>0</v>
      </c>
      <c r="O80" s="388">
        <f>ROUND(MIN(MAX(ROUND(ROUND('Loonschijven_Tranches salariale'!$Q75*0.65,4)*Basisbedragen!$I$2,2),ROUND(Basisbedragen!$D$38*Basisbedragen!$I$2,2)),ROUND(ROUND(Basisbedragen!$D$27*0.65,4)*Basisbedragen!$I$2,2))/2,2)</f>
        <v>40.14</v>
      </c>
      <c r="P80" s="388">
        <f>ROUND(MIN(MAX(ROUND(ROUND('Loonschijven_Tranches salariale'!$Q75*0.6,4)*Basisbedragen!$I$2,2),ROUND(Basisbedragen!$D$39*Basisbedragen!$I$2,2)),ROUND(ROUND(Basisbedragen!$D$28*0.6,4)*Basisbedragen!$I$2,2))/2,2)</f>
        <v>37.06</v>
      </c>
      <c r="Q80" s="388">
        <f>ROUND(A_N_B_vol_plein!Q80/2,2)</f>
        <v>37.06</v>
      </c>
      <c r="R80" s="56">
        <f>ROUND(A_N_B_vol_plein!R80/2,2)</f>
        <v>0</v>
      </c>
      <c r="S80" s="388">
        <f>ROUND(A_N_B_vol_plein!S80/2,2)</f>
        <v>21.19</v>
      </c>
      <c r="T80" s="388">
        <f>ROUND(A_N_B_vol_plein!T80/2,2)</f>
        <v>14.93</v>
      </c>
    </row>
    <row r="81" spans="1:20" ht="15" thickBot="1">
      <c r="A81" s="47">
        <f t="shared" si="1"/>
        <v>69</v>
      </c>
      <c r="C81" s="388">
        <f>ROUND(MIN(MAX(ROUND(ROUND('Loonschijven_Tranches salariale'!$Q76*0.65,4)*Basisbedragen!$I$2,2),ROUND(Basisbedragen!$D$34*Basisbedragen!$I$2,2)),ROUND(ROUND(Basisbedragen!$D$27*0.65,4)*Basisbedragen!$I$2,2))/2,2)</f>
        <v>40.65</v>
      </c>
      <c r="D81" s="388">
        <f>ROUND(MIN(MAX(ROUND(ROUND('Loonschijven_Tranches salariale'!$Q76*0.6,4)*Basisbedragen!$I$2,2),ROUND(Basisbedragen!$D$34*Basisbedragen!$I$2,2)),ROUND(ROUND(Basisbedragen!$D$28*0.6,4)*Basisbedragen!$I$2,2))/2,2)</f>
        <v>39.049999999999997</v>
      </c>
      <c r="E81" s="388">
        <f>ROUND(A_N_B_vol_plein!E81/2,2)</f>
        <v>37.53</v>
      </c>
      <c r="F81" s="56">
        <f>ROUND(A_N_B_vol_plein!F81/2,2)</f>
        <v>0</v>
      </c>
      <c r="G81" s="388">
        <f>ROUND(A_N_B_vol_plein!G81/2,2)</f>
        <v>35.5</v>
      </c>
      <c r="H81" s="56">
        <f>ROUND(A_N_B_vol_plein!H81/2,2)</f>
        <v>0</v>
      </c>
      <c r="I81" s="388">
        <f>ROUND(MIN(MAX(ROUND(ROUND('Loonschijven_Tranches salariale'!$Q76*0.65,4)*Basisbedragen!$I$2,2),ROUND(Basisbedragen!$D$36*Basisbedragen!$I$2,2)),ROUND(ROUND(Basisbedragen!$D$27*0.65,4)*Basisbedragen!$I$2,2))/2,2)</f>
        <v>40.65</v>
      </c>
      <c r="J81" s="388">
        <f>ROUND(MIN(MAX(ROUND(ROUND('Loonschijven_Tranches salariale'!$Q76*0.6,4)*Basisbedragen!$I$2,2),ROUND(Basisbedragen!$D$36*Basisbedragen!$I$2,2)),ROUND(ROUND(Basisbedragen!$D$28*0.6,4)*Basisbedragen!$I$2,2))/2,2)</f>
        <v>37.53</v>
      </c>
      <c r="K81" s="388">
        <f>ROUND(A_N_B_vol_plein!K81/2,2)</f>
        <v>37.53</v>
      </c>
      <c r="L81" s="56">
        <f>ROUND(A_N_B_vol_plein!L81/2,2)</f>
        <v>0</v>
      </c>
      <c r="M81" s="388">
        <f>ROUND(A_N_B_vol_plein!M81/2,2)</f>
        <v>28.77</v>
      </c>
      <c r="N81" s="56">
        <f>ROUND(A_N_B_vol_plein!N81/2,2)</f>
        <v>0</v>
      </c>
      <c r="O81" s="388">
        <f>ROUND(MIN(MAX(ROUND(ROUND('Loonschijven_Tranches salariale'!$Q76*0.65,4)*Basisbedragen!$I$2,2),ROUND(Basisbedragen!$D$38*Basisbedragen!$I$2,2)),ROUND(ROUND(Basisbedragen!$D$27*0.65,4)*Basisbedragen!$I$2,2))/2,2)</f>
        <v>40.65</v>
      </c>
      <c r="P81" s="388">
        <f>ROUND(MIN(MAX(ROUND(ROUND('Loonschijven_Tranches salariale'!$Q76*0.6,4)*Basisbedragen!$I$2,2),ROUND(Basisbedragen!$D$39*Basisbedragen!$I$2,2)),ROUND(ROUND(Basisbedragen!$D$28*0.6,4)*Basisbedragen!$I$2,2))/2,2)</f>
        <v>37.53</v>
      </c>
      <c r="Q81" s="388">
        <f>ROUND(A_N_B_vol_plein!Q81/2,2)</f>
        <v>37.53</v>
      </c>
      <c r="R81" s="56">
        <f>ROUND(A_N_B_vol_plein!R81/2,2)</f>
        <v>0</v>
      </c>
      <c r="S81" s="388">
        <f>ROUND(A_N_B_vol_plein!S81/2,2)</f>
        <v>21.19</v>
      </c>
      <c r="T81" s="388">
        <f>ROUND(A_N_B_vol_plein!T81/2,2)</f>
        <v>14.93</v>
      </c>
    </row>
    <row r="82" spans="1:20" ht="15" thickBot="1">
      <c r="A82" s="47">
        <f t="shared" si="1"/>
        <v>70</v>
      </c>
      <c r="C82" s="388">
        <f>ROUND(MIN(MAX(ROUND(ROUND('Loonschijven_Tranches salariale'!$Q77*0.65,4)*Basisbedragen!$I$2,2),ROUND(Basisbedragen!$D$34*Basisbedragen!$I$2,2)),ROUND(ROUND(Basisbedragen!$D$27*0.65,4)*Basisbedragen!$I$2,2))/2,2)</f>
        <v>40.99</v>
      </c>
      <c r="D82" s="388">
        <f>ROUND(MIN(MAX(ROUND(ROUND('Loonschijven_Tranches salariale'!$Q77*0.6,4)*Basisbedragen!$I$2,2),ROUND(Basisbedragen!$D$34*Basisbedragen!$I$2,2)),ROUND(ROUND(Basisbedragen!$D$28*0.6,4)*Basisbedragen!$I$2,2))/2,2)</f>
        <v>39.049999999999997</v>
      </c>
      <c r="E82" s="409">
        <f>ROUND(A_N_B_vol_plein!E82/2,2)</f>
        <v>37.83</v>
      </c>
      <c r="F82" s="56">
        <f>ROUND(A_N_B_vol_plein!F82/2,2)</f>
        <v>0</v>
      </c>
      <c r="G82" s="409">
        <f>ROUND(A_N_B_vol_plein!G82/2,2)</f>
        <v>35.5</v>
      </c>
      <c r="H82" s="56">
        <f>ROUND(A_N_B_vol_plein!H82/2,2)</f>
        <v>0</v>
      </c>
      <c r="I82" s="388">
        <f>ROUND(MIN(MAX(ROUND(ROUND('Loonschijven_Tranches salariale'!$Q77*0.65,4)*Basisbedragen!$I$2,2),ROUND(Basisbedragen!$D$36*Basisbedragen!$I$2,2)),ROUND(ROUND(Basisbedragen!$D$27*0.65,4)*Basisbedragen!$I$2,2))/2,2)</f>
        <v>40.99</v>
      </c>
      <c r="J82" s="388">
        <f>ROUND(MIN(MAX(ROUND(ROUND('Loonschijven_Tranches salariale'!$Q77*0.6,4)*Basisbedragen!$I$2,2),ROUND(Basisbedragen!$D$36*Basisbedragen!$I$2,2)),ROUND(ROUND(Basisbedragen!$D$28*0.6,4)*Basisbedragen!$I$2,2))/2,2)</f>
        <v>37.83</v>
      </c>
      <c r="K82" s="409">
        <f>ROUND(A_N_B_vol_plein!K82/2,2)</f>
        <v>37.83</v>
      </c>
      <c r="L82" s="56">
        <f>ROUND(A_N_B_vol_plein!L82/2,2)</f>
        <v>0</v>
      </c>
      <c r="M82" s="409">
        <f>ROUND(A_N_B_vol_plein!M82/2,2)</f>
        <v>28.77</v>
      </c>
      <c r="N82" s="56">
        <f>ROUND(A_N_B_vol_plein!N82/2,2)</f>
        <v>0</v>
      </c>
      <c r="O82" s="388">
        <f>ROUND(MIN(MAX(ROUND(ROUND('Loonschijven_Tranches salariale'!$Q77*0.65,4)*Basisbedragen!$I$2,2),ROUND(Basisbedragen!$D$38*Basisbedragen!$I$2,2)),ROUND(ROUND(Basisbedragen!$D$27*0.65,4)*Basisbedragen!$I$2,2))/2,2)</f>
        <v>40.99</v>
      </c>
      <c r="P82" s="388">
        <f>ROUND(MIN(MAX(ROUND(ROUND('Loonschijven_Tranches salariale'!$Q77*0.6,4)*Basisbedragen!$I$2,2),ROUND(Basisbedragen!$D$39*Basisbedragen!$I$2,2)),ROUND(ROUND(Basisbedragen!$D$28*0.6,4)*Basisbedragen!$I$2,2))/2,2)</f>
        <v>37.83</v>
      </c>
      <c r="Q82" s="409">
        <f>ROUND(A_N_B_vol_plein!Q82/2,2)</f>
        <v>37.83</v>
      </c>
      <c r="R82" s="56">
        <f>ROUND(A_N_B_vol_plein!R82/2,2)</f>
        <v>0</v>
      </c>
      <c r="S82" s="409">
        <f>ROUND(A_N_B_vol_plein!S82/2,2)</f>
        <v>21.19</v>
      </c>
      <c r="T82" s="409">
        <f>ROUND(A_N_B_vol_plein!T82/2,2)</f>
        <v>14.93</v>
      </c>
    </row>
    <row r="83" spans="1:20" ht="15" thickBot="1">
      <c r="A83" s="47">
        <f t="shared" si="1"/>
        <v>71</v>
      </c>
      <c r="C83" s="388">
        <f>ROUND(MIN(MAX(ROUND(ROUND('Loonschijven_Tranches salariale'!$Q78*0.65,4)*Basisbedragen!$I$2,2),ROUND(Basisbedragen!$D$34*Basisbedragen!$I$2,2)),ROUND(ROUND(Basisbedragen!$D$27*0.65,4)*Basisbedragen!$I$2,2))/2,2)</f>
        <v>41.24</v>
      </c>
      <c r="D83" s="388">
        <f>ROUND(MIN(MAX(ROUND(ROUND('Loonschijven_Tranches salariale'!$Q78*0.6,4)*Basisbedragen!$I$2,2),ROUND(Basisbedragen!$D$34*Basisbedragen!$I$2,2)),ROUND(ROUND(Basisbedragen!$D$28*0.6,4)*Basisbedragen!$I$2,2))/2,2)</f>
        <v>39.049999999999997</v>
      </c>
      <c r="E83" s="388">
        <f>ROUND(A_N_B_vol_plein!E83/2,2)</f>
        <v>38.07</v>
      </c>
      <c r="F83" s="56">
        <f>ROUND(A_N_B_vol_plein!F83/2,2)</f>
        <v>0</v>
      </c>
      <c r="G83" s="388">
        <f>ROUND(A_N_B_vol_plein!G83/2,2)</f>
        <v>35.5</v>
      </c>
      <c r="H83" s="56">
        <f>ROUND(A_N_B_vol_plein!H83/2,2)</f>
        <v>0</v>
      </c>
      <c r="I83" s="388">
        <f>ROUND(MIN(MAX(ROUND(ROUND('Loonschijven_Tranches salariale'!$Q78*0.65,4)*Basisbedragen!$I$2,2),ROUND(Basisbedragen!$D$36*Basisbedragen!$I$2,2)),ROUND(ROUND(Basisbedragen!$D$27*0.65,4)*Basisbedragen!$I$2,2))/2,2)</f>
        <v>41.24</v>
      </c>
      <c r="J83" s="388">
        <f>ROUND(MIN(MAX(ROUND(ROUND('Loonschijven_Tranches salariale'!$Q78*0.6,4)*Basisbedragen!$I$2,2),ROUND(Basisbedragen!$D$36*Basisbedragen!$I$2,2)),ROUND(ROUND(Basisbedragen!$D$28*0.6,4)*Basisbedragen!$I$2,2))/2,2)</f>
        <v>38.07</v>
      </c>
      <c r="K83" s="388">
        <f>ROUND(A_N_B_vol_plein!K83/2,2)</f>
        <v>38.07</v>
      </c>
      <c r="L83" s="56">
        <f>ROUND(A_N_B_vol_plein!L83/2,2)</f>
        <v>0</v>
      </c>
      <c r="M83" s="388">
        <f>ROUND(A_N_B_vol_plein!M83/2,2)</f>
        <v>28.77</v>
      </c>
      <c r="N83" s="56">
        <f>ROUND(A_N_B_vol_plein!N83/2,2)</f>
        <v>0</v>
      </c>
      <c r="O83" s="388">
        <f>ROUND(MIN(MAX(ROUND(ROUND('Loonschijven_Tranches salariale'!$Q78*0.65,4)*Basisbedragen!$I$2,2),ROUND(Basisbedragen!$D$38*Basisbedragen!$I$2,2)),ROUND(ROUND(Basisbedragen!$D$27*0.65,4)*Basisbedragen!$I$2,2))/2,2)</f>
        <v>41.24</v>
      </c>
      <c r="P83" s="388">
        <f>ROUND(MIN(MAX(ROUND(ROUND('Loonschijven_Tranches salariale'!$Q78*0.6,4)*Basisbedragen!$I$2,2),ROUND(Basisbedragen!$D$39*Basisbedragen!$I$2,2)),ROUND(ROUND(Basisbedragen!$D$28*0.6,4)*Basisbedragen!$I$2,2))/2,2)</f>
        <v>38.07</v>
      </c>
      <c r="Q83" s="388">
        <f>ROUND(A_N_B_vol_plein!Q83/2,2)</f>
        <v>38.07</v>
      </c>
      <c r="R83" s="56">
        <f>ROUND(A_N_B_vol_plein!R83/2,2)</f>
        <v>0</v>
      </c>
      <c r="S83" s="388">
        <f>ROUND(A_N_B_vol_plein!S83/2,2)</f>
        <v>21.19</v>
      </c>
      <c r="T83" s="388">
        <f>ROUND(A_N_B_vol_plein!T83/2,2)</f>
        <v>14.93</v>
      </c>
    </row>
    <row r="84" spans="1:20" ht="15" thickBot="1">
      <c r="A84" s="47">
        <f t="shared" si="1"/>
        <v>72</v>
      </c>
      <c r="C84" s="388">
        <f>ROUND(MIN(MAX(ROUND(ROUND('Loonschijven_Tranches salariale'!$Q79*0.65,4)*Basisbedragen!$I$2,2),ROUND(Basisbedragen!$D$34*Basisbedragen!$I$2,2)),ROUND(ROUND(Basisbedragen!$D$27*0.65,4)*Basisbedragen!$I$2,2))/2,2)</f>
        <v>41.5</v>
      </c>
      <c r="D84" s="388">
        <f>ROUND(MIN(MAX(ROUND(ROUND('Loonschijven_Tranches salariale'!$Q79*0.6,4)*Basisbedragen!$I$2,2),ROUND(Basisbedragen!$D$34*Basisbedragen!$I$2,2)),ROUND(ROUND(Basisbedragen!$D$28*0.6,4)*Basisbedragen!$I$2,2))/2,2)</f>
        <v>39.049999999999997</v>
      </c>
      <c r="E84" s="388">
        <f>ROUND(A_N_B_vol_plein!E84/2,2)</f>
        <v>38.31</v>
      </c>
      <c r="F84" s="56">
        <f>ROUND(A_N_B_vol_plein!F84/2,2)</f>
        <v>0</v>
      </c>
      <c r="G84" s="388">
        <f>ROUND(A_N_B_vol_plein!G84/2,2)</f>
        <v>35.5</v>
      </c>
      <c r="H84" s="56">
        <f>ROUND(A_N_B_vol_plein!H84/2,2)</f>
        <v>0</v>
      </c>
      <c r="I84" s="388">
        <f>ROUND(MIN(MAX(ROUND(ROUND('Loonschijven_Tranches salariale'!$Q79*0.65,4)*Basisbedragen!$I$2,2),ROUND(Basisbedragen!$D$36*Basisbedragen!$I$2,2)),ROUND(ROUND(Basisbedragen!$D$27*0.65,4)*Basisbedragen!$I$2,2))/2,2)</f>
        <v>41.5</v>
      </c>
      <c r="J84" s="388">
        <f>ROUND(MIN(MAX(ROUND(ROUND('Loonschijven_Tranches salariale'!$Q79*0.6,4)*Basisbedragen!$I$2,2),ROUND(Basisbedragen!$D$36*Basisbedragen!$I$2,2)),ROUND(ROUND(Basisbedragen!$D$28*0.6,4)*Basisbedragen!$I$2,2))/2,2)</f>
        <v>38.31</v>
      </c>
      <c r="K84" s="388">
        <f>ROUND(A_N_B_vol_plein!K84/2,2)</f>
        <v>38.31</v>
      </c>
      <c r="L84" s="56">
        <f>ROUND(A_N_B_vol_plein!L84/2,2)</f>
        <v>0</v>
      </c>
      <c r="M84" s="388">
        <f>ROUND(A_N_B_vol_plein!M84/2,2)</f>
        <v>28.77</v>
      </c>
      <c r="N84" s="56">
        <f>ROUND(A_N_B_vol_plein!N84/2,2)</f>
        <v>0</v>
      </c>
      <c r="O84" s="388">
        <f>ROUND(MIN(MAX(ROUND(ROUND('Loonschijven_Tranches salariale'!$Q79*0.65,4)*Basisbedragen!$I$2,2),ROUND(Basisbedragen!$D$38*Basisbedragen!$I$2,2)),ROUND(ROUND(Basisbedragen!$D$27*0.65,4)*Basisbedragen!$I$2,2))/2,2)</f>
        <v>41.5</v>
      </c>
      <c r="P84" s="388">
        <f>ROUND(MIN(MAX(ROUND(ROUND('Loonschijven_Tranches salariale'!$Q79*0.6,4)*Basisbedragen!$I$2,2),ROUND(Basisbedragen!$D$39*Basisbedragen!$I$2,2)),ROUND(ROUND(Basisbedragen!$D$28*0.6,4)*Basisbedragen!$I$2,2))/2,2)</f>
        <v>38.31</v>
      </c>
      <c r="Q84" s="388">
        <f>ROUND(A_N_B_vol_plein!Q84/2,2)</f>
        <v>38.31</v>
      </c>
      <c r="R84" s="56">
        <f>ROUND(A_N_B_vol_plein!R84/2,2)</f>
        <v>0</v>
      </c>
      <c r="S84" s="388">
        <f>ROUND(A_N_B_vol_plein!S84/2,2)</f>
        <v>21.19</v>
      </c>
      <c r="T84" s="388">
        <f>ROUND(A_N_B_vol_plein!T84/2,2)</f>
        <v>14.93</v>
      </c>
    </row>
    <row r="85" spans="1:20" ht="15" thickBot="1">
      <c r="A85" s="47">
        <f t="shared" si="1"/>
        <v>73</v>
      </c>
      <c r="C85" s="388">
        <f>ROUND(MIN(MAX(ROUND(ROUND('Loonschijven_Tranches salariale'!$Q80*0.65,4)*Basisbedragen!$I$2,2),ROUND(Basisbedragen!$D$34*Basisbedragen!$I$2,2)),ROUND(ROUND(Basisbedragen!$D$27*0.65,4)*Basisbedragen!$I$2,2))/2,2)</f>
        <v>42.07</v>
      </c>
      <c r="D85" s="388">
        <f>ROUND(MIN(MAX(ROUND(ROUND('Loonschijven_Tranches salariale'!$Q80*0.6,4)*Basisbedragen!$I$2,2),ROUND(Basisbedragen!$D$34*Basisbedragen!$I$2,2)),ROUND(ROUND(Basisbedragen!$D$28*0.6,4)*Basisbedragen!$I$2,2))/2,2)</f>
        <v>39.049999999999997</v>
      </c>
      <c r="E85" s="388">
        <f>ROUND(A_N_B_vol_plein!E85/2,2)</f>
        <v>38.409999999999997</v>
      </c>
      <c r="F85" s="56">
        <f>ROUND(A_N_B_vol_plein!F85/2,2)</f>
        <v>0</v>
      </c>
      <c r="G85" s="388">
        <f>ROUND(A_N_B_vol_plein!G85/2,2)</f>
        <v>35.5</v>
      </c>
      <c r="H85" s="56">
        <f>ROUND(A_N_B_vol_plein!H85/2,2)</f>
        <v>0</v>
      </c>
      <c r="I85" s="388">
        <f>ROUND(MIN(MAX(ROUND(ROUND('Loonschijven_Tranches salariale'!$Q80*0.65,4)*Basisbedragen!$I$2,2),ROUND(Basisbedragen!$D$36*Basisbedragen!$I$2,2)),ROUND(ROUND(Basisbedragen!$D$27*0.65,4)*Basisbedragen!$I$2,2))/2,2)</f>
        <v>42.07</v>
      </c>
      <c r="J85" s="388">
        <f>ROUND(MIN(MAX(ROUND(ROUND('Loonschijven_Tranches salariale'!$Q80*0.6,4)*Basisbedragen!$I$2,2),ROUND(Basisbedragen!$D$36*Basisbedragen!$I$2,2)),ROUND(ROUND(Basisbedragen!$D$28*0.6,4)*Basisbedragen!$I$2,2))/2,2)</f>
        <v>38.840000000000003</v>
      </c>
      <c r="K85" s="388">
        <f>ROUND(A_N_B_vol_plein!K85/2,2)</f>
        <v>38.409999999999997</v>
      </c>
      <c r="L85" s="56">
        <f>ROUND(A_N_B_vol_plein!L85/2,2)</f>
        <v>0</v>
      </c>
      <c r="M85" s="388">
        <f>ROUND(A_N_B_vol_plein!M85/2,2)</f>
        <v>28.77</v>
      </c>
      <c r="N85" s="56">
        <f>ROUND(A_N_B_vol_plein!N85/2,2)</f>
        <v>0</v>
      </c>
      <c r="O85" s="388">
        <f>ROUND(MIN(MAX(ROUND(ROUND('Loonschijven_Tranches salariale'!$Q80*0.65,4)*Basisbedragen!$I$2,2),ROUND(Basisbedragen!$D$38*Basisbedragen!$I$2,2)),ROUND(ROUND(Basisbedragen!$D$27*0.65,4)*Basisbedragen!$I$2,2))/2,2)</f>
        <v>42.07</v>
      </c>
      <c r="P85" s="388">
        <f>ROUND(MIN(MAX(ROUND(ROUND('Loonschijven_Tranches salariale'!$Q80*0.6,4)*Basisbedragen!$I$2,2),ROUND(Basisbedragen!$D$39*Basisbedragen!$I$2,2)),ROUND(ROUND(Basisbedragen!$D$28*0.6,4)*Basisbedragen!$I$2,2))/2,2)</f>
        <v>38.840000000000003</v>
      </c>
      <c r="Q85" s="388">
        <f>ROUND(A_N_B_vol_plein!Q85/2,2)</f>
        <v>38.409999999999997</v>
      </c>
      <c r="R85" s="56">
        <f>ROUND(A_N_B_vol_plein!R85/2,2)</f>
        <v>0</v>
      </c>
      <c r="S85" s="388">
        <f>ROUND(A_N_B_vol_plein!S85/2,2)</f>
        <v>21.19</v>
      </c>
      <c r="T85" s="388">
        <f>ROUND(A_N_B_vol_plein!T85/2,2)</f>
        <v>14.93</v>
      </c>
    </row>
    <row r="86" spans="1:20" ht="15" thickBot="1">
      <c r="A86" s="47">
        <f t="shared" si="1"/>
        <v>74</v>
      </c>
      <c r="C86" s="388">
        <f>ROUND(MIN(MAX(ROUND(ROUND('Loonschijven_Tranches salariale'!$Q81*0.65,4)*Basisbedragen!$I$2,2),ROUND(Basisbedragen!$D$34*Basisbedragen!$I$2,2)),ROUND(ROUND(Basisbedragen!$D$27*0.65,4)*Basisbedragen!$I$2,2))/2,2)</f>
        <v>42.33</v>
      </c>
      <c r="D86" s="388">
        <f>ROUND(MIN(MAX(ROUND(ROUND('Loonschijven_Tranches salariale'!$Q81*0.6,4)*Basisbedragen!$I$2,2),ROUND(Basisbedragen!$D$34*Basisbedragen!$I$2,2)),ROUND(ROUND(Basisbedragen!$D$28*0.6,4)*Basisbedragen!$I$2,2))/2,2)</f>
        <v>39.07</v>
      </c>
      <c r="E86" s="388">
        <f>ROUND(A_N_B_vol_plein!E86/2,2)</f>
        <v>38.409999999999997</v>
      </c>
      <c r="F86" s="56">
        <f>ROUND(A_N_B_vol_plein!F86/2,2)</f>
        <v>0</v>
      </c>
      <c r="G86" s="388">
        <f>ROUND(A_N_B_vol_plein!G86/2,2)</f>
        <v>35.5</v>
      </c>
      <c r="H86" s="56">
        <f>ROUND(A_N_B_vol_plein!H86/2,2)</f>
        <v>0</v>
      </c>
      <c r="I86" s="388">
        <f>ROUND(MIN(MAX(ROUND(ROUND('Loonschijven_Tranches salariale'!$Q81*0.65,4)*Basisbedragen!$I$2,2),ROUND(Basisbedragen!$D$36*Basisbedragen!$I$2,2)),ROUND(ROUND(Basisbedragen!$D$27*0.65,4)*Basisbedragen!$I$2,2))/2,2)</f>
        <v>42.33</v>
      </c>
      <c r="J86" s="388">
        <f>ROUND(MIN(MAX(ROUND(ROUND('Loonschijven_Tranches salariale'!$Q81*0.6,4)*Basisbedragen!$I$2,2),ROUND(Basisbedragen!$D$36*Basisbedragen!$I$2,2)),ROUND(ROUND(Basisbedragen!$D$28*0.6,4)*Basisbedragen!$I$2,2))/2,2)</f>
        <v>39.07</v>
      </c>
      <c r="K86" s="388">
        <f>ROUND(A_N_B_vol_plein!K86/2,2)</f>
        <v>38.409999999999997</v>
      </c>
      <c r="L86" s="56">
        <f>ROUND(A_N_B_vol_plein!L86/2,2)</f>
        <v>0</v>
      </c>
      <c r="M86" s="388">
        <f>ROUND(A_N_B_vol_plein!M86/2,2)</f>
        <v>28.77</v>
      </c>
      <c r="N86" s="56">
        <f>ROUND(A_N_B_vol_plein!N86/2,2)</f>
        <v>0</v>
      </c>
      <c r="O86" s="388">
        <f>ROUND(MIN(MAX(ROUND(ROUND('Loonschijven_Tranches salariale'!$Q81*0.65,4)*Basisbedragen!$I$2,2),ROUND(Basisbedragen!$D$38*Basisbedragen!$I$2,2)),ROUND(ROUND(Basisbedragen!$D$27*0.65,4)*Basisbedragen!$I$2,2))/2,2)</f>
        <v>42.33</v>
      </c>
      <c r="P86" s="388">
        <f>ROUND(MIN(MAX(ROUND(ROUND('Loonschijven_Tranches salariale'!$Q81*0.6,4)*Basisbedragen!$I$2,2),ROUND(Basisbedragen!$D$39*Basisbedragen!$I$2,2)),ROUND(ROUND(Basisbedragen!$D$28*0.6,4)*Basisbedragen!$I$2,2))/2,2)</f>
        <v>39.07</v>
      </c>
      <c r="Q86" s="388">
        <f>ROUND(A_N_B_vol_plein!Q86/2,2)</f>
        <v>38.409999999999997</v>
      </c>
      <c r="R86" s="56">
        <f>ROUND(A_N_B_vol_plein!R86/2,2)</f>
        <v>0</v>
      </c>
      <c r="S86" s="388">
        <f>ROUND(A_N_B_vol_plein!S86/2,2)</f>
        <v>21.19</v>
      </c>
      <c r="T86" s="388">
        <f>ROUND(A_N_B_vol_plein!T86/2,2)</f>
        <v>14.93</v>
      </c>
    </row>
    <row r="87" spans="1:20" ht="15" thickBot="1">
      <c r="A87" s="47">
        <f t="shared" si="1"/>
        <v>75</v>
      </c>
      <c r="C87" s="388">
        <f>ROUND(MIN(MAX(ROUND(ROUND('Loonschijven_Tranches salariale'!$Q82*0.65,4)*Basisbedragen!$I$2,2),ROUND(Basisbedragen!$D$34*Basisbedragen!$I$2,2)),ROUND(ROUND(Basisbedragen!$D$27*0.65,4)*Basisbedragen!$I$2,2))/2,2)</f>
        <v>42.86</v>
      </c>
      <c r="D87" s="388">
        <f>ROUND(MIN(MAX(ROUND(ROUND('Loonschijven_Tranches salariale'!$Q82*0.6,4)*Basisbedragen!$I$2,2),ROUND(Basisbedragen!$D$34*Basisbedragen!$I$2,2)),ROUND(ROUND(Basisbedragen!$D$28*0.6,4)*Basisbedragen!$I$2,2))/2,2)</f>
        <v>39.56</v>
      </c>
      <c r="E87" s="409">
        <f>ROUND(A_N_B_vol_plein!E87/2,2)</f>
        <v>38.409999999999997</v>
      </c>
      <c r="F87" s="56">
        <f>ROUND(A_N_B_vol_plein!F87/2,2)</f>
        <v>0</v>
      </c>
      <c r="G87" s="409">
        <f>ROUND(A_N_B_vol_plein!G87/2,2)</f>
        <v>35.5</v>
      </c>
      <c r="H87" s="56">
        <f>ROUND(A_N_B_vol_plein!H87/2,2)</f>
        <v>0</v>
      </c>
      <c r="I87" s="388">
        <f>ROUND(MIN(MAX(ROUND(ROUND('Loonschijven_Tranches salariale'!$Q82*0.65,4)*Basisbedragen!$I$2,2),ROUND(Basisbedragen!$D$36*Basisbedragen!$I$2,2)),ROUND(ROUND(Basisbedragen!$D$27*0.65,4)*Basisbedragen!$I$2,2))/2,2)</f>
        <v>42.86</v>
      </c>
      <c r="J87" s="388">
        <f>ROUND(MIN(MAX(ROUND(ROUND('Loonschijven_Tranches salariale'!$Q82*0.6,4)*Basisbedragen!$I$2,2),ROUND(Basisbedragen!$D$36*Basisbedragen!$I$2,2)),ROUND(ROUND(Basisbedragen!$D$28*0.6,4)*Basisbedragen!$I$2,2))/2,2)</f>
        <v>39.56</v>
      </c>
      <c r="K87" s="409">
        <f>ROUND(A_N_B_vol_plein!K87/2,2)</f>
        <v>38.409999999999997</v>
      </c>
      <c r="L87" s="56">
        <f>ROUND(A_N_B_vol_plein!L87/2,2)</f>
        <v>0</v>
      </c>
      <c r="M87" s="409">
        <f>ROUND(A_N_B_vol_plein!M87/2,2)</f>
        <v>28.77</v>
      </c>
      <c r="N87" s="56">
        <f>ROUND(A_N_B_vol_plein!N87/2,2)</f>
        <v>0</v>
      </c>
      <c r="O87" s="388">
        <f>ROUND(MIN(MAX(ROUND(ROUND('Loonschijven_Tranches salariale'!$Q82*0.65,4)*Basisbedragen!$I$2,2),ROUND(Basisbedragen!$D$38*Basisbedragen!$I$2,2)),ROUND(ROUND(Basisbedragen!$D$27*0.65,4)*Basisbedragen!$I$2,2))/2,2)</f>
        <v>42.86</v>
      </c>
      <c r="P87" s="388">
        <f>ROUND(MIN(MAX(ROUND(ROUND('Loonschijven_Tranches salariale'!$Q82*0.6,4)*Basisbedragen!$I$2,2),ROUND(Basisbedragen!$D$39*Basisbedragen!$I$2,2)),ROUND(ROUND(Basisbedragen!$D$28*0.6,4)*Basisbedragen!$I$2,2))/2,2)</f>
        <v>39.56</v>
      </c>
      <c r="Q87" s="409">
        <f>ROUND(A_N_B_vol_plein!Q87/2,2)</f>
        <v>38.409999999999997</v>
      </c>
      <c r="R87" s="56">
        <f>ROUND(A_N_B_vol_plein!R87/2,2)</f>
        <v>0</v>
      </c>
      <c r="S87" s="409">
        <f>ROUND(A_N_B_vol_plein!S87/2,2)</f>
        <v>21.19</v>
      </c>
      <c r="T87" s="409">
        <f>ROUND(A_N_B_vol_plein!T87/2,2)</f>
        <v>14.93</v>
      </c>
    </row>
    <row r="88" spans="1:20" ht="15" thickBot="1">
      <c r="A88" s="47">
        <f t="shared" si="1"/>
        <v>76</v>
      </c>
      <c r="C88" s="388">
        <f>ROUND(MIN(MAX(ROUND(ROUND('Loonschijven_Tranches salariale'!$Q83*0.65,4)*Basisbedragen!$I$2,2),ROUND(Basisbedragen!$D$34*Basisbedragen!$I$2,2)),ROUND(ROUND(Basisbedragen!$D$27*0.65,4)*Basisbedragen!$I$2,2))/2,2)</f>
        <v>43.2</v>
      </c>
      <c r="D88" s="388">
        <f>ROUND(MIN(MAX(ROUND(ROUND('Loonschijven_Tranches salariale'!$Q83*0.6,4)*Basisbedragen!$I$2,2),ROUND(Basisbedragen!$D$34*Basisbedragen!$I$2,2)),ROUND(ROUND(Basisbedragen!$D$28*0.6,4)*Basisbedragen!$I$2,2))/2,2)</f>
        <v>39.880000000000003</v>
      </c>
      <c r="E88" s="388">
        <f>ROUND(A_N_B_vol_plein!E88/2,2)</f>
        <v>38.409999999999997</v>
      </c>
      <c r="F88" s="56">
        <f>ROUND(A_N_B_vol_plein!F88/2,2)</f>
        <v>0</v>
      </c>
      <c r="G88" s="388">
        <f>ROUND(A_N_B_vol_plein!G88/2,2)</f>
        <v>35.5</v>
      </c>
      <c r="H88" s="56">
        <f>ROUND(A_N_B_vol_plein!H88/2,2)</f>
        <v>0</v>
      </c>
      <c r="I88" s="388">
        <f>ROUND(MIN(MAX(ROUND(ROUND('Loonschijven_Tranches salariale'!$Q83*0.65,4)*Basisbedragen!$I$2,2),ROUND(Basisbedragen!$D$36*Basisbedragen!$I$2,2)),ROUND(ROUND(Basisbedragen!$D$27*0.65,4)*Basisbedragen!$I$2,2))/2,2)</f>
        <v>43.2</v>
      </c>
      <c r="J88" s="388">
        <f>ROUND(MIN(MAX(ROUND(ROUND('Loonschijven_Tranches salariale'!$Q83*0.6,4)*Basisbedragen!$I$2,2),ROUND(Basisbedragen!$D$36*Basisbedragen!$I$2,2)),ROUND(ROUND(Basisbedragen!$D$28*0.6,4)*Basisbedragen!$I$2,2))/2,2)</f>
        <v>39.880000000000003</v>
      </c>
      <c r="K88" s="388">
        <f>ROUND(A_N_B_vol_plein!K88/2,2)</f>
        <v>38.409999999999997</v>
      </c>
      <c r="L88" s="56">
        <f>ROUND(A_N_B_vol_plein!L88/2,2)</f>
        <v>0</v>
      </c>
      <c r="M88" s="388">
        <f>ROUND(A_N_B_vol_plein!M88/2,2)</f>
        <v>28.77</v>
      </c>
      <c r="N88" s="56">
        <f>ROUND(A_N_B_vol_plein!N88/2,2)</f>
        <v>0</v>
      </c>
      <c r="O88" s="388">
        <f>ROUND(MIN(MAX(ROUND(ROUND('Loonschijven_Tranches salariale'!$Q83*0.65,4)*Basisbedragen!$I$2,2),ROUND(Basisbedragen!$D$38*Basisbedragen!$I$2,2)),ROUND(ROUND(Basisbedragen!$D$27*0.65,4)*Basisbedragen!$I$2,2))/2,2)</f>
        <v>43.2</v>
      </c>
      <c r="P88" s="388">
        <f>ROUND(MIN(MAX(ROUND(ROUND('Loonschijven_Tranches salariale'!$Q83*0.6,4)*Basisbedragen!$I$2,2),ROUND(Basisbedragen!$D$39*Basisbedragen!$I$2,2)),ROUND(ROUND(Basisbedragen!$D$28*0.6,4)*Basisbedragen!$I$2,2))/2,2)</f>
        <v>39.880000000000003</v>
      </c>
      <c r="Q88" s="388">
        <f>ROUND(A_N_B_vol_plein!Q88/2,2)</f>
        <v>38.409999999999997</v>
      </c>
      <c r="R88" s="56">
        <f>ROUND(A_N_B_vol_plein!R88/2,2)</f>
        <v>0</v>
      </c>
      <c r="S88" s="388">
        <f>ROUND(A_N_B_vol_plein!S88/2,2)</f>
        <v>21.19</v>
      </c>
      <c r="T88" s="388">
        <f>ROUND(A_N_B_vol_plein!T88/2,2)</f>
        <v>14.93</v>
      </c>
    </row>
    <row r="89" spans="1:20" ht="15" thickBot="1">
      <c r="A89" s="47">
        <f t="shared" si="1"/>
        <v>77</v>
      </c>
      <c r="C89" s="388">
        <f>ROUND(MIN(MAX(ROUND(ROUND('Loonschijven_Tranches salariale'!$Q84*0.65,4)*Basisbedragen!$I$2,2),ROUND(Basisbedragen!$D$34*Basisbedragen!$I$2,2)),ROUND(ROUND(Basisbedragen!$D$27*0.65,4)*Basisbedragen!$I$2,2))/2,2)</f>
        <v>43.68</v>
      </c>
      <c r="D89" s="388">
        <f>ROUND(MIN(MAX(ROUND(ROUND('Loonschijven_Tranches salariale'!$Q84*0.6,4)*Basisbedragen!$I$2,2),ROUND(Basisbedragen!$D$34*Basisbedragen!$I$2,2)),ROUND(ROUND(Basisbedragen!$D$28*0.6,4)*Basisbedragen!$I$2,2))/2,2)</f>
        <v>40.32</v>
      </c>
      <c r="E89" s="388">
        <f>ROUND(A_N_B_vol_plein!E89/2,2)</f>
        <v>38.409999999999997</v>
      </c>
      <c r="F89" s="56">
        <f>ROUND(A_N_B_vol_plein!F89/2,2)</f>
        <v>0</v>
      </c>
      <c r="G89" s="388">
        <f>ROUND(A_N_B_vol_plein!G89/2,2)</f>
        <v>35.5</v>
      </c>
      <c r="H89" s="56">
        <f>ROUND(A_N_B_vol_plein!H89/2,2)</f>
        <v>0</v>
      </c>
      <c r="I89" s="388">
        <f>ROUND(MIN(MAX(ROUND(ROUND('Loonschijven_Tranches salariale'!$Q84*0.65,4)*Basisbedragen!$I$2,2),ROUND(Basisbedragen!$D$36*Basisbedragen!$I$2,2)),ROUND(ROUND(Basisbedragen!$D$27*0.65,4)*Basisbedragen!$I$2,2))/2,2)</f>
        <v>43.68</v>
      </c>
      <c r="J89" s="388">
        <f>ROUND(MIN(MAX(ROUND(ROUND('Loonschijven_Tranches salariale'!$Q84*0.6,4)*Basisbedragen!$I$2,2),ROUND(Basisbedragen!$D$36*Basisbedragen!$I$2,2)),ROUND(ROUND(Basisbedragen!$D$28*0.6,4)*Basisbedragen!$I$2,2))/2,2)</f>
        <v>40.32</v>
      </c>
      <c r="K89" s="388">
        <f>ROUND(A_N_B_vol_plein!K89/2,2)</f>
        <v>38.409999999999997</v>
      </c>
      <c r="L89" s="56">
        <f>ROUND(A_N_B_vol_plein!L89/2,2)</f>
        <v>0</v>
      </c>
      <c r="M89" s="388">
        <f>ROUND(A_N_B_vol_plein!M89/2,2)</f>
        <v>28.77</v>
      </c>
      <c r="N89" s="56">
        <f>ROUND(A_N_B_vol_plein!N89/2,2)</f>
        <v>0</v>
      </c>
      <c r="O89" s="388">
        <f>ROUND(MIN(MAX(ROUND(ROUND('Loonschijven_Tranches salariale'!$Q84*0.65,4)*Basisbedragen!$I$2,2),ROUND(Basisbedragen!$D$38*Basisbedragen!$I$2,2)),ROUND(ROUND(Basisbedragen!$D$27*0.65,4)*Basisbedragen!$I$2,2))/2,2)</f>
        <v>43.68</v>
      </c>
      <c r="P89" s="388">
        <f>ROUND(MIN(MAX(ROUND(ROUND('Loonschijven_Tranches salariale'!$Q84*0.6,4)*Basisbedragen!$I$2,2),ROUND(Basisbedragen!$D$39*Basisbedragen!$I$2,2)),ROUND(ROUND(Basisbedragen!$D$28*0.6,4)*Basisbedragen!$I$2,2))/2,2)</f>
        <v>40.32</v>
      </c>
      <c r="Q89" s="388">
        <f>ROUND(A_N_B_vol_plein!Q89/2,2)</f>
        <v>38.409999999999997</v>
      </c>
      <c r="R89" s="56">
        <f>ROUND(A_N_B_vol_plein!R89/2,2)</f>
        <v>0</v>
      </c>
      <c r="S89" s="388">
        <f>ROUND(A_N_B_vol_plein!S89/2,2)</f>
        <v>21.19</v>
      </c>
      <c r="T89" s="388">
        <f>ROUND(A_N_B_vol_plein!T89/2,2)</f>
        <v>14.93</v>
      </c>
    </row>
    <row r="90" spans="1:20" ht="15" thickBot="1">
      <c r="A90" s="47">
        <f t="shared" si="1"/>
        <v>78</v>
      </c>
      <c r="C90" s="388">
        <f>ROUND(MIN(MAX(ROUND(ROUND('Loonschijven_Tranches salariale'!$Q85*0.65,4)*Basisbedragen!$I$2,2),ROUND(Basisbedragen!$D$34*Basisbedragen!$I$2,2)),ROUND(ROUND(Basisbedragen!$D$27*0.65,4)*Basisbedragen!$I$2,2))/2,2)</f>
        <v>44.16</v>
      </c>
      <c r="D90" s="388">
        <f>ROUND(MIN(MAX(ROUND(ROUND('Loonschijven_Tranches salariale'!$Q85*0.6,4)*Basisbedragen!$I$2,2),ROUND(Basisbedragen!$D$34*Basisbedragen!$I$2,2)),ROUND(ROUND(Basisbedragen!$D$28*0.6,4)*Basisbedragen!$I$2,2))/2,2)</f>
        <v>40.76</v>
      </c>
      <c r="E90" s="388">
        <f>ROUND(A_N_B_vol_plein!E90/2,2)</f>
        <v>38.409999999999997</v>
      </c>
      <c r="F90" s="56">
        <f>ROUND(A_N_B_vol_plein!F90/2,2)</f>
        <v>0</v>
      </c>
      <c r="G90" s="388">
        <f>ROUND(A_N_B_vol_plein!G90/2,2)</f>
        <v>35.5</v>
      </c>
      <c r="H90" s="56">
        <f>ROUND(A_N_B_vol_plein!H90/2,2)</f>
        <v>0</v>
      </c>
      <c r="I90" s="388">
        <f>ROUND(MIN(MAX(ROUND(ROUND('Loonschijven_Tranches salariale'!$Q85*0.65,4)*Basisbedragen!$I$2,2),ROUND(Basisbedragen!$D$36*Basisbedragen!$I$2,2)),ROUND(ROUND(Basisbedragen!$D$27*0.65,4)*Basisbedragen!$I$2,2))/2,2)</f>
        <v>44.16</v>
      </c>
      <c r="J90" s="388">
        <f>ROUND(MIN(MAX(ROUND(ROUND('Loonschijven_Tranches salariale'!$Q85*0.6,4)*Basisbedragen!$I$2,2),ROUND(Basisbedragen!$D$36*Basisbedragen!$I$2,2)),ROUND(ROUND(Basisbedragen!$D$28*0.6,4)*Basisbedragen!$I$2,2))/2,2)</f>
        <v>40.76</v>
      </c>
      <c r="K90" s="388">
        <f>ROUND(A_N_B_vol_plein!K90/2,2)</f>
        <v>38.409999999999997</v>
      </c>
      <c r="L90" s="56">
        <f>ROUND(A_N_B_vol_plein!L90/2,2)</f>
        <v>0</v>
      </c>
      <c r="M90" s="388">
        <f>ROUND(A_N_B_vol_plein!M90/2,2)</f>
        <v>28.77</v>
      </c>
      <c r="N90" s="56">
        <f>ROUND(A_N_B_vol_plein!N90/2,2)</f>
        <v>0</v>
      </c>
      <c r="O90" s="388">
        <f>ROUND(MIN(MAX(ROUND(ROUND('Loonschijven_Tranches salariale'!$Q85*0.65,4)*Basisbedragen!$I$2,2),ROUND(Basisbedragen!$D$38*Basisbedragen!$I$2,2)),ROUND(ROUND(Basisbedragen!$D$27*0.65,4)*Basisbedragen!$I$2,2))/2,2)</f>
        <v>44.16</v>
      </c>
      <c r="P90" s="388">
        <f>ROUND(MIN(MAX(ROUND(ROUND('Loonschijven_Tranches salariale'!$Q85*0.6,4)*Basisbedragen!$I$2,2),ROUND(Basisbedragen!$D$39*Basisbedragen!$I$2,2)),ROUND(ROUND(Basisbedragen!$D$28*0.6,4)*Basisbedragen!$I$2,2))/2,2)</f>
        <v>40.76</v>
      </c>
      <c r="Q90" s="388">
        <f>ROUND(A_N_B_vol_plein!Q90/2,2)</f>
        <v>38.409999999999997</v>
      </c>
      <c r="R90" s="56">
        <f>ROUND(A_N_B_vol_plein!R90/2,2)</f>
        <v>0</v>
      </c>
      <c r="S90" s="388">
        <f>ROUND(A_N_B_vol_plein!S90/2,2)</f>
        <v>21.19</v>
      </c>
      <c r="T90" s="388">
        <f>ROUND(A_N_B_vol_plein!T90/2,2)</f>
        <v>14.93</v>
      </c>
    </row>
    <row r="91" spans="1:20" ht="15" thickBot="1">
      <c r="A91" s="47">
        <f t="shared" si="1"/>
        <v>79</v>
      </c>
      <c r="C91" s="388">
        <f>ROUND(MIN(MAX(ROUND(ROUND('Loonschijven_Tranches salariale'!$Q86*0.65,4)*Basisbedragen!$I$2,2),ROUND(Basisbedragen!$D$34*Basisbedragen!$I$2,2)),ROUND(ROUND(Basisbedragen!$D$27*0.65,4)*Basisbedragen!$I$2,2))/2,2)</f>
        <v>44.64</v>
      </c>
      <c r="D91" s="388">
        <f>ROUND(MIN(MAX(ROUND(ROUND('Loonschijven_Tranches salariale'!$Q86*0.6,4)*Basisbedragen!$I$2,2),ROUND(Basisbedragen!$D$34*Basisbedragen!$I$2,2)),ROUND(ROUND(Basisbedragen!$D$28*0.6,4)*Basisbedragen!$I$2,2))/2,2)</f>
        <v>41.21</v>
      </c>
      <c r="E91" s="388">
        <f>ROUND(A_N_B_vol_plein!E91/2,2)</f>
        <v>38.409999999999997</v>
      </c>
      <c r="F91" s="56">
        <f>ROUND(A_N_B_vol_plein!F91/2,2)</f>
        <v>0</v>
      </c>
      <c r="G91" s="388">
        <f>ROUND(A_N_B_vol_plein!G91/2,2)</f>
        <v>35.5</v>
      </c>
      <c r="H91" s="56">
        <f>ROUND(A_N_B_vol_plein!H91/2,2)</f>
        <v>0</v>
      </c>
      <c r="I91" s="388">
        <f>ROUND(MIN(MAX(ROUND(ROUND('Loonschijven_Tranches salariale'!$Q86*0.65,4)*Basisbedragen!$I$2,2),ROUND(Basisbedragen!$D$36*Basisbedragen!$I$2,2)),ROUND(ROUND(Basisbedragen!$D$27*0.65,4)*Basisbedragen!$I$2,2))/2,2)</f>
        <v>44.64</v>
      </c>
      <c r="J91" s="388">
        <f>ROUND(MIN(MAX(ROUND(ROUND('Loonschijven_Tranches salariale'!$Q86*0.6,4)*Basisbedragen!$I$2,2),ROUND(Basisbedragen!$D$36*Basisbedragen!$I$2,2)),ROUND(ROUND(Basisbedragen!$D$28*0.6,4)*Basisbedragen!$I$2,2))/2,2)</f>
        <v>41.21</v>
      </c>
      <c r="K91" s="388">
        <f>ROUND(A_N_B_vol_plein!K91/2,2)</f>
        <v>38.409999999999997</v>
      </c>
      <c r="L91" s="56">
        <f>ROUND(A_N_B_vol_plein!L91/2,2)</f>
        <v>0</v>
      </c>
      <c r="M91" s="388">
        <f>ROUND(A_N_B_vol_plein!M91/2,2)</f>
        <v>28.77</v>
      </c>
      <c r="N91" s="56">
        <f>ROUND(A_N_B_vol_plein!N91/2,2)</f>
        <v>0</v>
      </c>
      <c r="O91" s="388">
        <f>ROUND(MIN(MAX(ROUND(ROUND('Loonschijven_Tranches salariale'!$Q86*0.65,4)*Basisbedragen!$I$2,2),ROUND(Basisbedragen!$D$38*Basisbedragen!$I$2,2)),ROUND(ROUND(Basisbedragen!$D$27*0.65,4)*Basisbedragen!$I$2,2))/2,2)</f>
        <v>44.64</v>
      </c>
      <c r="P91" s="388">
        <f>ROUND(MIN(MAX(ROUND(ROUND('Loonschijven_Tranches salariale'!$Q86*0.6,4)*Basisbedragen!$I$2,2),ROUND(Basisbedragen!$D$39*Basisbedragen!$I$2,2)),ROUND(ROUND(Basisbedragen!$D$28*0.6,4)*Basisbedragen!$I$2,2))/2,2)</f>
        <v>41.21</v>
      </c>
      <c r="Q91" s="388">
        <f>ROUND(A_N_B_vol_plein!Q91/2,2)</f>
        <v>38.409999999999997</v>
      </c>
      <c r="R91" s="56">
        <f>ROUND(A_N_B_vol_plein!R91/2,2)</f>
        <v>0</v>
      </c>
      <c r="S91" s="388">
        <f>ROUND(A_N_B_vol_plein!S91/2,2)</f>
        <v>21.19</v>
      </c>
      <c r="T91" s="388">
        <f>ROUND(A_N_B_vol_plein!T91/2,2)</f>
        <v>14.93</v>
      </c>
    </row>
    <row r="92" spans="1:20" ht="15" thickBot="1">
      <c r="A92" s="47">
        <f t="shared" si="1"/>
        <v>80</v>
      </c>
      <c r="C92" s="388">
        <f>ROUND(MIN(MAX(ROUND(ROUND('Loonschijven_Tranches salariale'!$Q87*0.65,4)*Basisbedragen!$I$2,2),ROUND(Basisbedragen!$D$34*Basisbedragen!$I$2,2)),ROUND(ROUND(Basisbedragen!$D$27*0.65,4)*Basisbedragen!$I$2,2))/2,2)</f>
        <v>45.15</v>
      </c>
      <c r="D92" s="388">
        <f>ROUND(MIN(MAX(ROUND(ROUND('Loonschijven_Tranches salariale'!$Q87*0.6,4)*Basisbedragen!$I$2,2),ROUND(Basisbedragen!$D$34*Basisbedragen!$I$2,2)),ROUND(ROUND(Basisbedragen!$D$28*0.6,4)*Basisbedragen!$I$2,2))/2,2)</f>
        <v>41.68</v>
      </c>
      <c r="E92" s="409">
        <f>ROUND(A_N_B_vol_plein!E92/2,2)</f>
        <v>38.409999999999997</v>
      </c>
      <c r="F92" s="56">
        <f>ROUND(A_N_B_vol_plein!F92/2,2)</f>
        <v>0</v>
      </c>
      <c r="G92" s="409">
        <f>ROUND(A_N_B_vol_plein!G92/2,2)</f>
        <v>35.5</v>
      </c>
      <c r="H92" s="56">
        <f>ROUND(A_N_B_vol_plein!H92/2,2)</f>
        <v>0</v>
      </c>
      <c r="I92" s="388">
        <f>ROUND(MIN(MAX(ROUND(ROUND('Loonschijven_Tranches salariale'!$Q87*0.65,4)*Basisbedragen!$I$2,2),ROUND(Basisbedragen!$D$36*Basisbedragen!$I$2,2)),ROUND(ROUND(Basisbedragen!$D$27*0.65,4)*Basisbedragen!$I$2,2))/2,2)</f>
        <v>45.15</v>
      </c>
      <c r="J92" s="388">
        <f>ROUND(MIN(MAX(ROUND(ROUND('Loonschijven_Tranches salariale'!$Q87*0.6,4)*Basisbedragen!$I$2,2),ROUND(Basisbedragen!$D$36*Basisbedragen!$I$2,2)),ROUND(ROUND(Basisbedragen!$D$28*0.6,4)*Basisbedragen!$I$2,2))/2,2)</f>
        <v>41.68</v>
      </c>
      <c r="K92" s="409">
        <f>ROUND(A_N_B_vol_plein!K92/2,2)</f>
        <v>38.409999999999997</v>
      </c>
      <c r="L92" s="56">
        <f>ROUND(A_N_B_vol_plein!L92/2,2)</f>
        <v>0</v>
      </c>
      <c r="M92" s="409">
        <f>ROUND(A_N_B_vol_plein!M92/2,2)</f>
        <v>28.77</v>
      </c>
      <c r="N92" s="56">
        <f>ROUND(A_N_B_vol_plein!N92/2,2)</f>
        <v>0</v>
      </c>
      <c r="O92" s="388">
        <f>ROUND(MIN(MAX(ROUND(ROUND('Loonschijven_Tranches salariale'!$Q87*0.65,4)*Basisbedragen!$I$2,2),ROUND(Basisbedragen!$D$38*Basisbedragen!$I$2,2)),ROUND(ROUND(Basisbedragen!$D$27*0.65,4)*Basisbedragen!$I$2,2))/2,2)</f>
        <v>45.15</v>
      </c>
      <c r="P92" s="388">
        <f>ROUND(MIN(MAX(ROUND(ROUND('Loonschijven_Tranches salariale'!$Q87*0.6,4)*Basisbedragen!$I$2,2),ROUND(Basisbedragen!$D$39*Basisbedragen!$I$2,2)),ROUND(ROUND(Basisbedragen!$D$28*0.6,4)*Basisbedragen!$I$2,2))/2,2)</f>
        <v>41.68</v>
      </c>
      <c r="Q92" s="409">
        <f>ROUND(A_N_B_vol_plein!Q92/2,2)</f>
        <v>38.409999999999997</v>
      </c>
      <c r="R92" s="56">
        <f>ROUND(A_N_B_vol_plein!R92/2,2)</f>
        <v>0</v>
      </c>
      <c r="S92" s="409">
        <f>ROUND(A_N_B_vol_plein!S92/2,2)</f>
        <v>21.19</v>
      </c>
      <c r="T92" s="409">
        <f>ROUND(A_N_B_vol_plein!T92/2,2)</f>
        <v>14.93</v>
      </c>
    </row>
    <row r="93" spans="1:20" ht="15" thickBot="1">
      <c r="A93" s="47">
        <f t="shared" si="1"/>
        <v>81</v>
      </c>
      <c r="C93" s="388">
        <f>ROUND(MIN(MAX(ROUND(ROUND('Loonschijven_Tranches salariale'!$Q88*0.65,4)*Basisbedragen!$I$2,2),ROUND(Basisbedragen!$D$34*Basisbedragen!$I$2,2)),ROUND(ROUND(Basisbedragen!$D$27*0.65,4)*Basisbedragen!$I$2,2))/2,2)</f>
        <v>45.66</v>
      </c>
      <c r="D93" s="388">
        <f>ROUND(MIN(MAX(ROUND(ROUND('Loonschijven_Tranches salariale'!$Q88*0.6,4)*Basisbedragen!$I$2,2),ROUND(Basisbedragen!$D$34*Basisbedragen!$I$2,2)),ROUND(ROUND(Basisbedragen!$D$28*0.6,4)*Basisbedragen!$I$2,2))/2,2)</f>
        <v>42.15</v>
      </c>
      <c r="E93" s="388">
        <f>ROUND(A_N_B_vol_plein!E93/2,2)</f>
        <v>38.409999999999997</v>
      </c>
      <c r="F93" s="56">
        <f>ROUND(A_N_B_vol_plein!F93/2,2)</f>
        <v>0</v>
      </c>
      <c r="G93" s="388">
        <f>ROUND(A_N_B_vol_plein!G93/2,2)</f>
        <v>35.5</v>
      </c>
      <c r="H93" s="56">
        <f>ROUND(A_N_B_vol_plein!H93/2,2)</f>
        <v>0</v>
      </c>
      <c r="I93" s="388">
        <f>ROUND(MIN(MAX(ROUND(ROUND('Loonschijven_Tranches salariale'!$Q88*0.65,4)*Basisbedragen!$I$2,2),ROUND(Basisbedragen!$D$36*Basisbedragen!$I$2,2)),ROUND(ROUND(Basisbedragen!$D$27*0.65,4)*Basisbedragen!$I$2,2))/2,2)</f>
        <v>45.66</v>
      </c>
      <c r="J93" s="388">
        <f>ROUND(MIN(MAX(ROUND(ROUND('Loonschijven_Tranches salariale'!$Q88*0.6,4)*Basisbedragen!$I$2,2),ROUND(Basisbedragen!$D$36*Basisbedragen!$I$2,2)),ROUND(ROUND(Basisbedragen!$D$28*0.6,4)*Basisbedragen!$I$2,2))/2,2)</f>
        <v>42.15</v>
      </c>
      <c r="K93" s="388">
        <f>ROUND(A_N_B_vol_plein!K93/2,2)</f>
        <v>38.409999999999997</v>
      </c>
      <c r="L93" s="56">
        <f>ROUND(A_N_B_vol_plein!L93/2,2)</f>
        <v>0</v>
      </c>
      <c r="M93" s="388">
        <f>ROUND(A_N_B_vol_plein!M93/2,2)</f>
        <v>28.77</v>
      </c>
      <c r="N93" s="56">
        <f>ROUND(A_N_B_vol_plein!N93/2,2)</f>
        <v>0</v>
      </c>
      <c r="O93" s="388">
        <f>ROUND(MIN(MAX(ROUND(ROUND('Loonschijven_Tranches salariale'!$Q88*0.65,4)*Basisbedragen!$I$2,2),ROUND(Basisbedragen!$D$38*Basisbedragen!$I$2,2)),ROUND(ROUND(Basisbedragen!$D$27*0.65,4)*Basisbedragen!$I$2,2))/2,2)</f>
        <v>45.66</v>
      </c>
      <c r="P93" s="388">
        <f>ROUND(MIN(MAX(ROUND(ROUND('Loonschijven_Tranches salariale'!$Q88*0.6,4)*Basisbedragen!$I$2,2),ROUND(Basisbedragen!$D$39*Basisbedragen!$I$2,2)),ROUND(ROUND(Basisbedragen!$D$28*0.6,4)*Basisbedragen!$I$2,2))/2,2)</f>
        <v>42.15</v>
      </c>
      <c r="Q93" s="388">
        <f>ROUND(A_N_B_vol_plein!Q93/2,2)</f>
        <v>38.409999999999997</v>
      </c>
      <c r="R93" s="56">
        <f>ROUND(A_N_B_vol_plein!R93/2,2)</f>
        <v>0</v>
      </c>
      <c r="S93" s="388">
        <f>ROUND(A_N_B_vol_plein!S93/2,2)</f>
        <v>21.19</v>
      </c>
      <c r="T93" s="388">
        <f>ROUND(A_N_B_vol_plein!T93/2,2)</f>
        <v>14.93</v>
      </c>
    </row>
    <row r="94" spans="1:20" ht="15" thickBot="1">
      <c r="A94" s="47">
        <f t="shared" si="1"/>
        <v>82</v>
      </c>
      <c r="C94" s="388">
        <f>ROUND(MIN(MAX(ROUND(ROUND('Loonschijven_Tranches salariale'!$Q89*0.65,4)*Basisbedragen!$I$2,2),ROUND(Basisbedragen!$D$34*Basisbedragen!$I$2,2)),ROUND(ROUND(Basisbedragen!$D$27*0.65,4)*Basisbedragen!$I$2,2))/2,2)</f>
        <v>46.17</v>
      </c>
      <c r="D94" s="388">
        <f>ROUND(MIN(MAX(ROUND(ROUND('Loonschijven_Tranches salariale'!$Q89*0.6,4)*Basisbedragen!$I$2,2),ROUND(Basisbedragen!$D$34*Basisbedragen!$I$2,2)),ROUND(ROUND(Basisbedragen!$D$28*0.6,4)*Basisbedragen!$I$2,2))/2,2)</f>
        <v>42.62</v>
      </c>
      <c r="E94" s="388">
        <f>ROUND(A_N_B_vol_plein!E94/2,2)</f>
        <v>38.409999999999997</v>
      </c>
      <c r="F94" s="56">
        <f>ROUND(A_N_B_vol_plein!F94/2,2)</f>
        <v>0</v>
      </c>
      <c r="G94" s="388">
        <f>ROUND(A_N_B_vol_plein!G94/2,2)</f>
        <v>35.5</v>
      </c>
      <c r="H94" s="56">
        <f>ROUND(A_N_B_vol_plein!H94/2,2)</f>
        <v>0</v>
      </c>
      <c r="I94" s="388">
        <f>ROUND(MIN(MAX(ROUND(ROUND('Loonschijven_Tranches salariale'!$Q89*0.65,4)*Basisbedragen!$I$2,2),ROUND(Basisbedragen!$D$36*Basisbedragen!$I$2,2)),ROUND(ROUND(Basisbedragen!$D$27*0.65,4)*Basisbedragen!$I$2,2))/2,2)</f>
        <v>46.17</v>
      </c>
      <c r="J94" s="388">
        <f>ROUND(MIN(MAX(ROUND(ROUND('Loonschijven_Tranches salariale'!$Q89*0.6,4)*Basisbedragen!$I$2,2),ROUND(Basisbedragen!$D$36*Basisbedragen!$I$2,2)),ROUND(ROUND(Basisbedragen!$D$28*0.6,4)*Basisbedragen!$I$2,2))/2,2)</f>
        <v>42.62</v>
      </c>
      <c r="K94" s="388">
        <f>ROUND(A_N_B_vol_plein!K94/2,2)</f>
        <v>38.409999999999997</v>
      </c>
      <c r="L94" s="56">
        <f>ROUND(A_N_B_vol_plein!L94/2,2)</f>
        <v>0</v>
      </c>
      <c r="M94" s="388">
        <f>ROUND(A_N_B_vol_plein!M94/2,2)</f>
        <v>28.77</v>
      </c>
      <c r="N94" s="56">
        <f>ROUND(A_N_B_vol_plein!N94/2,2)</f>
        <v>0</v>
      </c>
      <c r="O94" s="388">
        <f>ROUND(MIN(MAX(ROUND(ROUND('Loonschijven_Tranches salariale'!$Q89*0.65,4)*Basisbedragen!$I$2,2),ROUND(Basisbedragen!$D$38*Basisbedragen!$I$2,2)),ROUND(ROUND(Basisbedragen!$D$27*0.65,4)*Basisbedragen!$I$2,2))/2,2)</f>
        <v>46.17</v>
      </c>
      <c r="P94" s="388">
        <f>ROUND(MIN(MAX(ROUND(ROUND('Loonschijven_Tranches salariale'!$Q89*0.6,4)*Basisbedragen!$I$2,2),ROUND(Basisbedragen!$D$39*Basisbedragen!$I$2,2)),ROUND(ROUND(Basisbedragen!$D$28*0.6,4)*Basisbedragen!$I$2,2))/2,2)</f>
        <v>42.62</v>
      </c>
      <c r="Q94" s="388">
        <f>ROUND(A_N_B_vol_plein!Q94/2,2)</f>
        <v>38.409999999999997</v>
      </c>
      <c r="R94" s="56">
        <f>ROUND(A_N_B_vol_plein!R94/2,2)</f>
        <v>0</v>
      </c>
      <c r="S94" s="388">
        <f>ROUND(A_N_B_vol_plein!S94/2,2)</f>
        <v>21.19</v>
      </c>
      <c r="T94" s="388">
        <f>ROUND(A_N_B_vol_plein!T94/2,2)</f>
        <v>14.93</v>
      </c>
    </row>
    <row r="95" spans="1:20" ht="15" thickBot="1">
      <c r="A95" s="47">
        <f t="shared" si="1"/>
        <v>83</v>
      </c>
      <c r="C95" s="388">
        <f>ROUND(MIN(MAX(ROUND(ROUND('Loonschijven_Tranches salariale'!$Q90*0.65,4)*Basisbedragen!$I$2,2),ROUND(Basisbedragen!$D$34*Basisbedragen!$I$2,2)),ROUND(ROUND(Basisbedragen!$D$27*0.65,4)*Basisbedragen!$I$2,2))/2,2)</f>
        <v>46.67</v>
      </c>
      <c r="D95" s="388">
        <f>ROUND(MIN(MAX(ROUND(ROUND('Loonschijven_Tranches salariale'!$Q90*0.6,4)*Basisbedragen!$I$2,2),ROUND(Basisbedragen!$D$34*Basisbedragen!$I$2,2)),ROUND(ROUND(Basisbedragen!$D$28*0.6,4)*Basisbedragen!$I$2,2))/2,2)</f>
        <v>43.08</v>
      </c>
      <c r="E95" s="388">
        <f>ROUND(A_N_B_vol_plein!E95/2,2)</f>
        <v>38.409999999999997</v>
      </c>
      <c r="F95" s="56">
        <f>ROUND(A_N_B_vol_plein!F95/2,2)</f>
        <v>0</v>
      </c>
      <c r="G95" s="388">
        <f>ROUND(A_N_B_vol_plein!G95/2,2)</f>
        <v>35.5</v>
      </c>
      <c r="H95" s="56">
        <f>ROUND(A_N_B_vol_plein!H95/2,2)</f>
        <v>0</v>
      </c>
      <c r="I95" s="388">
        <f>ROUND(MIN(MAX(ROUND(ROUND('Loonschijven_Tranches salariale'!$Q90*0.65,4)*Basisbedragen!$I$2,2),ROUND(Basisbedragen!$D$36*Basisbedragen!$I$2,2)),ROUND(ROUND(Basisbedragen!$D$27*0.65,4)*Basisbedragen!$I$2,2))/2,2)</f>
        <v>46.67</v>
      </c>
      <c r="J95" s="388">
        <f>ROUND(MIN(MAX(ROUND(ROUND('Loonschijven_Tranches salariale'!$Q90*0.6,4)*Basisbedragen!$I$2,2),ROUND(Basisbedragen!$D$36*Basisbedragen!$I$2,2)),ROUND(ROUND(Basisbedragen!$D$28*0.6,4)*Basisbedragen!$I$2,2))/2,2)</f>
        <v>43.08</v>
      </c>
      <c r="K95" s="388">
        <f>ROUND(A_N_B_vol_plein!K95/2,2)</f>
        <v>38.409999999999997</v>
      </c>
      <c r="L95" s="56">
        <f>ROUND(A_N_B_vol_plein!L95/2,2)</f>
        <v>0</v>
      </c>
      <c r="M95" s="388">
        <f>ROUND(A_N_B_vol_plein!M95/2,2)</f>
        <v>28.77</v>
      </c>
      <c r="N95" s="56">
        <f>ROUND(A_N_B_vol_plein!N95/2,2)</f>
        <v>0</v>
      </c>
      <c r="O95" s="388">
        <f>ROUND(MIN(MAX(ROUND(ROUND('Loonschijven_Tranches salariale'!$Q90*0.65,4)*Basisbedragen!$I$2,2),ROUND(Basisbedragen!$D$38*Basisbedragen!$I$2,2)),ROUND(ROUND(Basisbedragen!$D$27*0.65,4)*Basisbedragen!$I$2,2))/2,2)</f>
        <v>46.67</v>
      </c>
      <c r="P95" s="388">
        <f>ROUND(MIN(MAX(ROUND(ROUND('Loonschijven_Tranches salariale'!$Q90*0.6,4)*Basisbedragen!$I$2,2),ROUND(Basisbedragen!$D$39*Basisbedragen!$I$2,2)),ROUND(ROUND(Basisbedragen!$D$28*0.6,4)*Basisbedragen!$I$2,2))/2,2)</f>
        <v>43.08</v>
      </c>
      <c r="Q95" s="388">
        <f>ROUND(A_N_B_vol_plein!Q95/2,2)</f>
        <v>38.409999999999997</v>
      </c>
      <c r="R95" s="56">
        <f>ROUND(A_N_B_vol_plein!R95/2,2)</f>
        <v>0</v>
      </c>
      <c r="S95" s="388">
        <f>ROUND(A_N_B_vol_plein!S95/2,2)</f>
        <v>21.19</v>
      </c>
      <c r="T95" s="388">
        <f>ROUND(A_N_B_vol_plein!T95/2,2)</f>
        <v>14.93</v>
      </c>
    </row>
    <row r="96" spans="1:20" ht="15" thickBot="1">
      <c r="A96" s="47">
        <f t="shared" si="1"/>
        <v>84</v>
      </c>
      <c r="C96" s="388">
        <f>ROUND(MIN(MAX(ROUND(ROUND('Loonschijven_Tranches salariale'!$Q91*0.65,4)*Basisbedragen!$I$2,2),ROUND(Basisbedragen!$D$34*Basisbedragen!$I$2,2)),ROUND(ROUND(Basisbedragen!$D$27*0.65,4)*Basisbedragen!$I$2,2))/2,2)</f>
        <v>47.18</v>
      </c>
      <c r="D96" s="388">
        <f>ROUND(MIN(MAX(ROUND(ROUND('Loonschijven_Tranches salariale'!$Q91*0.6,4)*Basisbedragen!$I$2,2),ROUND(Basisbedragen!$D$34*Basisbedragen!$I$2,2)),ROUND(ROUND(Basisbedragen!$D$28*0.6,4)*Basisbedragen!$I$2,2))/2,2)</f>
        <v>43.55</v>
      </c>
      <c r="E96" s="388">
        <f>ROUND(A_N_B_vol_plein!E96/2,2)</f>
        <v>38.409999999999997</v>
      </c>
      <c r="F96" s="56">
        <f>ROUND(A_N_B_vol_plein!F96/2,2)</f>
        <v>0</v>
      </c>
      <c r="G96" s="388">
        <f>ROUND(A_N_B_vol_plein!G96/2,2)</f>
        <v>35.5</v>
      </c>
      <c r="H96" s="56">
        <f>ROUND(A_N_B_vol_plein!H96/2,2)</f>
        <v>0</v>
      </c>
      <c r="I96" s="388">
        <f>ROUND(MIN(MAX(ROUND(ROUND('Loonschijven_Tranches salariale'!$Q91*0.65,4)*Basisbedragen!$I$2,2),ROUND(Basisbedragen!$D$36*Basisbedragen!$I$2,2)),ROUND(ROUND(Basisbedragen!$D$27*0.65,4)*Basisbedragen!$I$2,2))/2,2)</f>
        <v>47.18</v>
      </c>
      <c r="J96" s="388">
        <f>ROUND(MIN(MAX(ROUND(ROUND('Loonschijven_Tranches salariale'!$Q91*0.6,4)*Basisbedragen!$I$2,2),ROUND(Basisbedragen!$D$36*Basisbedragen!$I$2,2)),ROUND(ROUND(Basisbedragen!$D$28*0.6,4)*Basisbedragen!$I$2,2))/2,2)</f>
        <v>43.55</v>
      </c>
      <c r="K96" s="388">
        <f>ROUND(A_N_B_vol_plein!K96/2,2)</f>
        <v>38.409999999999997</v>
      </c>
      <c r="L96" s="56">
        <f>ROUND(A_N_B_vol_plein!L96/2,2)</f>
        <v>0</v>
      </c>
      <c r="M96" s="388">
        <f>ROUND(A_N_B_vol_plein!M96/2,2)</f>
        <v>28.77</v>
      </c>
      <c r="N96" s="56">
        <f>ROUND(A_N_B_vol_plein!N96/2,2)</f>
        <v>0</v>
      </c>
      <c r="O96" s="388">
        <f>ROUND(MIN(MAX(ROUND(ROUND('Loonschijven_Tranches salariale'!$Q91*0.65,4)*Basisbedragen!$I$2,2),ROUND(Basisbedragen!$D$38*Basisbedragen!$I$2,2)),ROUND(ROUND(Basisbedragen!$D$27*0.65,4)*Basisbedragen!$I$2,2))/2,2)</f>
        <v>47.18</v>
      </c>
      <c r="P96" s="388">
        <f>ROUND(MIN(MAX(ROUND(ROUND('Loonschijven_Tranches salariale'!$Q91*0.6,4)*Basisbedragen!$I$2,2),ROUND(Basisbedragen!$D$39*Basisbedragen!$I$2,2)),ROUND(ROUND(Basisbedragen!$D$28*0.6,4)*Basisbedragen!$I$2,2))/2,2)</f>
        <v>43.55</v>
      </c>
      <c r="Q96" s="388">
        <f>ROUND(A_N_B_vol_plein!Q96/2,2)</f>
        <v>38.409999999999997</v>
      </c>
      <c r="R96" s="56">
        <f>ROUND(A_N_B_vol_plein!R96/2,2)</f>
        <v>0</v>
      </c>
      <c r="S96" s="388">
        <f>ROUND(A_N_B_vol_plein!S96/2,2)</f>
        <v>21.19</v>
      </c>
      <c r="T96" s="388">
        <f>ROUND(A_N_B_vol_plein!T96/2,2)</f>
        <v>14.93</v>
      </c>
    </row>
    <row r="97" spans="1:20" ht="15" thickBot="1">
      <c r="A97" s="47">
        <f t="shared" si="1"/>
        <v>85</v>
      </c>
      <c r="C97" s="388">
        <f>ROUND(MIN(MAX(ROUND(ROUND('Loonschijven_Tranches salariale'!$Q92*0.65,4)*Basisbedragen!$I$2,2),ROUND(Basisbedragen!$D$34*Basisbedragen!$I$2,2)),ROUND(ROUND(Basisbedragen!$D$27*0.65,4)*Basisbedragen!$I$2,2))/2,2)</f>
        <v>47.69</v>
      </c>
      <c r="D97" s="388">
        <f>ROUND(MIN(MAX(ROUND(ROUND('Loonschijven_Tranches salariale'!$Q92*0.6,4)*Basisbedragen!$I$2,2),ROUND(Basisbedragen!$D$34*Basisbedragen!$I$2,2)),ROUND(ROUND(Basisbedragen!$D$28*0.6,4)*Basisbedragen!$I$2,2))/2,2)</f>
        <v>44.02</v>
      </c>
      <c r="E97" s="409">
        <f>ROUND(A_N_B_vol_plein!E97/2,2)</f>
        <v>38.409999999999997</v>
      </c>
      <c r="F97" s="56">
        <f>ROUND(A_N_B_vol_plein!F97/2,2)</f>
        <v>0</v>
      </c>
      <c r="G97" s="409">
        <f>ROUND(A_N_B_vol_plein!G97/2,2)</f>
        <v>35.5</v>
      </c>
      <c r="H97" s="56">
        <f>ROUND(A_N_B_vol_plein!H97/2,2)</f>
        <v>0</v>
      </c>
      <c r="I97" s="388">
        <f>ROUND(MIN(MAX(ROUND(ROUND('Loonschijven_Tranches salariale'!$Q92*0.65,4)*Basisbedragen!$I$2,2),ROUND(Basisbedragen!$D$36*Basisbedragen!$I$2,2)),ROUND(ROUND(Basisbedragen!$D$27*0.65,4)*Basisbedragen!$I$2,2))/2,2)</f>
        <v>47.69</v>
      </c>
      <c r="J97" s="388">
        <f>ROUND(MIN(MAX(ROUND(ROUND('Loonschijven_Tranches salariale'!$Q92*0.6,4)*Basisbedragen!$I$2,2),ROUND(Basisbedragen!$D$36*Basisbedragen!$I$2,2)),ROUND(ROUND(Basisbedragen!$D$28*0.6,4)*Basisbedragen!$I$2,2))/2,2)</f>
        <v>44.02</v>
      </c>
      <c r="K97" s="409">
        <f>ROUND(A_N_B_vol_plein!K97/2,2)</f>
        <v>38.409999999999997</v>
      </c>
      <c r="L97" s="56">
        <f>ROUND(A_N_B_vol_plein!L97/2,2)</f>
        <v>0</v>
      </c>
      <c r="M97" s="409">
        <f>ROUND(A_N_B_vol_plein!M97/2,2)</f>
        <v>28.77</v>
      </c>
      <c r="N97" s="56">
        <f>ROUND(A_N_B_vol_plein!N97/2,2)</f>
        <v>0</v>
      </c>
      <c r="O97" s="388">
        <f>ROUND(MIN(MAX(ROUND(ROUND('Loonschijven_Tranches salariale'!$Q92*0.65,4)*Basisbedragen!$I$2,2),ROUND(Basisbedragen!$D$38*Basisbedragen!$I$2,2)),ROUND(ROUND(Basisbedragen!$D$27*0.65,4)*Basisbedragen!$I$2,2))/2,2)</f>
        <v>47.69</v>
      </c>
      <c r="P97" s="388">
        <f>ROUND(MIN(MAX(ROUND(ROUND('Loonschijven_Tranches salariale'!$Q92*0.6,4)*Basisbedragen!$I$2,2),ROUND(Basisbedragen!$D$39*Basisbedragen!$I$2,2)),ROUND(ROUND(Basisbedragen!$D$28*0.6,4)*Basisbedragen!$I$2,2))/2,2)</f>
        <v>44.02</v>
      </c>
      <c r="Q97" s="409">
        <f>ROUND(A_N_B_vol_plein!Q97/2,2)</f>
        <v>38.409999999999997</v>
      </c>
      <c r="R97" s="56">
        <f>ROUND(A_N_B_vol_plein!R97/2,2)</f>
        <v>0</v>
      </c>
      <c r="S97" s="409">
        <f>ROUND(A_N_B_vol_plein!S97/2,2)</f>
        <v>21.19</v>
      </c>
      <c r="T97" s="409">
        <f>ROUND(A_N_B_vol_plein!T97/2,2)</f>
        <v>14.93</v>
      </c>
    </row>
    <row r="98" spans="1:20" ht="15" thickBot="1">
      <c r="A98" s="47">
        <f t="shared" si="1"/>
        <v>86</v>
      </c>
      <c r="C98" s="388">
        <f>ROUND(MIN(MAX(ROUND(ROUND('Loonschijven_Tranches salariale'!$Q93*0.65,4)*Basisbedragen!$I$2,2),ROUND(Basisbedragen!$D$34*Basisbedragen!$I$2,2)),ROUND(ROUND(Basisbedragen!$D$27*0.65,4)*Basisbedragen!$I$2,2))/2,2)</f>
        <v>48.2</v>
      </c>
      <c r="D98" s="388">
        <f>ROUND(MIN(MAX(ROUND(ROUND('Loonschijven_Tranches salariale'!$Q93*0.6,4)*Basisbedragen!$I$2,2),ROUND(Basisbedragen!$D$34*Basisbedragen!$I$2,2)),ROUND(ROUND(Basisbedragen!$D$28*0.6,4)*Basisbedragen!$I$2,2))/2,2)</f>
        <v>44.49</v>
      </c>
      <c r="E98" s="388">
        <f>ROUND(A_N_B_vol_plein!E98/2,2)</f>
        <v>38.409999999999997</v>
      </c>
      <c r="F98" s="56">
        <f>ROUND(A_N_B_vol_plein!F98/2,2)</f>
        <v>0</v>
      </c>
      <c r="G98" s="388">
        <f>ROUND(A_N_B_vol_plein!G98/2,2)</f>
        <v>35.5</v>
      </c>
      <c r="H98" s="56">
        <f>ROUND(A_N_B_vol_plein!H98/2,2)</f>
        <v>0</v>
      </c>
      <c r="I98" s="388">
        <f>ROUND(MIN(MAX(ROUND(ROUND('Loonschijven_Tranches salariale'!$Q93*0.65,4)*Basisbedragen!$I$2,2),ROUND(Basisbedragen!$D$36*Basisbedragen!$I$2,2)),ROUND(ROUND(Basisbedragen!$D$27*0.65,4)*Basisbedragen!$I$2,2))/2,2)</f>
        <v>48.2</v>
      </c>
      <c r="J98" s="388">
        <f>ROUND(MIN(MAX(ROUND(ROUND('Loonschijven_Tranches salariale'!$Q93*0.6,4)*Basisbedragen!$I$2,2),ROUND(Basisbedragen!$D$36*Basisbedragen!$I$2,2)),ROUND(ROUND(Basisbedragen!$D$28*0.6,4)*Basisbedragen!$I$2,2))/2,2)</f>
        <v>44.49</v>
      </c>
      <c r="K98" s="388">
        <f>ROUND(A_N_B_vol_plein!K98/2,2)</f>
        <v>38.409999999999997</v>
      </c>
      <c r="L98" s="56">
        <f>ROUND(A_N_B_vol_plein!L98/2,2)</f>
        <v>0</v>
      </c>
      <c r="M98" s="388">
        <f>ROUND(A_N_B_vol_plein!M98/2,2)</f>
        <v>28.77</v>
      </c>
      <c r="N98" s="56">
        <f>ROUND(A_N_B_vol_plein!N98/2,2)</f>
        <v>0</v>
      </c>
      <c r="O98" s="388">
        <f>ROUND(MIN(MAX(ROUND(ROUND('Loonschijven_Tranches salariale'!$Q93*0.65,4)*Basisbedragen!$I$2,2),ROUND(Basisbedragen!$D$38*Basisbedragen!$I$2,2)),ROUND(ROUND(Basisbedragen!$D$27*0.65,4)*Basisbedragen!$I$2,2))/2,2)</f>
        <v>48.2</v>
      </c>
      <c r="P98" s="388">
        <f>ROUND(MIN(MAX(ROUND(ROUND('Loonschijven_Tranches salariale'!$Q93*0.6,4)*Basisbedragen!$I$2,2),ROUND(Basisbedragen!$D$39*Basisbedragen!$I$2,2)),ROUND(ROUND(Basisbedragen!$D$28*0.6,4)*Basisbedragen!$I$2,2))/2,2)</f>
        <v>44.49</v>
      </c>
      <c r="Q98" s="388">
        <f>ROUND(A_N_B_vol_plein!Q98/2,2)</f>
        <v>38.409999999999997</v>
      </c>
      <c r="R98" s="56">
        <f>ROUND(A_N_B_vol_plein!R98/2,2)</f>
        <v>0</v>
      </c>
      <c r="S98" s="388">
        <f>ROUND(A_N_B_vol_plein!S98/2,2)</f>
        <v>21.19</v>
      </c>
      <c r="T98" s="388">
        <f>ROUND(A_N_B_vol_plein!T98/2,2)</f>
        <v>14.93</v>
      </c>
    </row>
    <row r="99" spans="1:20" ht="15" thickBot="1">
      <c r="A99" s="47">
        <f t="shared" si="1"/>
        <v>87</v>
      </c>
      <c r="C99" s="388">
        <f>ROUND(MIN(MAX(ROUND(ROUND('Loonschijven_Tranches salariale'!$Q94*0.65,4)*Basisbedragen!$I$2,2),ROUND(Basisbedragen!$D$34*Basisbedragen!$I$2,2)),ROUND(ROUND(Basisbedragen!$D$27*0.65,4)*Basisbedragen!$I$2,2))/2,2)</f>
        <v>48.71</v>
      </c>
      <c r="D99" s="388">
        <f>ROUND(MIN(MAX(ROUND(ROUND('Loonschijven_Tranches salariale'!$Q94*0.6,4)*Basisbedragen!$I$2,2),ROUND(Basisbedragen!$D$34*Basisbedragen!$I$2,2)),ROUND(ROUND(Basisbedragen!$D$28*0.6,4)*Basisbedragen!$I$2,2))/2,2)</f>
        <v>44.96</v>
      </c>
      <c r="E99" s="388">
        <f>ROUND(A_N_B_vol_plein!E99/2,2)</f>
        <v>38.409999999999997</v>
      </c>
      <c r="F99" s="56">
        <f>ROUND(A_N_B_vol_plein!F99/2,2)</f>
        <v>0</v>
      </c>
      <c r="G99" s="388">
        <f>ROUND(A_N_B_vol_plein!G99/2,2)</f>
        <v>35.5</v>
      </c>
      <c r="H99" s="56">
        <f>ROUND(A_N_B_vol_plein!H99/2,2)</f>
        <v>0</v>
      </c>
      <c r="I99" s="388">
        <f>ROUND(MIN(MAX(ROUND(ROUND('Loonschijven_Tranches salariale'!$Q94*0.65,4)*Basisbedragen!$I$2,2),ROUND(Basisbedragen!$D$36*Basisbedragen!$I$2,2)),ROUND(ROUND(Basisbedragen!$D$27*0.65,4)*Basisbedragen!$I$2,2))/2,2)</f>
        <v>48.71</v>
      </c>
      <c r="J99" s="388">
        <f>ROUND(MIN(MAX(ROUND(ROUND('Loonschijven_Tranches salariale'!$Q94*0.6,4)*Basisbedragen!$I$2,2),ROUND(Basisbedragen!$D$36*Basisbedragen!$I$2,2)),ROUND(ROUND(Basisbedragen!$D$28*0.6,4)*Basisbedragen!$I$2,2))/2,2)</f>
        <v>44.96</v>
      </c>
      <c r="K99" s="388">
        <f>ROUND(A_N_B_vol_plein!K99/2,2)</f>
        <v>38.409999999999997</v>
      </c>
      <c r="L99" s="56">
        <f>ROUND(A_N_B_vol_plein!L99/2,2)</f>
        <v>0</v>
      </c>
      <c r="M99" s="388">
        <f>ROUND(A_N_B_vol_plein!M99/2,2)</f>
        <v>28.77</v>
      </c>
      <c r="N99" s="56">
        <f>ROUND(A_N_B_vol_plein!N99/2,2)</f>
        <v>0</v>
      </c>
      <c r="O99" s="388">
        <f>ROUND(MIN(MAX(ROUND(ROUND('Loonschijven_Tranches salariale'!$Q94*0.65,4)*Basisbedragen!$I$2,2),ROUND(Basisbedragen!$D$38*Basisbedragen!$I$2,2)),ROUND(ROUND(Basisbedragen!$D$27*0.65,4)*Basisbedragen!$I$2,2))/2,2)</f>
        <v>48.71</v>
      </c>
      <c r="P99" s="388">
        <f>ROUND(MIN(MAX(ROUND(ROUND('Loonschijven_Tranches salariale'!$Q94*0.6,4)*Basisbedragen!$I$2,2),ROUND(Basisbedragen!$D$39*Basisbedragen!$I$2,2)),ROUND(ROUND(Basisbedragen!$D$28*0.6,4)*Basisbedragen!$I$2,2))/2,2)</f>
        <v>44.96</v>
      </c>
      <c r="Q99" s="388">
        <f>ROUND(A_N_B_vol_plein!Q99/2,2)</f>
        <v>38.409999999999997</v>
      </c>
      <c r="R99" s="56">
        <f>ROUND(A_N_B_vol_plein!R99/2,2)</f>
        <v>0</v>
      </c>
      <c r="S99" s="388">
        <f>ROUND(A_N_B_vol_plein!S99/2,2)</f>
        <v>21.19</v>
      </c>
      <c r="T99" s="388">
        <f>ROUND(A_N_B_vol_plein!T99/2,2)</f>
        <v>14.93</v>
      </c>
    </row>
    <row r="100" spans="1:20" ht="15" thickBot="1">
      <c r="A100" s="47">
        <f t="shared" si="1"/>
        <v>88</v>
      </c>
      <c r="C100" s="388">
        <f>ROUND(MIN(MAX(ROUND(ROUND('Loonschijven_Tranches salariale'!$Q95*0.65,4)*Basisbedragen!$I$2,2),ROUND(Basisbedragen!$D$34*Basisbedragen!$I$2,2)),ROUND(ROUND(Basisbedragen!$D$27*0.65,4)*Basisbedragen!$I$2,2))/2,2)</f>
        <v>49.21</v>
      </c>
      <c r="D100" s="388">
        <f>ROUND(MIN(MAX(ROUND(ROUND('Loonschijven_Tranches salariale'!$Q95*0.6,4)*Basisbedragen!$I$2,2),ROUND(Basisbedragen!$D$34*Basisbedragen!$I$2,2)),ROUND(ROUND(Basisbedragen!$D$28*0.6,4)*Basisbedragen!$I$2,2))/2,2)</f>
        <v>45.43</v>
      </c>
      <c r="E100" s="388">
        <f>ROUND(A_N_B_vol_plein!E100/2,2)</f>
        <v>38.409999999999997</v>
      </c>
      <c r="F100" s="56">
        <f>ROUND(A_N_B_vol_plein!F100/2,2)</f>
        <v>0</v>
      </c>
      <c r="G100" s="388">
        <f>ROUND(A_N_B_vol_plein!G100/2,2)</f>
        <v>35.5</v>
      </c>
      <c r="H100" s="56">
        <f>ROUND(A_N_B_vol_plein!H100/2,2)</f>
        <v>0</v>
      </c>
      <c r="I100" s="388">
        <f>ROUND(MIN(MAX(ROUND(ROUND('Loonschijven_Tranches salariale'!$Q95*0.65,4)*Basisbedragen!$I$2,2),ROUND(Basisbedragen!$D$36*Basisbedragen!$I$2,2)),ROUND(ROUND(Basisbedragen!$D$27*0.65,4)*Basisbedragen!$I$2,2))/2,2)</f>
        <v>49.21</v>
      </c>
      <c r="J100" s="388">
        <f>ROUND(MIN(MAX(ROUND(ROUND('Loonschijven_Tranches salariale'!$Q95*0.6,4)*Basisbedragen!$I$2,2),ROUND(Basisbedragen!$D$36*Basisbedragen!$I$2,2)),ROUND(ROUND(Basisbedragen!$D$28*0.6,4)*Basisbedragen!$I$2,2))/2,2)</f>
        <v>45.43</v>
      </c>
      <c r="K100" s="388">
        <f>ROUND(A_N_B_vol_plein!K100/2,2)</f>
        <v>38.409999999999997</v>
      </c>
      <c r="L100" s="56">
        <f>ROUND(A_N_B_vol_plein!L100/2,2)</f>
        <v>0</v>
      </c>
      <c r="M100" s="388">
        <f>ROUND(A_N_B_vol_plein!M100/2,2)</f>
        <v>28.77</v>
      </c>
      <c r="N100" s="56">
        <f>ROUND(A_N_B_vol_plein!N100/2,2)</f>
        <v>0</v>
      </c>
      <c r="O100" s="388">
        <f>ROUND(MIN(MAX(ROUND(ROUND('Loonschijven_Tranches salariale'!$Q95*0.65,4)*Basisbedragen!$I$2,2),ROUND(Basisbedragen!$D$38*Basisbedragen!$I$2,2)),ROUND(ROUND(Basisbedragen!$D$27*0.65,4)*Basisbedragen!$I$2,2))/2,2)</f>
        <v>49.21</v>
      </c>
      <c r="P100" s="388">
        <f>ROUND(MIN(MAX(ROUND(ROUND('Loonschijven_Tranches salariale'!$Q95*0.6,4)*Basisbedragen!$I$2,2),ROUND(Basisbedragen!$D$39*Basisbedragen!$I$2,2)),ROUND(ROUND(Basisbedragen!$D$28*0.6,4)*Basisbedragen!$I$2,2))/2,2)</f>
        <v>45.43</v>
      </c>
      <c r="Q100" s="388">
        <f>ROUND(A_N_B_vol_plein!Q100/2,2)</f>
        <v>38.409999999999997</v>
      </c>
      <c r="R100" s="56">
        <f>ROUND(A_N_B_vol_plein!R100/2,2)</f>
        <v>0</v>
      </c>
      <c r="S100" s="388">
        <f>ROUND(A_N_B_vol_plein!S100/2,2)</f>
        <v>21.19</v>
      </c>
      <c r="T100" s="388">
        <f>ROUND(A_N_B_vol_plein!T100/2,2)</f>
        <v>14.93</v>
      </c>
    </row>
    <row r="101" spans="1:20" ht="15" thickBot="1">
      <c r="A101" s="47">
        <f t="shared" si="1"/>
        <v>89</v>
      </c>
      <c r="C101" s="388">
        <f>ROUND(MIN(MAX(ROUND(ROUND('Loonschijven_Tranches salariale'!$Q96*0.65,4)*Basisbedragen!$I$2,2),ROUND(Basisbedragen!$D$34*Basisbedragen!$I$2,2)),ROUND(ROUND(Basisbedragen!$D$27*0.65,4)*Basisbedragen!$I$2,2))/2,2)</f>
        <v>49.72</v>
      </c>
      <c r="D101" s="388">
        <f>ROUND(MIN(MAX(ROUND(ROUND('Loonschijven_Tranches salariale'!$Q96*0.6,4)*Basisbedragen!$I$2,2),ROUND(Basisbedragen!$D$34*Basisbedragen!$I$2,2)),ROUND(ROUND(Basisbedragen!$D$28*0.6,4)*Basisbedragen!$I$2,2))/2,2)</f>
        <v>45.9</v>
      </c>
      <c r="E101" s="388">
        <f>ROUND(A_N_B_vol_plein!E101/2,2)</f>
        <v>38.409999999999997</v>
      </c>
      <c r="F101" s="56">
        <f>ROUND(A_N_B_vol_plein!F101/2,2)</f>
        <v>0</v>
      </c>
      <c r="G101" s="388">
        <f>ROUND(A_N_B_vol_plein!G101/2,2)</f>
        <v>35.5</v>
      </c>
      <c r="H101" s="56">
        <f>ROUND(A_N_B_vol_plein!H101/2,2)</f>
        <v>0</v>
      </c>
      <c r="I101" s="388">
        <f>ROUND(MIN(MAX(ROUND(ROUND('Loonschijven_Tranches salariale'!$Q96*0.65,4)*Basisbedragen!$I$2,2),ROUND(Basisbedragen!$D$36*Basisbedragen!$I$2,2)),ROUND(ROUND(Basisbedragen!$D$27*0.65,4)*Basisbedragen!$I$2,2))/2,2)</f>
        <v>49.72</v>
      </c>
      <c r="J101" s="388">
        <f>ROUND(MIN(MAX(ROUND(ROUND('Loonschijven_Tranches salariale'!$Q96*0.6,4)*Basisbedragen!$I$2,2),ROUND(Basisbedragen!$D$36*Basisbedragen!$I$2,2)),ROUND(ROUND(Basisbedragen!$D$28*0.6,4)*Basisbedragen!$I$2,2))/2,2)</f>
        <v>45.9</v>
      </c>
      <c r="K101" s="388">
        <f>ROUND(A_N_B_vol_plein!K101/2,2)</f>
        <v>38.409999999999997</v>
      </c>
      <c r="L101" s="56">
        <f>ROUND(A_N_B_vol_plein!L101/2,2)</f>
        <v>0</v>
      </c>
      <c r="M101" s="388">
        <f>ROUND(A_N_B_vol_plein!M101/2,2)</f>
        <v>28.77</v>
      </c>
      <c r="N101" s="56">
        <f>ROUND(A_N_B_vol_plein!N101/2,2)</f>
        <v>0</v>
      </c>
      <c r="O101" s="388">
        <f>ROUND(MIN(MAX(ROUND(ROUND('Loonschijven_Tranches salariale'!$Q96*0.65,4)*Basisbedragen!$I$2,2),ROUND(Basisbedragen!$D$38*Basisbedragen!$I$2,2)),ROUND(ROUND(Basisbedragen!$D$27*0.65,4)*Basisbedragen!$I$2,2))/2,2)</f>
        <v>49.72</v>
      </c>
      <c r="P101" s="388">
        <f>ROUND(MIN(MAX(ROUND(ROUND('Loonschijven_Tranches salariale'!$Q96*0.6,4)*Basisbedragen!$I$2,2),ROUND(Basisbedragen!$D$39*Basisbedragen!$I$2,2)),ROUND(ROUND(Basisbedragen!$D$28*0.6,4)*Basisbedragen!$I$2,2))/2,2)</f>
        <v>45.9</v>
      </c>
      <c r="Q101" s="388">
        <f>ROUND(A_N_B_vol_plein!Q101/2,2)</f>
        <v>38.409999999999997</v>
      </c>
      <c r="R101" s="56">
        <f>ROUND(A_N_B_vol_plein!R101/2,2)</f>
        <v>0</v>
      </c>
      <c r="S101" s="388">
        <f>ROUND(A_N_B_vol_plein!S101/2,2)</f>
        <v>21.19</v>
      </c>
      <c r="T101" s="388">
        <f>ROUND(A_N_B_vol_plein!T101/2,2)</f>
        <v>14.93</v>
      </c>
    </row>
    <row r="102" spans="1:20" ht="15" thickBot="1">
      <c r="A102" s="47">
        <f t="shared" si="1"/>
        <v>90</v>
      </c>
      <c r="C102" s="388">
        <f>ROUND(MIN(MAX(ROUND(ROUND('Loonschijven_Tranches salariale'!$Q97*0.65,4)*Basisbedragen!$I$2,2),ROUND(Basisbedragen!$D$34*Basisbedragen!$I$2,2)),ROUND(ROUND(Basisbedragen!$D$27*0.65,4)*Basisbedragen!$I$2,2))/2,2)</f>
        <v>50.23</v>
      </c>
      <c r="D102" s="388">
        <f>ROUND(MIN(MAX(ROUND(ROUND('Loonschijven_Tranches salariale'!$Q97*0.6,4)*Basisbedragen!$I$2,2),ROUND(Basisbedragen!$D$34*Basisbedragen!$I$2,2)),ROUND(ROUND(Basisbedragen!$D$28*0.6,4)*Basisbedragen!$I$2,2))/2,2)</f>
        <v>46.37</v>
      </c>
      <c r="E102" s="409">
        <f>ROUND(A_N_B_vol_plein!E102/2,2)</f>
        <v>38.409999999999997</v>
      </c>
      <c r="F102" s="56">
        <f>ROUND(A_N_B_vol_plein!F102/2,2)</f>
        <v>0</v>
      </c>
      <c r="G102" s="409">
        <f>ROUND(A_N_B_vol_plein!G102/2,2)</f>
        <v>35.5</v>
      </c>
      <c r="H102" s="56">
        <f>ROUND(A_N_B_vol_plein!H102/2,2)</f>
        <v>0</v>
      </c>
      <c r="I102" s="388">
        <f>ROUND(MIN(MAX(ROUND(ROUND('Loonschijven_Tranches salariale'!$Q97*0.65,4)*Basisbedragen!$I$2,2),ROUND(Basisbedragen!$D$36*Basisbedragen!$I$2,2)),ROUND(ROUND(Basisbedragen!$D$27*0.65,4)*Basisbedragen!$I$2,2))/2,2)</f>
        <v>50.23</v>
      </c>
      <c r="J102" s="388">
        <f>ROUND(MIN(MAX(ROUND(ROUND('Loonschijven_Tranches salariale'!$Q97*0.6,4)*Basisbedragen!$I$2,2),ROUND(Basisbedragen!$D$36*Basisbedragen!$I$2,2)),ROUND(ROUND(Basisbedragen!$D$28*0.6,4)*Basisbedragen!$I$2,2))/2,2)</f>
        <v>46.37</v>
      </c>
      <c r="K102" s="409">
        <f>ROUND(A_N_B_vol_plein!K102/2,2)</f>
        <v>38.409999999999997</v>
      </c>
      <c r="L102" s="56">
        <f>ROUND(A_N_B_vol_plein!L102/2,2)</f>
        <v>0</v>
      </c>
      <c r="M102" s="409">
        <f>ROUND(A_N_B_vol_plein!M102/2,2)</f>
        <v>28.77</v>
      </c>
      <c r="N102" s="56">
        <f>ROUND(A_N_B_vol_plein!N102/2,2)</f>
        <v>0</v>
      </c>
      <c r="O102" s="388">
        <f>ROUND(MIN(MAX(ROUND(ROUND('Loonschijven_Tranches salariale'!$Q97*0.65,4)*Basisbedragen!$I$2,2),ROUND(Basisbedragen!$D$38*Basisbedragen!$I$2,2)),ROUND(ROUND(Basisbedragen!$D$27*0.65,4)*Basisbedragen!$I$2,2))/2,2)</f>
        <v>50.23</v>
      </c>
      <c r="P102" s="388">
        <f>ROUND(MIN(MAX(ROUND(ROUND('Loonschijven_Tranches salariale'!$Q97*0.6,4)*Basisbedragen!$I$2,2),ROUND(Basisbedragen!$D$39*Basisbedragen!$I$2,2)),ROUND(ROUND(Basisbedragen!$D$28*0.6,4)*Basisbedragen!$I$2,2))/2,2)</f>
        <v>46.37</v>
      </c>
      <c r="Q102" s="409">
        <f>ROUND(A_N_B_vol_plein!Q102/2,2)</f>
        <v>38.409999999999997</v>
      </c>
      <c r="R102" s="56">
        <f>ROUND(A_N_B_vol_plein!R102/2,2)</f>
        <v>0</v>
      </c>
      <c r="S102" s="409">
        <f>ROUND(A_N_B_vol_plein!S102/2,2)</f>
        <v>21.19</v>
      </c>
      <c r="T102" s="409">
        <f>ROUND(A_N_B_vol_plein!T102/2,2)</f>
        <v>14.93</v>
      </c>
    </row>
    <row r="103" spans="1:20" ht="15" thickBot="1">
      <c r="A103" s="47">
        <f t="shared" si="1"/>
        <v>91</v>
      </c>
      <c r="C103" s="388">
        <f>ROUND(MIN(MAX(ROUND(ROUND('Loonschijven_Tranches salariale'!$Q98*0.65,4)*Basisbedragen!$I$2,2),ROUND(Basisbedragen!$D$34*Basisbedragen!$I$2,2)),ROUND(ROUND(Basisbedragen!$D$27*0.65,4)*Basisbedragen!$I$2,2))/2,2)</f>
        <v>50.74</v>
      </c>
      <c r="D103" s="388">
        <f>ROUND(MIN(MAX(ROUND(ROUND('Loonschijven_Tranches salariale'!$Q98*0.6,4)*Basisbedragen!$I$2,2),ROUND(Basisbedragen!$D$34*Basisbedragen!$I$2,2)),ROUND(ROUND(Basisbedragen!$D$28*0.6,4)*Basisbedragen!$I$2,2))/2,2)</f>
        <v>46.84</v>
      </c>
      <c r="E103" s="388">
        <f>ROUND(A_N_B_vol_plein!E103/2,2)</f>
        <v>38.409999999999997</v>
      </c>
      <c r="F103" s="56">
        <f>ROUND(A_N_B_vol_plein!F103/2,2)</f>
        <v>0</v>
      </c>
      <c r="G103" s="388">
        <f>ROUND(A_N_B_vol_plein!G103/2,2)</f>
        <v>35.5</v>
      </c>
      <c r="H103" s="56">
        <f>ROUND(A_N_B_vol_plein!H103/2,2)</f>
        <v>0</v>
      </c>
      <c r="I103" s="388">
        <f>ROUND(MIN(MAX(ROUND(ROUND('Loonschijven_Tranches salariale'!$Q98*0.65,4)*Basisbedragen!$I$2,2),ROUND(Basisbedragen!$D$36*Basisbedragen!$I$2,2)),ROUND(ROUND(Basisbedragen!$D$27*0.65,4)*Basisbedragen!$I$2,2))/2,2)</f>
        <v>50.74</v>
      </c>
      <c r="J103" s="388">
        <f>ROUND(MIN(MAX(ROUND(ROUND('Loonschijven_Tranches salariale'!$Q98*0.6,4)*Basisbedragen!$I$2,2),ROUND(Basisbedragen!$D$36*Basisbedragen!$I$2,2)),ROUND(ROUND(Basisbedragen!$D$28*0.6,4)*Basisbedragen!$I$2,2))/2,2)</f>
        <v>46.84</v>
      </c>
      <c r="K103" s="388">
        <f>ROUND(A_N_B_vol_plein!K103/2,2)</f>
        <v>38.409999999999997</v>
      </c>
      <c r="L103" s="56">
        <f>ROUND(A_N_B_vol_plein!L103/2,2)</f>
        <v>0</v>
      </c>
      <c r="M103" s="388">
        <f>ROUND(A_N_B_vol_plein!M103/2,2)</f>
        <v>28.77</v>
      </c>
      <c r="N103" s="56">
        <f>ROUND(A_N_B_vol_plein!N103/2,2)</f>
        <v>0</v>
      </c>
      <c r="O103" s="388">
        <f>ROUND(MIN(MAX(ROUND(ROUND('Loonschijven_Tranches salariale'!$Q98*0.65,4)*Basisbedragen!$I$2,2),ROUND(Basisbedragen!$D$38*Basisbedragen!$I$2,2)),ROUND(ROUND(Basisbedragen!$D$27*0.65,4)*Basisbedragen!$I$2,2))/2,2)</f>
        <v>50.74</v>
      </c>
      <c r="P103" s="388">
        <f>ROUND(MIN(MAX(ROUND(ROUND('Loonschijven_Tranches salariale'!$Q98*0.6,4)*Basisbedragen!$I$2,2),ROUND(Basisbedragen!$D$39*Basisbedragen!$I$2,2)),ROUND(ROUND(Basisbedragen!$D$28*0.6,4)*Basisbedragen!$I$2,2))/2,2)</f>
        <v>46.84</v>
      </c>
      <c r="Q103" s="388">
        <f>ROUND(A_N_B_vol_plein!Q103/2,2)</f>
        <v>38.409999999999997</v>
      </c>
      <c r="R103" s="56">
        <f>ROUND(A_N_B_vol_plein!R103/2,2)</f>
        <v>0</v>
      </c>
      <c r="S103" s="388">
        <f>ROUND(A_N_B_vol_plein!S103/2,2)</f>
        <v>21.19</v>
      </c>
      <c r="T103" s="388">
        <f>ROUND(A_N_B_vol_plein!T103/2,2)</f>
        <v>14.93</v>
      </c>
    </row>
    <row r="104" spans="1:20" ht="15" thickBot="1">
      <c r="A104" s="47">
        <f t="shared" si="1"/>
        <v>92</v>
      </c>
      <c r="C104" s="388">
        <f>ROUND(MIN(MAX(ROUND(ROUND('Loonschijven_Tranches salariale'!$Q99*0.65,4)*Basisbedragen!$I$2,2),ROUND(Basisbedragen!$D$34*Basisbedragen!$I$2,2)),ROUND(ROUND(Basisbedragen!$D$27*0.65,4)*Basisbedragen!$I$2,2))/2,2)</f>
        <v>51.25</v>
      </c>
      <c r="D104" s="388">
        <f>ROUND(MIN(MAX(ROUND(ROUND('Loonschijven_Tranches salariale'!$Q99*0.6,4)*Basisbedragen!$I$2,2),ROUND(Basisbedragen!$D$34*Basisbedragen!$I$2,2)),ROUND(ROUND(Basisbedragen!$D$28*0.6,4)*Basisbedragen!$I$2,2))/2,2)</f>
        <v>47.21</v>
      </c>
      <c r="E104" s="388">
        <f>ROUND(A_N_B_vol_plein!E104/2,2)</f>
        <v>38.409999999999997</v>
      </c>
      <c r="F104" s="56">
        <f>ROUND(A_N_B_vol_plein!F104/2,2)</f>
        <v>0</v>
      </c>
      <c r="G104" s="388">
        <f>ROUND(A_N_B_vol_plein!G104/2,2)</f>
        <v>35.5</v>
      </c>
      <c r="H104" s="56">
        <f>ROUND(A_N_B_vol_plein!H104/2,2)</f>
        <v>0</v>
      </c>
      <c r="I104" s="388">
        <f>ROUND(MIN(MAX(ROUND(ROUND('Loonschijven_Tranches salariale'!$Q99*0.65,4)*Basisbedragen!$I$2,2),ROUND(Basisbedragen!$D$36*Basisbedragen!$I$2,2)),ROUND(ROUND(Basisbedragen!$D$27*0.65,4)*Basisbedragen!$I$2,2))/2,2)</f>
        <v>51.25</v>
      </c>
      <c r="J104" s="388">
        <f>ROUND(MIN(MAX(ROUND(ROUND('Loonschijven_Tranches salariale'!$Q99*0.6,4)*Basisbedragen!$I$2,2),ROUND(Basisbedragen!$D$36*Basisbedragen!$I$2,2)),ROUND(ROUND(Basisbedragen!$D$28*0.6,4)*Basisbedragen!$I$2,2))/2,2)</f>
        <v>47.21</v>
      </c>
      <c r="K104" s="388">
        <f>ROUND(A_N_B_vol_plein!K104/2,2)</f>
        <v>38.409999999999997</v>
      </c>
      <c r="L104" s="56">
        <f>ROUND(A_N_B_vol_plein!L104/2,2)</f>
        <v>0</v>
      </c>
      <c r="M104" s="388">
        <f>ROUND(A_N_B_vol_plein!M104/2,2)</f>
        <v>28.77</v>
      </c>
      <c r="N104" s="56">
        <f>ROUND(A_N_B_vol_plein!N104/2,2)</f>
        <v>0</v>
      </c>
      <c r="O104" s="388">
        <f>ROUND(MIN(MAX(ROUND(ROUND('Loonschijven_Tranches salariale'!$Q99*0.65,4)*Basisbedragen!$I$2,2),ROUND(Basisbedragen!$D$38*Basisbedragen!$I$2,2)),ROUND(ROUND(Basisbedragen!$D$27*0.65,4)*Basisbedragen!$I$2,2))/2,2)</f>
        <v>51.25</v>
      </c>
      <c r="P104" s="388">
        <f>ROUND(MIN(MAX(ROUND(ROUND('Loonschijven_Tranches salariale'!$Q99*0.6,4)*Basisbedragen!$I$2,2),ROUND(Basisbedragen!$D$39*Basisbedragen!$I$2,2)),ROUND(ROUND(Basisbedragen!$D$28*0.6,4)*Basisbedragen!$I$2,2))/2,2)</f>
        <v>47.21</v>
      </c>
      <c r="Q104" s="388">
        <f>ROUND(A_N_B_vol_plein!Q104/2,2)</f>
        <v>38.409999999999997</v>
      </c>
      <c r="R104" s="56">
        <f>ROUND(A_N_B_vol_plein!R104/2,2)</f>
        <v>0</v>
      </c>
      <c r="S104" s="388">
        <f>ROUND(A_N_B_vol_plein!S104/2,2)</f>
        <v>21.19</v>
      </c>
      <c r="T104" s="388">
        <f>ROUND(A_N_B_vol_plein!T104/2,2)</f>
        <v>14.93</v>
      </c>
    </row>
    <row r="105" spans="1:20" ht="15" thickBot="1">
      <c r="A105" s="47">
        <f t="shared" si="1"/>
        <v>93</v>
      </c>
      <c r="C105" s="388">
        <f>ROUND(MIN(MAX(ROUND(ROUND('Loonschijven_Tranches salariale'!$Q100*0.65,4)*Basisbedragen!$I$2,2),ROUND(Basisbedragen!$D$34*Basisbedragen!$I$2,2)),ROUND(ROUND(Basisbedragen!$D$27*0.65,4)*Basisbedragen!$I$2,2))/2,2)</f>
        <v>51.76</v>
      </c>
      <c r="D105" s="388">
        <f>ROUND(MIN(MAX(ROUND(ROUND('Loonschijven_Tranches salariale'!$Q100*0.6,4)*Basisbedragen!$I$2,2),ROUND(Basisbedragen!$D$34*Basisbedragen!$I$2,2)),ROUND(ROUND(Basisbedragen!$D$28*0.6,4)*Basisbedragen!$I$2,2))/2,2)</f>
        <v>47.21</v>
      </c>
      <c r="E105" s="388">
        <f>ROUND(A_N_B_vol_plein!E105/2,2)</f>
        <v>38.409999999999997</v>
      </c>
      <c r="F105" s="56">
        <f>ROUND(A_N_B_vol_plein!F105/2,2)</f>
        <v>0</v>
      </c>
      <c r="G105" s="388">
        <f>ROUND(A_N_B_vol_plein!G105/2,2)</f>
        <v>35.5</v>
      </c>
      <c r="H105" s="56">
        <f>ROUND(A_N_B_vol_plein!H105/2,2)</f>
        <v>0</v>
      </c>
      <c r="I105" s="388">
        <f>ROUND(MIN(MAX(ROUND(ROUND('Loonschijven_Tranches salariale'!$Q100*0.65,4)*Basisbedragen!$I$2,2),ROUND(Basisbedragen!$D$36*Basisbedragen!$I$2,2)),ROUND(ROUND(Basisbedragen!$D$27*0.65,4)*Basisbedragen!$I$2,2))/2,2)</f>
        <v>51.76</v>
      </c>
      <c r="J105" s="388">
        <f>ROUND(MIN(MAX(ROUND(ROUND('Loonschijven_Tranches salariale'!$Q100*0.6,4)*Basisbedragen!$I$2,2),ROUND(Basisbedragen!$D$36*Basisbedragen!$I$2,2)),ROUND(ROUND(Basisbedragen!$D$28*0.6,4)*Basisbedragen!$I$2,2))/2,2)</f>
        <v>47.21</v>
      </c>
      <c r="K105" s="388">
        <f>ROUND(A_N_B_vol_plein!K105/2,2)</f>
        <v>38.409999999999997</v>
      </c>
      <c r="L105" s="56">
        <f>ROUND(A_N_B_vol_plein!L105/2,2)</f>
        <v>0</v>
      </c>
      <c r="M105" s="388">
        <f>ROUND(A_N_B_vol_plein!M105/2,2)</f>
        <v>28.77</v>
      </c>
      <c r="N105" s="56">
        <f>ROUND(A_N_B_vol_plein!N105/2,2)</f>
        <v>0</v>
      </c>
      <c r="O105" s="388">
        <f>ROUND(MIN(MAX(ROUND(ROUND('Loonschijven_Tranches salariale'!$Q100*0.65,4)*Basisbedragen!$I$2,2),ROUND(Basisbedragen!$D$38*Basisbedragen!$I$2,2)),ROUND(ROUND(Basisbedragen!$D$27*0.65,4)*Basisbedragen!$I$2,2))/2,2)</f>
        <v>51.76</v>
      </c>
      <c r="P105" s="388">
        <f>ROUND(MIN(MAX(ROUND(ROUND('Loonschijven_Tranches salariale'!$Q100*0.6,4)*Basisbedragen!$I$2,2),ROUND(Basisbedragen!$D$39*Basisbedragen!$I$2,2)),ROUND(ROUND(Basisbedragen!$D$28*0.6,4)*Basisbedragen!$I$2,2))/2,2)</f>
        <v>47.21</v>
      </c>
      <c r="Q105" s="388">
        <f>ROUND(A_N_B_vol_plein!Q105/2,2)</f>
        <v>38.409999999999997</v>
      </c>
      <c r="R105" s="56">
        <f>ROUND(A_N_B_vol_plein!R105/2,2)</f>
        <v>0</v>
      </c>
      <c r="S105" s="388">
        <f>ROUND(A_N_B_vol_plein!S105/2,2)</f>
        <v>21.19</v>
      </c>
      <c r="T105" s="388">
        <f>ROUND(A_N_B_vol_plein!T105/2,2)</f>
        <v>14.93</v>
      </c>
    </row>
    <row r="106" spans="1:20" ht="15" thickBot="1">
      <c r="A106" s="47">
        <f t="shared" si="1"/>
        <v>94</v>
      </c>
      <c r="C106" s="388">
        <f>ROUND(MIN(MAX(ROUND(ROUND('Loonschijven_Tranches salariale'!$Q101*0.65,4)*Basisbedragen!$I$2,2),ROUND(Basisbedragen!$D$34*Basisbedragen!$I$2,2)),ROUND(ROUND(Basisbedragen!$D$27*0.65,4)*Basisbedragen!$I$2,2))/2,2)</f>
        <v>52.26</v>
      </c>
      <c r="D106" s="388">
        <f>ROUND(MIN(MAX(ROUND(ROUND('Loonschijven_Tranches salariale'!$Q101*0.6,4)*Basisbedragen!$I$2,2),ROUND(Basisbedragen!$D$34*Basisbedragen!$I$2,2)),ROUND(ROUND(Basisbedragen!$D$28*0.6,4)*Basisbedragen!$I$2,2))/2,2)</f>
        <v>47.21</v>
      </c>
      <c r="E106" s="388">
        <f>ROUND(A_N_B_vol_plein!E106/2,2)</f>
        <v>38.409999999999997</v>
      </c>
      <c r="F106" s="56">
        <f>ROUND(A_N_B_vol_plein!F106/2,2)</f>
        <v>0</v>
      </c>
      <c r="G106" s="388">
        <f>ROUND(A_N_B_vol_plein!G106/2,2)</f>
        <v>35.5</v>
      </c>
      <c r="H106" s="56">
        <f>ROUND(A_N_B_vol_plein!H106/2,2)</f>
        <v>0</v>
      </c>
      <c r="I106" s="388">
        <f>ROUND(MIN(MAX(ROUND(ROUND('Loonschijven_Tranches salariale'!$Q101*0.65,4)*Basisbedragen!$I$2,2),ROUND(Basisbedragen!$D$36*Basisbedragen!$I$2,2)),ROUND(ROUND(Basisbedragen!$D$27*0.65,4)*Basisbedragen!$I$2,2))/2,2)</f>
        <v>52.26</v>
      </c>
      <c r="J106" s="388">
        <f>ROUND(MIN(MAX(ROUND(ROUND('Loonschijven_Tranches salariale'!$Q101*0.6,4)*Basisbedragen!$I$2,2),ROUND(Basisbedragen!$D$36*Basisbedragen!$I$2,2)),ROUND(ROUND(Basisbedragen!$D$28*0.6,4)*Basisbedragen!$I$2,2))/2,2)</f>
        <v>47.21</v>
      </c>
      <c r="K106" s="388">
        <f>ROUND(A_N_B_vol_plein!K106/2,2)</f>
        <v>38.409999999999997</v>
      </c>
      <c r="L106" s="56">
        <f>ROUND(A_N_B_vol_plein!L106/2,2)</f>
        <v>0</v>
      </c>
      <c r="M106" s="388">
        <f>ROUND(A_N_B_vol_plein!M106/2,2)</f>
        <v>28.77</v>
      </c>
      <c r="N106" s="56">
        <f>ROUND(A_N_B_vol_plein!N106/2,2)</f>
        <v>0</v>
      </c>
      <c r="O106" s="388">
        <f>ROUND(MIN(MAX(ROUND(ROUND('Loonschijven_Tranches salariale'!$Q101*0.65,4)*Basisbedragen!$I$2,2),ROUND(Basisbedragen!$D$38*Basisbedragen!$I$2,2)),ROUND(ROUND(Basisbedragen!$D$27*0.65,4)*Basisbedragen!$I$2,2))/2,2)</f>
        <v>52.26</v>
      </c>
      <c r="P106" s="388">
        <f>ROUND(MIN(MAX(ROUND(ROUND('Loonschijven_Tranches salariale'!$Q101*0.6,4)*Basisbedragen!$I$2,2),ROUND(Basisbedragen!$D$39*Basisbedragen!$I$2,2)),ROUND(ROUND(Basisbedragen!$D$28*0.6,4)*Basisbedragen!$I$2,2))/2,2)</f>
        <v>47.21</v>
      </c>
      <c r="Q106" s="388">
        <f>ROUND(A_N_B_vol_plein!Q106/2,2)</f>
        <v>38.409999999999997</v>
      </c>
      <c r="R106" s="56">
        <f>ROUND(A_N_B_vol_plein!R106/2,2)</f>
        <v>0</v>
      </c>
      <c r="S106" s="388">
        <f>ROUND(A_N_B_vol_plein!S106/2,2)</f>
        <v>21.19</v>
      </c>
      <c r="T106" s="388">
        <f>ROUND(A_N_B_vol_plein!T106/2,2)</f>
        <v>14.93</v>
      </c>
    </row>
    <row r="107" spans="1:20" ht="15" thickBot="1">
      <c r="A107" s="47">
        <f t="shared" si="1"/>
        <v>95</v>
      </c>
      <c r="C107" s="388">
        <f>ROUND(MIN(MAX(ROUND(ROUND('Loonschijven_Tranches salariale'!$Q102*0.65,4)*Basisbedragen!$I$2,2),ROUND(Basisbedragen!$D$34*Basisbedragen!$I$2,2)),ROUND(ROUND(Basisbedragen!$D$27*0.65,4)*Basisbedragen!$I$2,2))/2,2)</f>
        <v>52.77</v>
      </c>
      <c r="D107" s="388">
        <f>ROUND(MIN(MAX(ROUND(ROUND('Loonschijven_Tranches salariale'!$Q102*0.6,4)*Basisbedragen!$I$2,2),ROUND(Basisbedragen!$D$34*Basisbedragen!$I$2,2)),ROUND(ROUND(Basisbedragen!$D$28*0.6,4)*Basisbedragen!$I$2,2))/2,2)</f>
        <v>47.21</v>
      </c>
      <c r="E107" s="409">
        <f>ROUND(A_N_B_vol_plein!E107/2,2)</f>
        <v>38.409999999999997</v>
      </c>
      <c r="F107" s="56">
        <f>ROUND(A_N_B_vol_plein!F107/2,2)</f>
        <v>0</v>
      </c>
      <c r="G107" s="409">
        <f>ROUND(A_N_B_vol_plein!G107/2,2)</f>
        <v>35.5</v>
      </c>
      <c r="H107" s="56">
        <f>ROUND(A_N_B_vol_plein!H107/2,2)</f>
        <v>0</v>
      </c>
      <c r="I107" s="388">
        <f>ROUND(MIN(MAX(ROUND(ROUND('Loonschijven_Tranches salariale'!$Q102*0.65,4)*Basisbedragen!$I$2,2),ROUND(Basisbedragen!$D$36*Basisbedragen!$I$2,2)),ROUND(ROUND(Basisbedragen!$D$27*0.65,4)*Basisbedragen!$I$2,2))/2,2)</f>
        <v>52.77</v>
      </c>
      <c r="J107" s="388">
        <f>ROUND(MIN(MAX(ROUND(ROUND('Loonschijven_Tranches salariale'!$Q102*0.6,4)*Basisbedragen!$I$2,2),ROUND(Basisbedragen!$D$36*Basisbedragen!$I$2,2)),ROUND(ROUND(Basisbedragen!$D$28*0.6,4)*Basisbedragen!$I$2,2))/2,2)</f>
        <v>47.21</v>
      </c>
      <c r="K107" s="409">
        <f>ROUND(A_N_B_vol_plein!K107/2,2)</f>
        <v>38.409999999999997</v>
      </c>
      <c r="L107" s="56">
        <f>ROUND(A_N_B_vol_plein!L107/2,2)</f>
        <v>0</v>
      </c>
      <c r="M107" s="409">
        <f>ROUND(A_N_B_vol_plein!M107/2,2)</f>
        <v>28.77</v>
      </c>
      <c r="N107" s="56">
        <f>ROUND(A_N_B_vol_plein!N107/2,2)</f>
        <v>0</v>
      </c>
      <c r="O107" s="388">
        <f>ROUND(MIN(MAX(ROUND(ROUND('Loonschijven_Tranches salariale'!$Q102*0.65,4)*Basisbedragen!$I$2,2),ROUND(Basisbedragen!$D$38*Basisbedragen!$I$2,2)),ROUND(ROUND(Basisbedragen!$D$27*0.65,4)*Basisbedragen!$I$2,2))/2,2)</f>
        <v>52.77</v>
      </c>
      <c r="P107" s="388">
        <f>ROUND(MIN(MAX(ROUND(ROUND('Loonschijven_Tranches salariale'!$Q102*0.6,4)*Basisbedragen!$I$2,2),ROUND(Basisbedragen!$D$39*Basisbedragen!$I$2,2)),ROUND(ROUND(Basisbedragen!$D$28*0.6,4)*Basisbedragen!$I$2,2))/2,2)</f>
        <v>47.21</v>
      </c>
      <c r="Q107" s="409">
        <f>ROUND(A_N_B_vol_plein!Q107/2,2)</f>
        <v>38.409999999999997</v>
      </c>
      <c r="R107" s="56">
        <f>ROUND(A_N_B_vol_plein!R107/2,2)</f>
        <v>0</v>
      </c>
      <c r="S107" s="409">
        <f>ROUND(A_N_B_vol_plein!S107/2,2)</f>
        <v>21.19</v>
      </c>
      <c r="T107" s="409">
        <f>ROUND(A_N_B_vol_plein!T107/2,2)</f>
        <v>14.93</v>
      </c>
    </row>
    <row r="108" spans="1:20" ht="15" thickBot="1">
      <c r="A108" s="47">
        <f t="shared" si="1"/>
        <v>96</v>
      </c>
      <c r="C108" s="388">
        <f>ROUND(MIN(MAX(ROUND(ROUND('Loonschijven_Tranches salariale'!$Q103*0.65,4)*Basisbedragen!$I$2,2),ROUND(Basisbedragen!$D$34*Basisbedragen!$I$2,2)),ROUND(ROUND(Basisbedragen!$D$27*0.65,4)*Basisbedragen!$I$2,2))/2,2)</f>
        <v>53.28</v>
      </c>
      <c r="D108" s="388">
        <f>ROUND(MIN(MAX(ROUND(ROUND('Loonschijven_Tranches salariale'!$Q103*0.6,4)*Basisbedragen!$I$2,2),ROUND(Basisbedragen!$D$34*Basisbedragen!$I$2,2)),ROUND(ROUND(Basisbedragen!$D$28*0.6,4)*Basisbedragen!$I$2,2))/2,2)</f>
        <v>47.21</v>
      </c>
      <c r="E108" s="410">
        <f>ROUND(A_N_B_vol_plein!E108/2,2)</f>
        <v>38.409999999999997</v>
      </c>
      <c r="F108" s="56">
        <f>ROUND(A_N_B_vol_plein!F108/2,2)</f>
        <v>0</v>
      </c>
      <c r="G108" s="410">
        <f>ROUND(A_N_B_vol_plein!G108/2,2)</f>
        <v>35.5</v>
      </c>
      <c r="H108" s="56">
        <f>ROUND(A_N_B_vol_plein!H108/2,2)</f>
        <v>0</v>
      </c>
      <c r="I108" s="388">
        <f>ROUND(MIN(MAX(ROUND(ROUND('Loonschijven_Tranches salariale'!$Q103*0.65,4)*Basisbedragen!$I$2,2),ROUND(Basisbedragen!$D$36*Basisbedragen!$I$2,2)),ROUND(ROUND(Basisbedragen!$D$27*0.65,4)*Basisbedragen!$I$2,2))/2,2)</f>
        <v>53.28</v>
      </c>
      <c r="J108" s="388">
        <f>ROUND(MIN(MAX(ROUND(ROUND('Loonschijven_Tranches salariale'!$Q103*0.6,4)*Basisbedragen!$I$2,2),ROUND(Basisbedragen!$D$36*Basisbedragen!$I$2,2)),ROUND(ROUND(Basisbedragen!$D$28*0.6,4)*Basisbedragen!$I$2,2))/2,2)</f>
        <v>47.21</v>
      </c>
      <c r="K108" s="410">
        <f>ROUND(A_N_B_vol_plein!K108/2,2)</f>
        <v>38.409999999999997</v>
      </c>
      <c r="L108" s="56">
        <f>ROUND(A_N_B_vol_plein!L108/2,2)</f>
        <v>0</v>
      </c>
      <c r="M108" s="410">
        <f>ROUND(A_N_B_vol_plein!M108/2,2)</f>
        <v>28.77</v>
      </c>
      <c r="N108" s="56">
        <f>ROUND(A_N_B_vol_plein!N108/2,2)</f>
        <v>0</v>
      </c>
      <c r="O108" s="388">
        <f>ROUND(MIN(MAX(ROUND(ROUND('Loonschijven_Tranches salariale'!$Q103*0.65,4)*Basisbedragen!$I$2,2),ROUND(Basisbedragen!$D$38*Basisbedragen!$I$2,2)),ROUND(ROUND(Basisbedragen!$D$27*0.65,4)*Basisbedragen!$I$2,2))/2,2)</f>
        <v>53.28</v>
      </c>
      <c r="P108" s="388">
        <f>ROUND(MIN(MAX(ROUND(ROUND('Loonschijven_Tranches salariale'!$Q103*0.6,4)*Basisbedragen!$I$2,2),ROUND(Basisbedragen!$D$39*Basisbedragen!$I$2,2)),ROUND(ROUND(Basisbedragen!$D$28*0.6,4)*Basisbedragen!$I$2,2))/2,2)</f>
        <v>47.21</v>
      </c>
      <c r="Q108" s="410">
        <f>ROUND(A_N_B_vol_plein!Q108/2,2)</f>
        <v>38.409999999999997</v>
      </c>
      <c r="R108" s="56">
        <f>ROUND(A_N_B_vol_plein!R108/2,2)</f>
        <v>0</v>
      </c>
      <c r="S108" s="410">
        <f>ROUND(A_N_B_vol_plein!S108/2,2)</f>
        <v>21.19</v>
      </c>
      <c r="T108" s="410">
        <f>ROUND(A_N_B_vol_plein!T108/2,2)</f>
        <v>14.93</v>
      </c>
    </row>
    <row r="109" spans="1:20" ht="15" thickBot="1">
      <c r="A109" s="47">
        <f t="shared" si="1"/>
        <v>97</v>
      </c>
      <c r="C109" s="388">
        <f>ROUND(MIN(MAX(ROUND(ROUND('Loonschijven_Tranches salariale'!$Q104*0.65,4)*Basisbedragen!$I$2,2),ROUND(Basisbedragen!$D$34*Basisbedragen!$I$2,2)),ROUND(ROUND(Basisbedragen!$D$27*0.65,4)*Basisbedragen!$I$2,2))/2,2)</f>
        <v>53.79</v>
      </c>
      <c r="D109" s="388">
        <f>ROUND(MIN(MAX(ROUND(ROUND('Loonschijven_Tranches salariale'!$Q104*0.6,4)*Basisbedragen!$I$2,2),ROUND(Basisbedragen!$D$34*Basisbedragen!$I$2,2)),ROUND(ROUND(Basisbedragen!$D$28*0.6,4)*Basisbedragen!$I$2,2))/2,2)</f>
        <v>47.21</v>
      </c>
      <c r="E109" s="388">
        <f>ROUND(A_N_B_vol_plein!E109/2,2)</f>
        <v>38.409999999999997</v>
      </c>
      <c r="F109" s="56">
        <f>ROUND(A_N_B_vol_plein!F109/2,2)</f>
        <v>0</v>
      </c>
      <c r="G109" s="388">
        <f>ROUND(A_N_B_vol_plein!G109/2,2)</f>
        <v>35.5</v>
      </c>
      <c r="H109" s="56">
        <f>ROUND(A_N_B_vol_plein!H109/2,2)</f>
        <v>0</v>
      </c>
      <c r="I109" s="388">
        <f>ROUND(MIN(MAX(ROUND(ROUND('Loonschijven_Tranches salariale'!$Q104*0.65,4)*Basisbedragen!$I$2,2),ROUND(Basisbedragen!$D$36*Basisbedragen!$I$2,2)),ROUND(ROUND(Basisbedragen!$D$27*0.65,4)*Basisbedragen!$I$2,2))/2,2)</f>
        <v>53.79</v>
      </c>
      <c r="J109" s="388">
        <f>ROUND(MIN(MAX(ROUND(ROUND('Loonschijven_Tranches salariale'!$Q104*0.6,4)*Basisbedragen!$I$2,2),ROUND(Basisbedragen!$D$36*Basisbedragen!$I$2,2)),ROUND(ROUND(Basisbedragen!$D$28*0.6,4)*Basisbedragen!$I$2,2))/2,2)</f>
        <v>47.21</v>
      </c>
      <c r="K109" s="388">
        <f>ROUND(A_N_B_vol_plein!K109/2,2)</f>
        <v>38.409999999999997</v>
      </c>
      <c r="L109" s="56">
        <f>ROUND(A_N_B_vol_plein!L109/2,2)</f>
        <v>0</v>
      </c>
      <c r="M109" s="388">
        <f>ROUND(A_N_B_vol_plein!M109/2,2)</f>
        <v>28.77</v>
      </c>
      <c r="N109" s="56">
        <f>ROUND(A_N_B_vol_plein!N109/2,2)</f>
        <v>0</v>
      </c>
      <c r="O109" s="388">
        <f>ROUND(MIN(MAX(ROUND(ROUND('Loonschijven_Tranches salariale'!$Q104*0.65,4)*Basisbedragen!$I$2,2),ROUND(Basisbedragen!$D$38*Basisbedragen!$I$2,2)),ROUND(ROUND(Basisbedragen!$D$27*0.65,4)*Basisbedragen!$I$2,2))/2,2)</f>
        <v>53.79</v>
      </c>
      <c r="P109" s="388">
        <f>ROUND(MIN(MAX(ROUND(ROUND('Loonschijven_Tranches salariale'!$Q104*0.6,4)*Basisbedragen!$I$2,2),ROUND(Basisbedragen!$D$39*Basisbedragen!$I$2,2)),ROUND(ROUND(Basisbedragen!$D$28*0.6,4)*Basisbedragen!$I$2,2))/2,2)</f>
        <v>47.21</v>
      </c>
      <c r="Q109" s="388">
        <f>ROUND(A_N_B_vol_plein!Q109/2,2)</f>
        <v>38.409999999999997</v>
      </c>
      <c r="R109" s="56">
        <f>ROUND(A_N_B_vol_plein!R109/2,2)</f>
        <v>0</v>
      </c>
      <c r="S109" s="388">
        <f>ROUND(A_N_B_vol_plein!S109/2,2)</f>
        <v>21.19</v>
      </c>
      <c r="T109" s="388">
        <f>ROUND(A_N_B_vol_plein!T109/2,2)</f>
        <v>14.93</v>
      </c>
    </row>
    <row r="110" spans="1:20" ht="15" thickBot="1">
      <c r="A110" s="47">
        <f t="shared" si="1"/>
        <v>98</v>
      </c>
      <c r="C110" s="388">
        <f>ROUND(MIN(MAX(ROUND(ROUND('Loonschijven_Tranches salariale'!$Q105*0.65,4)*Basisbedragen!$I$2,2),ROUND(Basisbedragen!$D$34*Basisbedragen!$I$2,2)),ROUND(ROUND(Basisbedragen!$D$27*0.65,4)*Basisbedragen!$I$2,2))/2,2)</f>
        <v>54.3</v>
      </c>
      <c r="D110" s="388">
        <f>ROUND(MIN(MAX(ROUND(ROUND('Loonschijven_Tranches salariale'!$Q105*0.6,4)*Basisbedragen!$I$2,2),ROUND(Basisbedragen!$D$34*Basisbedragen!$I$2,2)),ROUND(ROUND(Basisbedragen!$D$28*0.6,4)*Basisbedragen!$I$2,2))/2,2)</f>
        <v>47.21</v>
      </c>
      <c r="E110" s="388">
        <f>ROUND(A_N_B_vol_plein!E110/2,2)</f>
        <v>38.409999999999997</v>
      </c>
      <c r="F110" s="56">
        <f>ROUND(A_N_B_vol_plein!F110/2,2)</f>
        <v>0</v>
      </c>
      <c r="G110" s="388">
        <f>ROUND(A_N_B_vol_plein!G110/2,2)</f>
        <v>35.5</v>
      </c>
      <c r="H110" s="56">
        <f>ROUND(A_N_B_vol_plein!H110/2,2)</f>
        <v>0</v>
      </c>
      <c r="I110" s="388">
        <f>ROUND(MIN(MAX(ROUND(ROUND('Loonschijven_Tranches salariale'!$Q105*0.65,4)*Basisbedragen!$I$2,2),ROUND(Basisbedragen!$D$36*Basisbedragen!$I$2,2)),ROUND(ROUND(Basisbedragen!$D$27*0.65,4)*Basisbedragen!$I$2,2))/2,2)</f>
        <v>54.3</v>
      </c>
      <c r="J110" s="388">
        <f>ROUND(MIN(MAX(ROUND(ROUND('Loonschijven_Tranches salariale'!$Q105*0.6,4)*Basisbedragen!$I$2,2),ROUND(Basisbedragen!$D$36*Basisbedragen!$I$2,2)),ROUND(ROUND(Basisbedragen!$D$28*0.6,4)*Basisbedragen!$I$2,2))/2,2)</f>
        <v>47.21</v>
      </c>
      <c r="K110" s="388">
        <f>ROUND(A_N_B_vol_plein!K110/2,2)</f>
        <v>38.409999999999997</v>
      </c>
      <c r="L110" s="56">
        <f>ROUND(A_N_B_vol_plein!L110/2,2)</f>
        <v>0</v>
      </c>
      <c r="M110" s="388">
        <f>ROUND(A_N_B_vol_plein!M110/2,2)</f>
        <v>28.77</v>
      </c>
      <c r="N110" s="56">
        <f>ROUND(A_N_B_vol_plein!N110/2,2)</f>
        <v>0</v>
      </c>
      <c r="O110" s="388">
        <f>ROUND(MIN(MAX(ROUND(ROUND('Loonschijven_Tranches salariale'!$Q105*0.65,4)*Basisbedragen!$I$2,2),ROUND(Basisbedragen!$D$38*Basisbedragen!$I$2,2)),ROUND(ROUND(Basisbedragen!$D$27*0.65,4)*Basisbedragen!$I$2,2))/2,2)</f>
        <v>54.3</v>
      </c>
      <c r="P110" s="388">
        <f>ROUND(MIN(MAX(ROUND(ROUND('Loonschijven_Tranches salariale'!$Q105*0.6,4)*Basisbedragen!$I$2,2),ROUND(Basisbedragen!$D$39*Basisbedragen!$I$2,2)),ROUND(ROUND(Basisbedragen!$D$28*0.6,4)*Basisbedragen!$I$2,2))/2,2)</f>
        <v>47.21</v>
      </c>
      <c r="Q110" s="388">
        <f>ROUND(A_N_B_vol_plein!Q110/2,2)</f>
        <v>38.409999999999997</v>
      </c>
      <c r="R110" s="56">
        <f>ROUND(A_N_B_vol_plein!R110/2,2)</f>
        <v>0</v>
      </c>
      <c r="S110" s="388">
        <f>ROUND(A_N_B_vol_plein!S110/2,2)</f>
        <v>21.19</v>
      </c>
      <c r="T110" s="388">
        <f>ROUND(A_N_B_vol_plein!T110/2,2)</f>
        <v>14.93</v>
      </c>
    </row>
    <row r="111" spans="1:20" ht="15" thickBot="1">
      <c r="A111" s="47">
        <f t="shared" si="1"/>
        <v>99</v>
      </c>
      <c r="C111" s="388">
        <f>ROUND(MIN(MAX(ROUND(ROUND('Loonschijven_Tranches salariale'!$Q106*0.65,4)*Basisbedragen!$I$2,2),ROUND(Basisbedragen!$D$34*Basisbedragen!$I$2,2)),ROUND(ROUND(Basisbedragen!$D$27*0.65,4)*Basisbedragen!$I$2,2))/2,2)</f>
        <v>54.4</v>
      </c>
      <c r="D111" s="388">
        <f>ROUND(MIN(MAX(ROUND(ROUND('Loonschijven_Tranches salariale'!$Q106*0.6,4)*Basisbedragen!$I$2,2),ROUND(Basisbedragen!$D$34*Basisbedragen!$I$2,2)),ROUND(ROUND(Basisbedragen!$D$28*0.6,4)*Basisbedragen!$I$2,2))/2,2)</f>
        <v>47.21</v>
      </c>
      <c r="E111" s="388">
        <f>ROUND(A_N_B_vol_plein!E111/2,2)</f>
        <v>38.409999999999997</v>
      </c>
      <c r="F111" s="56">
        <f>ROUND(A_N_B_vol_plein!F111/2,2)</f>
        <v>0</v>
      </c>
      <c r="G111" s="388">
        <f>ROUND(A_N_B_vol_plein!G111/2,2)</f>
        <v>35.5</v>
      </c>
      <c r="H111" s="56">
        <f>ROUND(A_N_B_vol_plein!H111/2,2)</f>
        <v>0</v>
      </c>
      <c r="I111" s="388">
        <f>ROUND(MIN(MAX(ROUND(ROUND('Loonschijven_Tranches salariale'!$Q106*0.65,4)*Basisbedragen!$I$2,2),ROUND(Basisbedragen!$D$36*Basisbedragen!$I$2,2)),ROUND(ROUND(Basisbedragen!$D$27*0.65,4)*Basisbedragen!$I$2,2))/2,2)</f>
        <v>54.4</v>
      </c>
      <c r="J111" s="388">
        <f>ROUND(MIN(MAX(ROUND(ROUND('Loonschijven_Tranches salariale'!$Q106*0.6,4)*Basisbedragen!$I$2,2),ROUND(Basisbedragen!$D$36*Basisbedragen!$I$2,2)),ROUND(ROUND(Basisbedragen!$D$28*0.6,4)*Basisbedragen!$I$2,2))/2,2)</f>
        <v>47.21</v>
      </c>
      <c r="K111" s="388">
        <f>ROUND(A_N_B_vol_plein!K111/2,2)</f>
        <v>38.409999999999997</v>
      </c>
      <c r="L111" s="56">
        <f>ROUND(A_N_B_vol_plein!L111/2,2)</f>
        <v>0</v>
      </c>
      <c r="M111" s="388">
        <f>ROUND(A_N_B_vol_plein!M111/2,2)</f>
        <v>28.77</v>
      </c>
      <c r="N111" s="56">
        <f>ROUND(A_N_B_vol_plein!N111/2,2)</f>
        <v>0</v>
      </c>
      <c r="O111" s="388">
        <f>ROUND(MIN(MAX(ROUND(ROUND('Loonschijven_Tranches salariale'!$Q106*0.65,4)*Basisbedragen!$I$2,2),ROUND(Basisbedragen!$D$38*Basisbedragen!$I$2,2)),ROUND(ROUND(Basisbedragen!$D$27*0.65,4)*Basisbedragen!$I$2,2))/2,2)</f>
        <v>54.4</v>
      </c>
      <c r="P111" s="388">
        <f>ROUND(MIN(MAX(ROUND(ROUND('Loonschijven_Tranches salariale'!$Q106*0.6,4)*Basisbedragen!$I$2,2),ROUND(Basisbedragen!$D$39*Basisbedragen!$I$2,2)),ROUND(ROUND(Basisbedragen!$D$28*0.6,4)*Basisbedragen!$I$2,2))/2,2)</f>
        <v>47.21</v>
      </c>
      <c r="Q111" s="388">
        <f>ROUND(A_N_B_vol_plein!Q111/2,2)</f>
        <v>38.409999999999997</v>
      </c>
      <c r="R111" s="56">
        <f>ROUND(A_N_B_vol_plein!R111/2,2)</f>
        <v>0</v>
      </c>
      <c r="S111" s="388">
        <f>ROUND(A_N_B_vol_plein!S111/2,2)</f>
        <v>21.19</v>
      </c>
      <c r="T111" s="388">
        <f>ROUND(A_N_B_vol_plein!T111/2,2)</f>
        <v>14.93</v>
      </c>
    </row>
  </sheetData>
  <sheetProtection algorithmName="SHA-512" hashValue="O3+QzxYfuOJdyETpigHs9PEfG0o7UH2pEVsBzwNhAJKaR9S2gXmNLR874LNU/Rk1qpC0oO93oloEuZhPUr6LQg==" saltValue="jUAqpIn6v1aHAWgAHzifvg==" spinCount="100000" sheet="1" objects="1" scenarios="1"/>
  <mergeCells count="9">
    <mergeCell ref="U1:V1"/>
    <mergeCell ref="C4:G5"/>
    <mergeCell ref="I4:M5"/>
    <mergeCell ref="O4:T5"/>
    <mergeCell ref="C6:E6"/>
    <mergeCell ref="I6:K6"/>
    <mergeCell ref="O6:Q6"/>
    <mergeCell ref="C1:T1"/>
    <mergeCell ref="C2:T2"/>
  </mergeCells>
  <conditionalFormatting sqref="C13:E111 G13:G111 I13:K111 M13:M111 O13:Q111 S13:T111">
    <cfRule type="expression" dxfId="6" priority="1">
      <formula>MOD(INDIRECT(ADDRESS(ROW(),1)),5)=0</formula>
    </cfRule>
  </conditionalFormatting>
  <pageMargins left="0.23622047244094491" right="0.23622047244094491" top="0.74803149606299213" bottom="0.74803149606299213" header="0.31496062992125984" footer="0.31496062992125984"/>
  <pageSetup paperSize="9" scale="78" orientation="landscape" r:id="rId1"/>
  <headerFooter>
    <oddFooter>&amp;L&amp;10Rijksdienst voor Arbeidsvoorziening&amp;R&amp;10Office national de l'Emploi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6"/>
  <sheetViews>
    <sheetView showGridLines="0" zoomScaleNormal="100" workbookViewId="0">
      <pane xSplit="1" ySplit="7" topLeftCell="B51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9.109375" defaultRowHeight="14.4" outlineLevelRow="1"/>
  <cols>
    <col min="1" max="1" width="16.5546875" customWidth="1"/>
    <col min="2" max="2" width="9.109375" customWidth="1"/>
    <col min="3" max="3" width="0.6640625" customWidth="1"/>
    <col min="4" max="4" width="9.109375" customWidth="1"/>
    <col min="5" max="5" width="0.6640625" customWidth="1"/>
    <col min="6" max="6" width="9.109375" customWidth="1"/>
    <col min="7" max="7" width="0.6640625" customWidth="1"/>
    <col min="9" max="9" width="0.6640625" customWidth="1"/>
    <col min="11" max="11" width="4.33203125" customWidth="1"/>
    <col min="13" max="13" width="0.6640625" customWidth="1"/>
    <col min="14" max="14" width="9.109375" customWidth="1"/>
    <col min="15" max="15" width="0.6640625" customWidth="1"/>
    <col min="16" max="16" width="9.109375" customWidth="1"/>
    <col min="17" max="17" width="0.6640625" customWidth="1"/>
    <col min="19" max="19" width="0.6640625" customWidth="1"/>
  </cols>
  <sheetData>
    <row r="1" spans="1:32" ht="15" customHeight="1">
      <c r="A1" s="39" t="s">
        <v>5</v>
      </c>
      <c r="B1" s="74" t="s">
        <v>16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451" t="s">
        <v>6</v>
      </c>
      <c r="V1" s="451"/>
      <c r="W1" s="451"/>
      <c r="X1" s="334">
        <f>Basisbedragen!$I$2</f>
        <v>1.8113999999999999</v>
      </c>
      <c r="Y1" s="74"/>
      <c r="Z1" s="74"/>
      <c r="AA1" s="74"/>
      <c r="AB1" s="74"/>
      <c r="AC1" s="74"/>
      <c r="AD1" s="451"/>
      <c r="AE1" s="451"/>
      <c r="AF1" s="67"/>
    </row>
    <row r="2" spans="1:32" ht="15.6">
      <c r="A2" s="332">
        <v>46266</v>
      </c>
      <c r="B2" s="74" t="s">
        <v>17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40"/>
      <c r="AC2" s="40"/>
      <c r="AD2" s="40"/>
    </row>
    <row r="3" spans="1:32" ht="15" thickBot="1">
      <c r="A3" s="41"/>
    </row>
    <row r="4" spans="1:32" ht="32.4" customHeight="1" thickBot="1">
      <c r="A4" s="41"/>
      <c r="B4" s="463" t="s">
        <v>345</v>
      </c>
      <c r="C4" s="464"/>
      <c r="D4" s="464"/>
      <c r="E4" s="464"/>
      <c r="F4" s="464"/>
      <c r="G4" s="464"/>
      <c r="H4" s="464"/>
      <c r="I4" s="464"/>
      <c r="J4" s="465"/>
      <c r="L4" s="463" t="s">
        <v>346</v>
      </c>
      <c r="M4" s="464"/>
      <c r="N4" s="464"/>
      <c r="O4" s="464"/>
      <c r="P4" s="464"/>
      <c r="Q4" s="464"/>
      <c r="R4" s="464"/>
      <c r="S4" s="464"/>
      <c r="T4" s="465"/>
    </row>
    <row r="5" spans="1:32" ht="35.4" thickBot="1">
      <c r="A5" s="45" t="s">
        <v>7</v>
      </c>
      <c r="B5" s="249" t="s">
        <v>344</v>
      </c>
      <c r="D5" s="249" t="s">
        <v>344</v>
      </c>
      <c r="F5" s="249" t="s">
        <v>152</v>
      </c>
      <c r="H5" s="249" t="s">
        <v>152</v>
      </c>
      <c r="J5" s="249" t="s">
        <v>19</v>
      </c>
      <c r="L5" s="249" t="s">
        <v>344</v>
      </c>
      <c r="N5" s="249" t="s">
        <v>344</v>
      </c>
      <c r="P5" s="249" t="s">
        <v>152</v>
      </c>
      <c r="R5" s="249" t="s">
        <v>152</v>
      </c>
      <c r="T5" s="249" t="s">
        <v>19</v>
      </c>
    </row>
    <row r="6" spans="1:32" ht="15" thickBot="1">
      <c r="A6" s="46"/>
      <c r="B6" s="57">
        <v>0.65</v>
      </c>
      <c r="D6" s="57">
        <v>0.6</v>
      </c>
      <c r="F6" s="57">
        <v>0.65</v>
      </c>
      <c r="H6" s="57">
        <v>0.6</v>
      </c>
      <c r="J6" s="57">
        <v>0.65</v>
      </c>
      <c r="L6" s="57">
        <v>0.65</v>
      </c>
      <c r="N6" s="57">
        <v>0.6</v>
      </c>
      <c r="P6" s="57">
        <v>0.65</v>
      </c>
      <c r="R6" s="57">
        <v>0.6</v>
      </c>
      <c r="T6" s="57">
        <v>0.65</v>
      </c>
    </row>
    <row r="7" spans="1:32" ht="15" thickBot="1">
      <c r="A7" s="62" t="s">
        <v>4</v>
      </c>
      <c r="B7" s="71">
        <f>ROUND(Basisbedragen!$D$48*$X$1,2)</f>
        <v>70.14</v>
      </c>
      <c r="C7" s="71">
        <f>ROUND(Basisbedragen!$D$48*$X$1,2)</f>
        <v>70.14</v>
      </c>
      <c r="D7" s="71">
        <f>ROUND(Basisbedragen!$D$49*$X$1,2)</f>
        <v>64.739999999999995</v>
      </c>
      <c r="F7" s="71">
        <f>ROUND(B7*1.2,2)</f>
        <v>84.17</v>
      </c>
      <c r="H7" s="71">
        <f>ROUND(D7*1.2,2)</f>
        <v>77.69</v>
      </c>
      <c r="J7" s="189">
        <f>ROUND(Basisbedragen!$D$73*$X$1,2)</f>
        <v>56.48</v>
      </c>
      <c r="L7" s="71">
        <f t="shared" ref="L7" si="0">ROUND(B7/2,2)</f>
        <v>35.07</v>
      </c>
      <c r="M7" s="71">
        <f t="shared" ref="M7:M8" si="1">ROUND(C7/2,2)</f>
        <v>35.07</v>
      </c>
      <c r="N7" s="71">
        <f t="shared" ref="N7" si="2">ROUND(D7/2,2)</f>
        <v>32.369999999999997</v>
      </c>
      <c r="P7" s="71">
        <f>ROUND(L8*1.2,2)</f>
        <v>42.08</v>
      </c>
      <c r="R7" s="71">
        <f>ROUND(N8*1.2,2)</f>
        <v>38.840000000000003</v>
      </c>
      <c r="T7" s="189">
        <f>ROUND(J7/2,2)</f>
        <v>28.24</v>
      </c>
    </row>
    <row r="8" spans="1:32" ht="15" hidden="1" outlineLevel="1" thickBot="1">
      <c r="A8" s="47">
        <v>1</v>
      </c>
      <c r="B8" s="52">
        <f>IF(MIN(MAX(ROUND(ROUND('Loonschijven_Tranches salariale'!$Q8*0.65,4)*Basisbedragen!$I$7,2),ROUND(Basisbedragen!$D$48*Basisbedragen!$I$7,2)),ROUND(ROUND(Basisbedragen!$D$30*0.65,4)*Basisbedragen!$I$7,2))&lt;= Basisbedragen!$I$8,MIN(MAX(ROUND(ROUND('Loonschijven_Tranches salariale'!$Q8*0.65,4)*Basisbedragen!$I$2,2),ROUND(Basisbedragen!$D$48*Basisbedragen!$I$2,2)),ROUND(ROUND(Basisbedragen!$D$30*0.65,4)*Basisbedragen!$I$2,2)),MIN(MAX(ROUND(ROUND('Loonschijven_Tranches salariale'!$Q8*0.65,4)*Basisbedragen!$I$7,2),ROUND(Basisbedragen!$D$48*Basisbedragen!$I$7,2)),ROUND(ROUND(Basisbedragen!$D$30*0.65,4)*Basisbedragen!$I$7,2))+Basisbedragen!$I$10)</f>
        <v>70.14</v>
      </c>
      <c r="C8" s="52"/>
      <c r="D8" s="52">
        <f>IF(MIN(MAX(ROUND(ROUND('Loonschijven_Tranches salariale'!$Q8*0.6,4)*Basisbedragen!$I$7,2),ROUND(Basisbedragen!$D$49*Basisbedragen!$I$7,2)),ROUND(ROUND(Basisbedragen!$D$30*0.6,4)*Basisbedragen!$I$7,2))&lt;= Basisbedragen!$I$8,MIN(MAX(ROUND(ROUND('Loonschijven_Tranches salariale'!$Q8*0.6,4)*Basisbedragen!$I$2,2),ROUND(Basisbedragen!$D$49*Basisbedragen!$I$2,2)),ROUND(ROUND(Basisbedragen!$D$30*0.6,4)*Basisbedragen!$I$2,2)),MIN(MAX(ROUND(ROUND('Loonschijven_Tranches salariale'!$Q8*0.6,4)*Basisbedragen!$I$7,2),ROUND(Basisbedragen!$D$49*Basisbedragen!$I$7,2)),ROUND(ROUND(Basisbedragen!$D$30*0.6,4)*Basisbedragen!$I$7,2))+Basisbedragen!$I$10)</f>
        <v>64.739999999999995</v>
      </c>
      <c r="F8" s="448">
        <f>ROUND(B8*1.2,2)</f>
        <v>84.17</v>
      </c>
      <c r="H8" s="52">
        <f>ROUND(D8*1.2,2)</f>
        <v>77.69</v>
      </c>
      <c r="J8" s="52">
        <f>MIN(MAX(ROUND(ROUND('Loonschijven_Tranches salariale'!$Q8*0.65,4)*Basisbedragen!$I$2,2),ROUND(Basisbedragen!$D$73*Basisbedragen!$I$2,2)),ROUND(ROUND(Basisbedragen!$D$31*0.65,4)*Basisbedragen!$I$2,2))</f>
        <v>56.48</v>
      </c>
      <c r="L8" s="52">
        <f>ROUND(MIN(MAX(ROUND(ROUND('Loonschijven_Tranches salariale'!$Q8*0.65,4)*Basisbedragen!$I$2,2),ROUND(Basisbedragen!$D$48*Basisbedragen!$I$2,2)),ROUND(ROUND(Basisbedragen!$D$30*0.65,4)*Basisbedragen!$I$2,2))/2,2)</f>
        <v>35.07</v>
      </c>
      <c r="M8" s="52">
        <f t="shared" si="1"/>
        <v>0</v>
      </c>
      <c r="N8" s="52">
        <f>ROUND(MIN(MAX(ROUND(ROUND('Loonschijven_Tranches salariale'!$Q8*0.6,4)*Basisbedragen!$I$2,2),ROUND(Basisbedragen!$D$49*Basisbedragen!$I$2,2)),ROUND(ROUND(Basisbedragen!$D$30*0.6,4)*Basisbedragen!$I$2,2))/2,2)</f>
        <v>32.369999999999997</v>
      </c>
      <c r="P8" s="52">
        <f>ROUND(L8*1.2,2)</f>
        <v>42.08</v>
      </c>
      <c r="R8" s="52">
        <f>ROUND(N8*1.2,2)</f>
        <v>38.840000000000003</v>
      </c>
      <c r="T8" s="52">
        <f>ROUND(J8/2,2)</f>
        <v>28.24</v>
      </c>
    </row>
    <row r="9" spans="1:32" ht="15" hidden="1" outlineLevel="1" thickBot="1">
      <c r="A9" s="47">
        <f>A8+1</f>
        <v>2</v>
      </c>
      <c r="B9" s="52">
        <f>IF(MIN(MAX(ROUND(ROUND('Loonschijven_Tranches salariale'!$Q9*0.65,4)*Basisbedragen!$I$7,2),ROUND(Basisbedragen!$D$48*Basisbedragen!$I$7,2)),ROUND(ROUND(Basisbedragen!$D$30*0.65,4)*Basisbedragen!$I$7,2))&lt;= Basisbedragen!$I$8,MIN(MAX(ROUND(ROUND('Loonschijven_Tranches salariale'!$Q9*0.65,4)*Basisbedragen!$I$2,2),ROUND(Basisbedragen!$D$48*Basisbedragen!$I$2,2)),ROUND(ROUND(Basisbedragen!$D$30*0.65,4)*Basisbedragen!$I$2,2)),MIN(MAX(ROUND(ROUND('Loonschijven_Tranches salariale'!$Q9*0.65,4)*Basisbedragen!$I$7,2),ROUND(Basisbedragen!$D$48*Basisbedragen!$I$7,2)),ROUND(ROUND(Basisbedragen!$D$30*0.65,4)*Basisbedragen!$I$7,2))+Basisbedragen!$I$10)</f>
        <v>70.14</v>
      </c>
      <c r="D9" s="52">
        <f>IF(MIN(MAX(ROUND(ROUND('Loonschijven_Tranches salariale'!$Q9*0.6,4)*Basisbedragen!$I$7,2),ROUND(Basisbedragen!$D$49*Basisbedragen!$I$7,2)),ROUND(ROUND(Basisbedragen!$D$30*0.6,4)*Basisbedragen!$I$7,2))&lt;= Basisbedragen!$I$8,MIN(MAX(ROUND(ROUND('Loonschijven_Tranches salariale'!$Q9*0.6,4)*Basisbedragen!$I$2,2),ROUND(Basisbedragen!$D$49*Basisbedragen!$I$2,2)),ROUND(ROUND(Basisbedragen!$D$30*0.6,4)*Basisbedragen!$I$2,2)),MIN(MAX(ROUND(ROUND('Loonschijven_Tranches salariale'!$Q9*0.6,4)*Basisbedragen!$I$7,2),ROUND(Basisbedragen!$D$49*Basisbedragen!$I$7,2)),ROUND(ROUND(Basisbedragen!$D$30*0.6,4)*Basisbedragen!$I$7,2))+Basisbedragen!$I$10)</f>
        <v>64.739999999999995</v>
      </c>
      <c r="F9" s="448">
        <f t="shared" ref="F9:F72" si="3">ROUND(B9*1.2,2)</f>
        <v>84.17</v>
      </c>
      <c r="H9" s="52">
        <f t="shared" ref="H9:H72" si="4">ROUND(D9*1.2,2)</f>
        <v>77.69</v>
      </c>
      <c r="J9" s="52">
        <f>MIN(MAX(ROUND(ROUND('Loonschijven_Tranches salariale'!$Q9*0.65,4)*Basisbedragen!$I$2,2),ROUND(Basisbedragen!$D$73*Basisbedragen!$I$2,2)),ROUND(ROUND(Basisbedragen!$D$31*0.65,4)*Basisbedragen!$I$2,2))</f>
        <v>56.48</v>
      </c>
      <c r="L9" s="52">
        <f>ROUND(MIN(MAX(ROUND(ROUND('Loonschijven_Tranches salariale'!$Q9*0.65,4)*Basisbedragen!$I$2,2),ROUND(Basisbedragen!$D$48*Basisbedragen!$I$2,2)),ROUND(ROUND(Basisbedragen!$D$30*0.65,4)*Basisbedragen!$I$2,2))/2,2)</f>
        <v>35.07</v>
      </c>
      <c r="N9" s="52">
        <f>ROUND(MIN(MAX(ROUND(ROUND('Loonschijven_Tranches salariale'!$Q9*0.6,4)*Basisbedragen!$I$2,2),ROUND(Basisbedragen!$D$49*Basisbedragen!$I$2,2)),ROUND(ROUND(Basisbedragen!$D$30*0.6,4)*Basisbedragen!$I$2,2))/2,2)</f>
        <v>32.369999999999997</v>
      </c>
      <c r="P9" s="52">
        <f t="shared" ref="P9:P72" si="5">ROUND(L9*1.2,2)</f>
        <v>42.08</v>
      </c>
      <c r="R9" s="52">
        <f t="shared" ref="R9:R72" si="6">ROUND(N9*1.2,2)</f>
        <v>38.840000000000003</v>
      </c>
      <c r="T9" s="52">
        <f t="shared" ref="T9:T72" si="7">ROUND(J9/2,2)</f>
        <v>28.24</v>
      </c>
    </row>
    <row r="10" spans="1:32" ht="15" hidden="1" outlineLevel="1" thickBot="1">
      <c r="A10" s="47">
        <f t="shared" ref="A10:A73" si="8">A9+1</f>
        <v>3</v>
      </c>
      <c r="B10" s="52">
        <f>IF(MIN(MAX(ROUND(ROUND('Loonschijven_Tranches salariale'!$Q10*0.65,4)*Basisbedragen!$I$7,2),ROUND(Basisbedragen!$D$48*Basisbedragen!$I$7,2)),ROUND(ROUND(Basisbedragen!$D$30*0.65,4)*Basisbedragen!$I$7,2))&lt;= Basisbedragen!$I$8,MIN(MAX(ROUND(ROUND('Loonschijven_Tranches salariale'!$Q10*0.65,4)*Basisbedragen!$I$2,2),ROUND(Basisbedragen!$D$48*Basisbedragen!$I$2,2)),ROUND(ROUND(Basisbedragen!$D$30*0.65,4)*Basisbedragen!$I$2,2)),MIN(MAX(ROUND(ROUND('Loonschijven_Tranches salariale'!$Q10*0.65,4)*Basisbedragen!$I$7,2),ROUND(Basisbedragen!$D$48*Basisbedragen!$I$7,2)),ROUND(ROUND(Basisbedragen!$D$30*0.65,4)*Basisbedragen!$I$7,2))+Basisbedragen!$I$10)</f>
        <v>70.14</v>
      </c>
      <c r="D10" s="52">
        <f>IF(MIN(MAX(ROUND(ROUND('Loonschijven_Tranches salariale'!$Q10*0.6,4)*Basisbedragen!$I$7,2),ROUND(Basisbedragen!$D$49*Basisbedragen!$I$7,2)),ROUND(ROUND(Basisbedragen!$D$30*0.6,4)*Basisbedragen!$I$7,2))&lt;= Basisbedragen!$I$8,MIN(MAX(ROUND(ROUND('Loonschijven_Tranches salariale'!$Q10*0.6,4)*Basisbedragen!$I$2,2),ROUND(Basisbedragen!$D$49*Basisbedragen!$I$2,2)),ROUND(ROUND(Basisbedragen!$D$30*0.6,4)*Basisbedragen!$I$2,2)),MIN(MAX(ROUND(ROUND('Loonschijven_Tranches salariale'!$Q10*0.6,4)*Basisbedragen!$I$7,2),ROUND(Basisbedragen!$D$49*Basisbedragen!$I$7,2)),ROUND(ROUND(Basisbedragen!$D$30*0.6,4)*Basisbedragen!$I$7,2))+Basisbedragen!$I$10)</f>
        <v>64.739999999999995</v>
      </c>
      <c r="F10" s="448">
        <f t="shared" si="3"/>
        <v>84.17</v>
      </c>
      <c r="H10" s="52">
        <f t="shared" si="4"/>
        <v>77.69</v>
      </c>
      <c r="J10" s="52">
        <f>MIN(MAX(ROUND(ROUND('Loonschijven_Tranches salariale'!$Q10*0.65,4)*Basisbedragen!$I$2,2),ROUND(Basisbedragen!$D$73*Basisbedragen!$I$2,2)),ROUND(ROUND(Basisbedragen!$D$31*0.65,4)*Basisbedragen!$I$2,2))</f>
        <v>56.48</v>
      </c>
      <c r="L10" s="52">
        <f>ROUND(MIN(MAX(ROUND(ROUND('Loonschijven_Tranches salariale'!$Q10*0.65,4)*Basisbedragen!$I$2,2),ROUND(Basisbedragen!$D$48*Basisbedragen!$I$2,2)),ROUND(ROUND(Basisbedragen!$D$30*0.65,4)*Basisbedragen!$I$2,2))/2,2)</f>
        <v>35.07</v>
      </c>
      <c r="N10" s="52">
        <f>ROUND(MIN(MAX(ROUND(ROUND('Loonschijven_Tranches salariale'!$Q10*0.6,4)*Basisbedragen!$I$2,2),ROUND(Basisbedragen!$D$49*Basisbedragen!$I$2,2)),ROUND(ROUND(Basisbedragen!$D$30*0.6,4)*Basisbedragen!$I$2,2))/2,2)</f>
        <v>32.369999999999997</v>
      </c>
      <c r="P10" s="52">
        <f t="shared" si="5"/>
        <v>42.08</v>
      </c>
      <c r="R10" s="52">
        <f t="shared" si="6"/>
        <v>38.840000000000003</v>
      </c>
      <c r="T10" s="52">
        <f t="shared" si="7"/>
        <v>28.24</v>
      </c>
    </row>
    <row r="11" spans="1:32" ht="15" hidden="1" outlineLevel="1" thickBot="1">
      <c r="A11" s="47">
        <f t="shared" si="8"/>
        <v>4</v>
      </c>
      <c r="B11" s="52">
        <f>IF(MIN(MAX(ROUND(ROUND('Loonschijven_Tranches salariale'!$Q11*0.65,4)*Basisbedragen!$I$7,2),ROUND(Basisbedragen!$D$48*Basisbedragen!$I$7,2)),ROUND(ROUND(Basisbedragen!$D$30*0.65,4)*Basisbedragen!$I$7,2))&lt;= Basisbedragen!$I$8,MIN(MAX(ROUND(ROUND('Loonschijven_Tranches salariale'!$Q11*0.65,4)*Basisbedragen!$I$2,2),ROUND(Basisbedragen!$D$48*Basisbedragen!$I$2,2)),ROUND(ROUND(Basisbedragen!$D$30*0.65,4)*Basisbedragen!$I$2,2)),MIN(MAX(ROUND(ROUND('Loonschijven_Tranches salariale'!$Q11*0.65,4)*Basisbedragen!$I$7,2),ROUND(Basisbedragen!$D$48*Basisbedragen!$I$7,2)),ROUND(ROUND(Basisbedragen!$D$30*0.65,4)*Basisbedragen!$I$7,2))+Basisbedragen!$I$10)</f>
        <v>70.14</v>
      </c>
      <c r="D11" s="52">
        <f>IF(MIN(MAX(ROUND(ROUND('Loonschijven_Tranches salariale'!$Q11*0.6,4)*Basisbedragen!$I$7,2),ROUND(Basisbedragen!$D$49*Basisbedragen!$I$7,2)),ROUND(ROUND(Basisbedragen!$D$30*0.6,4)*Basisbedragen!$I$7,2))&lt;= Basisbedragen!$I$8,MIN(MAX(ROUND(ROUND('Loonschijven_Tranches salariale'!$Q11*0.6,4)*Basisbedragen!$I$2,2),ROUND(Basisbedragen!$D$49*Basisbedragen!$I$2,2)),ROUND(ROUND(Basisbedragen!$D$30*0.6,4)*Basisbedragen!$I$2,2)),MIN(MAX(ROUND(ROUND('Loonschijven_Tranches salariale'!$Q11*0.6,4)*Basisbedragen!$I$7,2),ROUND(Basisbedragen!$D$49*Basisbedragen!$I$7,2)),ROUND(ROUND(Basisbedragen!$D$30*0.6,4)*Basisbedragen!$I$7,2))+Basisbedragen!$I$10)</f>
        <v>64.739999999999995</v>
      </c>
      <c r="F11" s="448">
        <f t="shared" si="3"/>
        <v>84.17</v>
      </c>
      <c r="H11" s="52">
        <f t="shared" si="4"/>
        <v>77.69</v>
      </c>
      <c r="J11" s="52">
        <f>MIN(MAX(ROUND(ROUND('Loonschijven_Tranches salariale'!$Q11*0.65,4)*Basisbedragen!$I$2,2),ROUND(Basisbedragen!$D$73*Basisbedragen!$I$2,2)),ROUND(ROUND(Basisbedragen!$D$31*0.65,4)*Basisbedragen!$I$2,2))</f>
        <v>56.48</v>
      </c>
      <c r="L11" s="52">
        <f>ROUND(MIN(MAX(ROUND(ROUND('Loonschijven_Tranches salariale'!$Q11*0.65,4)*Basisbedragen!$I$2,2),ROUND(Basisbedragen!$D$48*Basisbedragen!$I$2,2)),ROUND(ROUND(Basisbedragen!$D$30*0.65,4)*Basisbedragen!$I$2,2))/2,2)</f>
        <v>35.07</v>
      </c>
      <c r="N11" s="52">
        <f>ROUND(MIN(MAX(ROUND(ROUND('Loonschijven_Tranches salariale'!$Q11*0.6,4)*Basisbedragen!$I$2,2),ROUND(Basisbedragen!$D$49*Basisbedragen!$I$2,2)),ROUND(ROUND(Basisbedragen!$D$30*0.6,4)*Basisbedragen!$I$2,2))/2,2)</f>
        <v>32.369999999999997</v>
      </c>
      <c r="P11" s="52">
        <f t="shared" si="5"/>
        <v>42.08</v>
      </c>
      <c r="R11" s="52">
        <f t="shared" si="6"/>
        <v>38.840000000000003</v>
      </c>
      <c r="T11" s="52">
        <f t="shared" si="7"/>
        <v>28.24</v>
      </c>
    </row>
    <row r="12" spans="1:32" ht="15" hidden="1" outlineLevel="1" thickBot="1">
      <c r="A12" s="47">
        <f t="shared" si="8"/>
        <v>5</v>
      </c>
      <c r="B12" s="52">
        <f>IF(MIN(MAX(ROUND(ROUND('Loonschijven_Tranches salariale'!$Q12*0.65,4)*Basisbedragen!$I$7,2),ROUND(Basisbedragen!$D$48*Basisbedragen!$I$7,2)),ROUND(ROUND(Basisbedragen!$D$30*0.65,4)*Basisbedragen!$I$7,2))&lt;= Basisbedragen!$I$8,MIN(MAX(ROUND(ROUND('Loonschijven_Tranches salariale'!$Q12*0.65,4)*Basisbedragen!$I$2,2),ROUND(Basisbedragen!$D$48*Basisbedragen!$I$2,2)),ROUND(ROUND(Basisbedragen!$D$30*0.65,4)*Basisbedragen!$I$2,2)),MIN(MAX(ROUND(ROUND('Loonschijven_Tranches salariale'!$Q12*0.65,4)*Basisbedragen!$I$7,2),ROUND(Basisbedragen!$D$48*Basisbedragen!$I$7,2)),ROUND(ROUND(Basisbedragen!$D$30*0.65,4)*Basisbedragen!$I$7,2))+Basisbedragen!$I$10)</f>
        <v>70.14</v>
      </c>
      <c r="D12" s="52">
        <f>IF(MIN(MAX(ROUND(ROUND('Loonschijven_Tranches salariale'!$Q12*0.6,4)*Basisbedragen!$I$7,2),ROUND(Basisbedragen!$D$49*Basisbedragen!$I$7,2)),ROUND(ROUND(Basisbedragen!$D$30*0.6,4)*Basisbedragen!$I$7,2))&lt;= Basisbedragen!$I$8,MIN(MAX(ROUND(ROUND('Loonschijven_Tranches salariale'!$Q12*0.6,4)*Basisbedragen!$I$2,2),ROUND(Basisbedragen!$D$49*Basisbedragen!$I$2,2)),ROUND(ROUND(Basisbedragen!$D$30*0.6,4)*Basisbedragen!$I$2,2)),MIN(MAX(ROUND(ROUND('Loonschijven_Tranches salariale'!$Q12*0.6,4)*Basisbedragen!$I$7,2),ROUND(Basisbedragen!$D$49*Basisbedragen!$I$7,2)),ROUND(ROUND(Basisbedragen!$D$30*0.6,4)*Basisbedragen!$I$7,2))+Basisbedragen!$I$10)</f>
        <v>64.739999999999995</v>
      </c>
      <c r="F12" s="448">
        <f t="shared" si="3"/>
        <v>84.17</v>
      </c>
      <c r="H12" s="52">
        <f t="shared" si="4"/>
        <v>77.69</v>
      </c>
      <c r="J12" s="52">
        <f>MIN(MAX(ROUND(ROUND('Loonschijven_Tranches salariale'!$Q12*0.65,4)*Basisbedragen!$I$2,2),ROUND(Basisbedragen!$D$73*Basisbedragen!$I$2,2)),ROUND(ROUND(Basisbedragen!$D$31*0.65,4)*Basisbedragen!$I$2,2))</f>
        <v>56.48</v>
      </c>
      <c r="L12" s="52">
        <f>ROUND(MIN(MAX(ROUND(ROUND('Loonschijven_Tranches salariale'!$Q12*0.65,4)*Basisbedragen!$I$2,2),ROUND(Basisbedragen!$D$48*Basisbedragen!$I$2,2)),ROUND(ROUND(Basisbedragen!$D$30*0.65,4)*Basisbedragen!$I$2,2))/2,2)</f>
        <v>35.07</v>
      </c>
      <c r="N12" s="52">
        <f>ROUND(MIN(MAX(ROUND(ROUND('Loonschijven_Tranches salariale'!$Q12*0.6,4)*Basisbedragen!$I$2,2),ROUND(Basisbedragen!$D$49*Basisbedragen!$I$2,2)),ROUND(ROUND(Basisbedragen!$D$30*0.6,4)*Basisbedragen!$I$2,2))/2,2)</f>
        <v>32.369999999999997</v>
      </c>
      <c r="P12" s="52">
        <f t="shared" si="5"/>
        <v>42.08</v>
      </c>
      <c r="R12" s="52">
        <f t="shared" si="6"/>
        <v>38.840000000000003</v>
      </c>
      <c r="T12" s="52">
        <f t="shared" si="7"/>
        <v>28.24</v>
      </c>
    </row>
    <row r="13" spans="1:32" ht="15" hidden="1" outlineLevel="1" thickBot="1">
      <c r="A13" s="47">
        <f t="shared" si="8"/>
        <v>6</v>
      </c>
      <c r="B13" s="52">
        <f>IF(MIN(MAX(ROUND(ROUND('Loonschijven_Tranches salariale'!$Q13*0.65,4)*Basisbedragen!$I$7,2),ROUND(Basisbedragen!$D$48*Basisbedragen!$I$7,2)),ROUND(ROUND(Basisbedragen!$D$30*0.65,4)*Basisbedragen!$I$7,2))&lt;= Basisbedragen!$I$8,MIN(MAX(ROUND(ROUND('Loonschijven_Tranches salariale'!$Q13*0.65,4)*Basisbedragen!$I$2,2),ROUND(Basisbedragen!$D$48*Basisbedragen!$I$2,2)),ROUND(ROUND(Basisbedragen!$D$30*0.65,4)*Basisbedragen!$I$2,2)),MIN(MAX(ROUND(ROUND('Loonschijven_Tranches salariale'!$Q13*0.65,4)*Basisbedragen!$I$7,2),ROUND(Basisbedragen!$D$48*Basisbedragen!$I$7,2)),ROUND(ROUND(Basisbedragen!$D$30*0.65,4)*Basisbedragen!$I$7,2))+Basisbedragen!$I$10)</f>
        <v>70.14</v>
      </c>
      <c r="D13" s="52">
        <f>IF(MIN(MAX(ROUND(ROUND('Loonschijven_Tranches salariale'!$Q13*0.6,4)*Basisbedragen!$I$7,2),ROUND(Basisbedragen!$D$49*Basisbedragen!$I$7,2)),ROUND(ROUND(Basisbedragen!$D$30*0.6,4)*Basisbedragen!$I$7,2))&lt;= Basisbedragen!$I$8,MIN(MAX(ROUND(ROUND('Loonschijven_Tranches salariale'!$Q13*0.6,4)*Basisbedragen!$I$2,2),ROUND(Basisbedragen!$D$49*Basisbedragen!$I$2,2)),ROUND(ROUND(Basisbedragen!$D$30*0.6,4)*Basisbedragen!$I$2,2)),MIN(MAX(ROUND(ROUND('Loonschijven_Tranches salariale'!$Q13*0.6,4)*Basisbedragen!$I$7,2),ROUND(Basisbedragen!$D$49*Basisbedragen!$I$7,2)),ROUND(ROUND(Basisbedragen!$D$30*0.6,4)*Basisbedragen!$I$7,2))+Basisbedragen!$I$10)</f>
        <v>64.739999999999995</v>
      </c>
      <c r="F13" s="448">
        <f t="shared" si="3"/>
        <v>84.17</v>
      </c>
      <c r="H13" s="52">
        <f t="shared" si="4"/>
        <v>77.69</v>
      </c>
      <c r="J13" s="52">
        <f>MIN(MAX(ROUND(ROUND('Loonschijven_Tranches salariale'!$Q13*0.65,4)*Basisbedragen!$I$2,2),ROUND(Basisbedragen!$D$73*Basisbedragen!$I$2,2)),ROUND(ROUND(Basisbedragen!$D$31*0.65,4)*Basisbedragen!$I$2,2))</f>
        <v>56.48</v>
      </c>
      <c r="L13" s="52">
        <f>ROUND(MIN(MAX(ROUND(ROUND('Loonschijven_Tranches salariale'!$Q13*0.65,4)*Basisbedragen!$I$2,2),ROUND(Basisbedragen!$D$48*Basisbedragen!$I$2,2)),ROUND(ROUND(Basisbedragen!$D$30*0.65,4)*Basisbedragen!$I$2,2))/2,2)</f>
        <v>35.07</v>
      </c>
      <c r="N13" s="52">
        <f>ROUND(MIN(MAX(ROUND(ROUND('Loonschijven_Tranches salariale'!$Q13*0.6,4)*Basisbedragen!$I$2,2),ROUND(Basisbedragen!$D$49*Basisbedragen!$I$2,2)),ROUND(ROUND(Basisbedragen!$D$30*0.6,4)*Basisbedragen!$I$2,2))/2,2)</f>
        <v>32.369999999999997</v>
      </c>
      <c r="P13" s="52">
        <f t="shared" si="5"/>
        <v>42.08</v>
      </c>
      <c r="R13" s="52">
        <f t="shared" si="6"/>
        <v>38.840000000000003</v>
      </c>
      <c r="T13" s="52">
        <f t="shared" si="7"/>
        <v>28.24</v>
      </c>
    </row>
    <row r="14" spans="1:32" ht="15" hidden="1" outlineLevel="1" thickBot="1">
      <c r="A14" s="47">
        <f t="shared" si="8"/>
        <v>7</v>
      </c>
      <c r="B14" s="52">
        <f>IF(MIN(MAX(ROUND(ROUND('Loonschijven_Tranches salariale'!$Q14*0.65,4)*Basisbedragen!$I$7,2),ROUND(Basisbedragen!$D$48*Basisbedragen!$I$7,2)),ROUND(ROUND(Basisbedragen!$D$30*0.65,4)*Basisbedragen!$I$7,2))&lt;= Basisbedragen!$I$8,MIN(MAX(ROUND(ROUND('Loonschijven_Tranches salariale'!$Q14*0.65,4)*Basisbedragen!$I$2,2),ROUND(Basisbedragen!$D$48*Basisbedragen!$I$2,2)),ROUND(ROUND(Basisbedragen!$D$30*0.65,4)*Basisbedragen!$I$2,2)),MIN(MAX(ROUND(ROUND('Loonschijven_Tranches salariale'!$Q14*0.65,4)*Basisbedragen!$I$7,2),ROUND(Basisbedragen!$D$48*Basisbedragen!$I$7,2)),ROUND(ROUND(Basisbedragen!$D$30*0.65,4)*Basisbedragen!$I$7,2))+Basisbedragen!$I$10)</f>
        <v>70.14</v>
      </c>
      <c r="D14" s="52">
        <f>IF(MIN(MAX(ROUND(ROUND('Loonschijven_Tranches salariale'!$Q14*0.6,4)*Basisbedragen!$I$7,2),ROUND(Basisbedragen!$D$49*Basisbedragen!$I$7,2)),ROUND(ROUND(Basisbedragen!$D$30*0.6,4)*Basisbedragen!$I$7,2))&lt;= Basisbedragen!$I$8,MIN(MAX(ROUND(ROUND('Loonschijven_Tranches salariale'!$Q14*0.6,4)*Basisbedragen!$I$2,2),ROUND(Basisbedragen!$D$49*Basisbedragen!$I$2,2)),ROUND(ROUND(Basisbedragen!$D$30*0.6,4)*Basisbedragen!$I$2,2)),MIN(MAX(ROUND(ROUND('Loonschijven_Tranches salariale'!$Q14*0.6,4)*Basisbedragen!$I$7,2),ROUND(Basisbedragen!$D$49*Basisbedragen!$I$7,2)),ROUND(ROUND(Basisbedragen!$D$30*0.6,4)*Basisbedragen!$I$7,2))+Basisbedragen!$I$10)</f>
        <v>64.739999999999995</v>
      </c>
      <c r="F14" s="448">
        <f t="shared" si="3"/>
        <v>84.17</v>
      </c>
      <c r="H14" s="52">
        <f t="shared" si="4"/>
        <v>77.69</v>
      </c>
      <c r="J14" s="52">
        <f>MIN(MAX(ROUND(ROUND('Loonschijven_Tranches salariale'!$Q14*0.65,4)*Basisbedragen!$I$2,2),ROUND(Basisbedragen!$D$73*Basisbedragen!$I$2,2)),ROUND(ROUND(Basisbedragen!$D$31*0.65,4)*Basisbedragen!$I$2,2))</f>
        <v>56.48</v>
      </c>
      <c r="L14" s="52">
        <f>ROUND(MIN(MAX(ROUND(ROUND('Loonschijven_Tranches salariale'!$Q14*0.65,4)*Basisbedragen!$I$2,2),ROUND(Basisbedragen!$D$48*Basisbedragen!$I$2,2)),ROUND(ROUND(Basisbedragen!$D$30*0.65,4)*Basisbedragen!$I$2,2))/2,2)</f>
        <v>35.07</v>
      </c>
      <c r="N14" s="52">
        <f>ROUND(MIN(MAX(ROUND(ROUND('Loonschijven_Tranches salariale'!$Q14*0.6,4)*Basisbedragen!$I$2,2),ROUND(Basisbedragen!$D$49*Basisbedragen!$I$2,2)),ROUND(ROUND(Basisbedragen!$D$30*0.6,4)*Basisbedragen!$I$2,2))/2,2)</f>
        <v>32.369999999999997</v>
      </c>
      <c r="P14" s="52">
        <f t="shared" si="5"/>
        <v>42.08</v>
      </c>
      <c r="R14" s="52">
        <f t="shared" si="6"/>
        <v>38.840000000000003</v>
      </c>
      <c r="T14" s="52">
        <f t="shared" si="7"/>
        <v>28.24</v>
      </c>
    </row>
    <row r="15" spans="1:32" ht="15" hidden="1" outlineLevel="1" thickBot="1">
      <c r="A15" s="47">
        <f t="shared" si="8"/>
        <v>8</v>
      </c>
      <c r="B15" s="52">
        <f>IF(MIN(MAX(ROUND(ROUND('Loonschijven_Tranches salariale'!$Q15*0.65,4)*Basisbedragen!$I$7,2),ROUND(Basisbedragen!$D$48*Basisbedragen!$I$7,2)),ROUND(ROUND(Basisbedragen!$D$30*0.65,4)*Basisbedragen!$I$7,2))&lt;= Basisbedragen!$I$8,MIN(MAX(ROUND(ROUND('Loonschijven_Tranches salariale'!$Q15*0.65,4)*Basisbedragen!$I$2,2),ROUND(Basisbedragen!$D$48*Basisbedragen!$I$2,2)),ROUND(ROUND(Basisbedragen!$D$30*0.65,4)*Basisbedragen!$I$2,2)),MIN(MAX(ROUND(ROUND('Loonschijven_Tranches salariale'!$Q15*0.65,4)*Basisbedragen!$I$7,2),ROUND(Basisbedragen!$D$48*Basisbedragen!$I$7,2)),ROUND(ROUND(Basisbedragen!$D$30*0.65,4)*Basisbedragen!$I$7,2))+Basisbedragen!$I$10)</f>
        <v>70.14</v>
      </c>
      <c r="D15" s="52">
        <f>IF(MIN(MAX(ROUND(ROUND('Loonschijven_Tranches salariale'!$Q15*0.6,4)*Basisbedragen!$I$7,2),ROUND(Basisbedragen!$D$49*Basisbedragen!$I$7,2)),ROUND(ROUND(Basisbedragen!$D$30*0.6,4)*Basisbedragen!$I$7,2))&lt;= Basisbedragen!$I$8,MIN(MAX(ROUND(ROUND('Loonschijven_Tranches salariale'!$Q15*0.6,4)*Basisbedragen!$I$2,2),ROUND(Basisbedragen!$D$49*Basisbedragen!$I$2,2)),ROUND(ROUND(Basisbedragen!$D$30*0.6,4)*Basisbedragen!$I$2,2)),MIN(MAX(ROUND(ROUND('Loonschijven_Tranches salariale'!$Q15*0.6,4)*Basisbedragen!$I$7,2),ROUND(Basisbedragen!$D$49*Basisbedragen!$I$7,2)),ROUND(ROUND(Basisbedragen!$D$30*0.6,4)*Basisbedragen!$I$7,2))+Basisbedragen!$I$10)</f>
        <v>64.739999999999995</v>
      </c>
      <c r="F15" s="448">
        <f t="shared" si="3"/>
        <v>84.17</v>
      </c>
      <c r="H15" s="52">
        <f t="shared" si="4"/>
        <v>77.69</v>
      </c>
      <c r="J15" s="52">
        <f>MIN(MAX(ROUND(ROUND('Loonschijven_Tranches salariale'!$Q15*0.65,4)*Basisbedragen!$I$2,2),ROUND(Basisbedragen!$D$73*Basisbedragen!$I$2,2)),ROUND(ROUND(Basisbedragen!$D$31*0.65,4)*Basisbedragen!$I$2,2))</f>
        <v>56.48</v>
      </c>
      <c r="L15" s="52">
        <f>ROUND(MIN(MAX(ROUND(ROUND('Loonschijven_Tranches salariale'!$Q15*0.65,4)*Basisbedragen!$I$2,2),ROUND(Basisbedragen!$D$48*Basisbedragen!$I$2,2)),ROUND(ROUND(Basisbedragen!$D$30*0.65,4)*Basisbedragen!$I$2,2))/2,2)</f>
        <v>35.07</v>
      </c>
      <c r="N15" s="52">
        <f>ROUND(MIN(MAX(ROUND(ROUND('Loonschijven_Tranches salariale'!$Q15*0.6,4)*Basisbedragen!$I$2,2),ROUND(Basisbedragen!$D$49*Basisbedragen!$I$2,2)),ROUND(ROUND(Basisbedragen!$D$30*0.6,4)*Basisbedragen!$I$2,2))/2,2)</f>
        <v>32.369999999999997</v>
      </c>
      <c r="P15" s="52">
        <f t="shared" si="5"/>
        <v>42.08</v>
      </c>
      <c r="R15" s="52">
        <f t="shared" si="6"/>
        <v>38.840000000000003</v>
      </c>
      <c r="T15" s="52">
        <f t="shared" si="7"/>
        <v>28.24</v>
      </c>
    </row>
    <row r="16" spans="1:32" ht="15" hidden="1" outlineLevel="1" thickBot="1">
      <c r="A16" s="47">
        <f t="shared" si="8"/>
        <v>9</v>
      </c>
      <c r="B16" s="52">
        <f>IF(MIN(MAX(ROUND(ROUND('Loonschijven_Tranches salariale'!$Q16*0.65,4)*Basisbedragen!$I$7,2),ROUND(Basisbedragen!$D$48*Basisbedragen!$I$7,2)),ROUND(ROUND(Basisbedragen!$D$30*0.65,4)*Basisbedragen!$I$7,2))&lt;= Basisbedragen!$I$8,MIN(MAX(ROUND(ROUND('Loonschijven_Tranches salariale'!$Q16*0.65,4)*Basisbedragen!$I$2,2),ROUND(Basisbedragen!$D$48*Basisbedragen!$I$2,2)),ROUND(ROUND(Basisbedragen!$D$30*0.65,4)*Basisbedragen!$I$2,2)),MIN(MAX(ROUND(ROUND('Loonschijven_Tranches salariale'!$Q16*0.65,4)*Basisbedragen!$I$7,2),ROUND(Basisbedragen!$D$48*Basisbedragen!$I$7,2)),ROUND(ROUND(Basisbedragen!$D$30*0.65,4)*Basisbedragen!$I$7,2))+Basisbedragen!$I$10)</f>
        <v>70.14</v>
      </c>
      <c r="D16" s="52">
        <f>IF(MIN(MAX(ROUND(ROUND('Loonschijven_Tranches salariale'!$Q16*0.6,4)*Basisbedragen!$I$7,2),ROUND(Basisbedragen!$D$49*Basisbedragen!$I$7,2)),ROUND(ROUND(Basisbedragen!$D$30*0.6,4)*Basisbedragen!$I$7,2))&lt;= Basisbedragen!$I$8,MIN(MAX(ROUND(ROUND('Loonschijven_Tranches salariale'!$Q16*0.6,4)*Basisbedragen!$I$2,2),ROUND(Basisbedragen!$D$49*Basisbedragen!$I$2,2)),ROUND(ROUND(Basisbedragen!$D$30*0.6,4)*Basisbedragen!$I$2,2)),MIN(MAX(ROUND(ROUND('Loonschijven_Tranches salariale'!$Q16*0.6,4)*Basisbedragen!$I$7,2),ROUND(Basisbedragen!$D$49*Basisbedragen!$I$7,2)),ROUND(ROUND(Basisbedragen!$D$30*0.6,4)*Basisbedragen!$I$7,2))+Basisbedragen!$I$10)</f>
        <v>64.739999999999995</v>
      </c>
      <c r="F16" s="448">
        <f t="shared" si="3"/>
        <v>84.17</v>
      </c>
      <c r="H16" s="52">
        <f t="shared" si="4"/>
        <v>77.69</v>
      </c>
      <c r="J16" s="52">
        <f>MIN(MAX(ROUND(ROUND('Loonschijven_Tranches salariale'!$Q16*0.65,4)*Basisbedragen!$I$2,2),ROUND(Basisbedragen!$D$73*Basisbedragen!$I$2,2)),ROUND(ROUND(Basisbedragen!$D$31*0.65,4)*Basisbedragen!$I$2,2))</f>
        <v>56.48</v>
      </c>
      <c r="L16" s="52">
        <f>ROUND(MIN(MAX(ROUND(ROUND('Loonschijven_Tranches salariale'!$Q16*0.65,4)*Basisbedragen!$I$2,2),ROUND(Basisbedragen!$D$48*Basisbedragen!$I$2,2)),ROUND(ROUND(Basisbedragen!$D$30*0.65,4)*Basisbedragen!$I$2,2))/2,2)</f>
        <v>35.07</v>
      </c>
      <c r="N16" s="52">
        <f>ROUND(MIN(MAX(ROUND(ROUND('Loonschijven_Tranches salariale'!$Q16*0.6,4)*Basisbedragen!$I$2,2),ROUND(Basisbedragen!$D$49*Basisbedragen!$I$2,2)),ROUND(ROUND(Basisbedragen!$D$30*0.6,4)*Basisbedragen!$I$2,2))/2,2)</f>
        <v>32.369999999999997</v>
      </c>
      <c r="P16" s="52">
        <f t="shared" si="5"/>
        <v>42.08</v>
      </c>
      <c r="R16" s="52">
        <f t="shared" si="6"/>
        <v>38.840000000000003</v>
      </c>
      <c r="T16" s="52">
        <f t="shared" si="7"/>
        <v>28.24</v>
      </c>
    </row>
    <row r="17" spans="1:20" ht="15" hidden="1" outlineLevel="1" thickBot="1">
      <c r="A17" s="47">
        <f t="shared" si="8"/>
        <v>10</v>
      </c>
      <c r="B17" s="52">
        <f>IF(MIN(MAX(ROUND(ROUND('Loonschijven_Tranches salariale'!$Q17*0.65,4)*Basisbedragen!$I$7,2),ROUND(Basisbedragen!$D$48*Basisbedragen!$I$7,2)),ROUND(ROUND(Basisbedragen!$D$30*0.65,4)*Basisbedragen!$I$7,2))&lt;= Basisbedragen!$I$8,MIN(MAX(ROUND(ROUND('Loonschijven_Tranches salariale'!$Q17*0.65,4)*Basisbedragen!$I$2,2),ROUND(Basisbedragen!$D$48*Basisbedragen!$I$2,2)),ROUND(ROUND(Basisbedragen!$D$30*0.65,4)*Basisbedragen!$I$2,2)),MIN(MAX(ROUND(ROUND('Loonschijven_Tranches salariale'!$Q17*0.65,4)*Basisbedragen!$I$7,2),ROUND(Basisbedragen!$D$48*Basisbedragen!$I$7,2)),ROUND(ROUND(Basisbedragen!$D$30*0.65,4)*Basisbedragen!$I$7,2))+Basisbedragen!$I$10)</f>
        <v>70.14</v>
      </c>
      <c r="D17" s="52">
        <f>IF(MIN(MAX(ROUND(ROUND('Loonschijven_Tranches salariale'!$Q17*0.6,4)*Basisbedragen!$I$7,2),ROUND(Basisbedragen!$D$49*Basisbedragen!$I$7,2)),ROUND(ROUND(Basisbedragen!$D$30*0.6,4)*Basisbedragen!$I$7,2))&lt;= Basisbedragen!$I$8,MIN(MAX(ROUND(ROUND('Loonschijven_Tranches salariale'!$Q17*0.6,4)*Basisbedragen!$I$2,2),ROUND(Basisbedragen!$D$49*Basisbedragen!$I$2,2)),ROUND(ROUND(Basisbedragen!$D$30*0.6,4)*Basisbedragen!$I$2,2)),MIN(MAX(ROUND(ROUND('Loonschijven_Tranches salariale'!$Q17*0.6,4)*Basisbedragen!$I$7,2),ROUND(Basisbedragen!$D$49*Basisbedragen!$I$7,2)),ROUND(ROUND(Basisbedragen!$D$30*0.6,4)*Basisbedragen!$I$7,2))+Basisbedragen!$I$10)</f>
        <v>64.739999999999995</v>
      </c>
      <c r="F17" s="448">
        <f t="shared" si="3"/>
        <v>84.17</v>
      </c>
      <c r="H17" s="52">
        <f t="shared" si="4"/>
        <v>77.69</v>
      </c>
      <c r="J17" s="52">
        <f>MIN(MAX(ROUND(ROUND('Loonschijven_Tranches salariale'!$Q17*0.65,4)*Basisbedragen!$I$2,2),ROUND(Basisbedragen!$D$73*Basisbedragen!$I$2,2)),ROUND(ROUND(Basisbedragen!$D$31*0.65,4)*Basisbedragen!$I$2,2))</f>
        <v>56.48</v>
      </c>
      <c r="L17" s="52">
        <f>ROUND(MIN(MAX(ROUND(ROUND('Loonschijven_Tranches salariale'!$Q17*0.65,4)*Basisbedragen!$I$2,2),ROUND(Basisbedragen!$D$48*Basisbedragen!$I$2,2)),ROUND(ROUND(Basisbedragen!$D$30*0.65,4)*Basisbedragen!$I$2,2))/2,2)</f>
        <v>35.07</v>
      </c>
      <c r="N17" s="52">
        <f>ROUND(MIN(MAX(ROUND(ROUND('Loonschijven_Tranches salariale'!$Q17*0.6,4)*Basisbedragen!$I$2,2),ROUND(Basisbedragen!$D$49*Basisbedragen!$I$2,2)),ROUND(ROUND(Basisbedragen!$D$30*0.6,4)*Basisbedragen!$I$2,2))/2,2)</f>
        <v>32.369999999999997</v>
      </c>
      <c r="P17" s="52">
        <f t="shared" si="5"/>
        <v>42.08</v>
      </c>
      <c r="R17" s="52">
        <f t="shared" si="6"/>
        <v>38.840000000000003</v>
      </c>
      <c r="T17" s="52">
        <f t="shared" si="7"/>
        <v>28.24</v>
      </c>
    </row>
    <row r="18" spans="1:20" ht="15" hidden="1" outlineLevel="1" thickBot="1">
      <c r="A18" s="47">
        <f t="shared" si="8"/>
        <v>11</v>
      </c>
      <c r="B18" s="52">
        <f>IF(MIN(MAX(ROUND(ROUND('Loonschijven_Tranches salariale'!$Q18*0.65,4)*Basisbedragen!$I$7,2),ROUND(Basisbedragen!$D$48*Basisbedragen!$I$7,2)),ROUND(ROUND(Basisbedragen!$D$30*0.65,4)*Basisbedragen!$I$7,2))&lt;= Basisbedragen!$I$8,MIN(MAX(ROUND(ROUND('Loonschijven_Tranches salariale'!$Q18*0.65,4)*Basisbedragen!$I$2,2),ROUND(Basisbedragen!$D$48*Basisbedragen!$I$2,2)),ROUND(ROUND(Basisbedragen!$D$30*0.65,4)*Basisbedragen!$I$2,2)),MIN(MAX(ROUND(ROUND('Loonschijven_Tranches salariale'!$Q18*0.65,4)*Basisbedragen!$I$7,2),ROUND(Basisbedragen!$D$48*Basisbedragen!$I$7,2)),ROUND(ROUND(Basisbedragen!$D$30*0.65,4)*Basisbedragen!$I$7,2))+Basisbedragen!$I$10)</f>
        <v>70.14</v>
      </c>
      <c r="D18" s="52">
        <f>IF(MIN(MAX(ROUND(ROUND('Loonschijven_Tranches salariale'!$Q18*0.6,4)*Basisbedragen!$I$7,2),ROUND(Basisbedragen!$D$49*Basisbedragen!$I$7,2)),ROUND(ROUND(Basisbedragen!$D$30*0.6,4)*Basisbedragen!$I$7,2))&lt;= Basisbedragen!$I$8,MIN(MAX(ROUND(ROUND('Loonschijven_Tranches salariale'!$Q18*0.6,4)*Basisbedragen!$I$2,2),ROUND(Basisbedragen!$D$49*Basisbedragen!$I$2,2)),ROUND(ROUND(Basisbedragen!$D$30*0.6,4)*Basisbedragen!$I$2,2)),MIN(MAX(ROUND(ROUND('Loonschijven_Tranches salariale'!$Q18*0.6,4)*Basisbedragen!$I$7,2),ROUND(Basisbedragen!$D$49*Basisbedragen!$I$7,2)),ROUND(ROUND(Basisbedragen!$D$30*0.6,4)*Basisbedragen!$I$7,2))+Basisbedragen!$I$10)</f>
        <v>64.739999999999995</v>
      </c>
      <c r="F18" s="448">
        <f t="shared" si="3"/>
        <v>84.17</v>
      </c>
      <c r="H18" s="52">
        <f t="shared" si="4"/>
        <v>77.69</v>
      </c>
      <c r="J18" s="52">
        <f>MIN(MAX(ROUND(ROUND('Loonschijven_Tranches salariale'!$Q18*0.65,4)*Basisbedragen!$I$2,2),ROUND(Basisbedragen!$D$73*Basisbedragen!$I$2,2)),ROUND(ROUND(Basisbedragen!$D$31*0.65,4)*Basisbedragen!$I$2,2))</f>
        <v>56.48</v>
      </c>
      <c r="L18" s="52">
        <f>ROUND(MIN(MAX(ROUND(ROUND('Loonschijven_Tranches salariale'!$Q18*0.65,4)*Basisbedragen!$I$2,2),ROUND(Basisbedragen!$D$48*Basisbedragen!$I$2,2)),ROUND(ROUND(Basisbedragen!$D$30*0.65,4)*Basisbedragen!$I$2,2))/2,2)</f>
        <v>35.07</v>
      </c>
      <c r="N18" s="52">
        <f>ROUND(MIN(MAX(ROUND(ROUND('Loonschijven_Tranches salariale'!$Q18*0.6,4)*Basisbedragen!$I$2,2),ROUND(Basisbedragen!$D$49*Basisbedragen!$I$2,2)),ROUND(ROUND(Basisbedragen!$D$30*0.6,4)*Basisbedragen!$I$2,2))/2,2)</f>
        <v>32.369999999999997</v>
      </c>
      <c r="P18" s="52">
        <f t="shared" si="5"/>
        <v>42.08</v>
      </c>
      <c r="R18" s="52">
        <f t="shared" si="6"/>
        <v>38.840000000000003</v>
      </c>
      <c r="T18" s="52">
        <f t="shared" si="7"/>
        <v>28.24</v>
      </c>
    </row>
    <row r="19" spans="1:20" ht="15" hidden="1" outlineLevel="1" thickBot="1">
      <c r="A19" s="47">
        <f t="shared" si="8"/>
        <v>12</v>
      </c>
      <c r="B19" s="52">
        <f>IF(MIN(MAX(ROUND(ROUND('Loonschijven_Tranches salariale'!$Q19*0.65,4)*Basisbedragen!$I$7,2),ROUND(Basisbedragen!$D$48*Basisbedragen!$I$7,2)),ROUND(ROUND(Basisbedragen!$D$30*0.65,4)*Basisbedragen!$I$7,2))&lt;= Basisbedragen!$I$8,MIN(MAX(ROUND(ROUND('Loonschijven_Tranches salariale'!$Q19*0.65,4)*Basisbedragen!$I$2,2),ROUND(Basisbedragen!$D$48*Basisbedragen!$I$2,2)),ROUND(ROUND(Basisbedragen!$D$30*0.65,4)*Basisbedragen!$I$2,2)),MIN(MAX(ROUND(ROUND('Loonschijven_Tranches salariale'!$Q19*0.65,4)*Basisbedragen!$I$7,2),ROUND(Basisbedragen!$D$48*Basisbedragen!$I$7,2)),ROUND(ROUND(Basisbedragen!$D$30*0.65,4)*Basisbedragen!$I$7,2))+Basisbedragen!$I$10)</f>
        <v>70.14</v>
      </c>
      <c r="D19" s="52">
        <f>IF(MIN(MAX(ROUND(ROUND('Loonschijven_Tranches salariale'!$Q19*0.6,4)*Basisbedragen!$I$7,2),ROUND(Basisbedragen!$D$49*Basisbedragen!$I$7,2)),ROUND(ROUND(Basisbedragen!$D$30*0.6,4)*Basisbedragen!$I$7,2))&lt;= Basisbedragen!$I$8,MIN(MAX(ROUND(ROUND('Loonschijven_Tranches salariale'!$Q19*0.6,4)*Basisbedragen!$I$2,2),ROUND(Basisbedragen!$D$49*Basisbedragen!$I$2,2)),ROUND(ROUND(Basisbedragen!$D$30*0.6,4)*Basisbedragen!$I$2,2)),MIN(MAX(ROUND(ROUND('Loonschijven_Tranches salariale'!$Q19*0.6,4)*Basisbedragen!$I$7,2),ROUND(Basisbedragen!$D$49*Basisbedragen!$I$7,2)),ROUND(ROUND(Basisbedragen!$D$30*0.6,4)*Basisbedragen!$I$7,2))+Basisbedragen!$I$10)</f>
        <v>64.739999999999995</v>
      </c>
      <c r="F19" s="448">
        <f t="shared" si="3"/>
        <v>84.17</v>
      </c>
      <c r="H19" s="52">
        <f t="shared" si="4"/>
        <v>77.69</v>
      </c>
      <c r="J19" s="52">
        <f>MIN(MAX(ROUND(ROUND('Loonschijven_Tranches salariale'!$Q19*0.65,4)*Basisbedragen!$I$2,2),ROUND(Basisbedragen!$D$73*Basisbedragen!$I$2,2)),ROUND(ROUND(Basisbedragen!$D$31*0.65,4)*Basisbedragen!$I$2,2))</f>
        <v>56.48</v>
      </c>
      <c r="L19" s="52">
        <f>ROUND(MIN(MAX(ROUND(ROUND('Loonschijven_Tranches salariale'!$Q19*0.65,4)*Basisbedragen!$I$2,2),ROUND(Basisbedragen!$D$48*Basisbedragen!$I$2,2)),ROUND(ROUND(Basisbedragen!$D$30*0.65,4)*Basisbedragen!$I$2,2))/2,2)</f>
        <v>35.07</v>
      </c>
      <c r="N19" s="52">
        <f>ROUND(MIN(MAX(ROUND(ROUND('Loonschijven_Tranches salariale'!$Q19*0.6,4)*Basisbedragen!$I$2,2),ROUND(Basisbedragen!$D$49*Basisbedragen!$I$2,2)),ROUND(ROUND(Basisbedragen!$D$30*0.6,4)*Basisbedragen!$I$2,2))/2,2)</f>
        <v>32.369999999999997</v>
      </c>
      <c r="P19" s="52">
        <f t="shared" si="5"/>
        <v>42.08</v>
      </c>
      <c r="R19" s="52">
        <f t="shared" si="6"/>
        <v>38.840000000000003</v>
      </c>
      <c r="T19" s="52">
        <f t="shared" si="7"/>
        <v>28.24</v>
      </c>
    </row>
    <row r="20" spans="1:20" ht="15" hidden="1" outlineLevel="1" thickBot="1">
      <c r="A20" s="47">
        <f t="shared" si="8"/>
        <v>13</v>
      </c>
      <c r="B20" s="52">
        <f>IF(MIN(MAX(ROUND(ROUND('Loonschijven_Tranches salariale'!$Q20*0.65,4)*Basisbedragen!$I$7,2),ROUND(Basisbedragen!$D$48*Basisbedragen!$I$7,2)),ROUND(ROUND(Basisbedragen!$D$30*0.65,4)*Basisbedragen!$I$7,2))&lt;= Basisbedragen!$I$8,MIN(MAX(ROUND(ROUND('Loonschijven_Tranches salariale'!$Q20*0.65,4)*Basisbedragen!$I$2,2),ROUND(Basisbedragen!$D$48*Basisbedragen!$I$2,2)),ROUND(ROUND(Basisbedragen!$D$30*0.65,4)*Basisbedragen!$I$2,2)),MIN(MAX(ROUND(ROUND('Loonschijven_Tranches salariale'!$Q20*0.65,4)*Basisbedragen!$I$7,2),ROUND(Basisbedragen!$D$48*Basisbedragen!$I$7,2)),ROUND(ROUND(Basisbedragen!$D$30*0.65,4)*Basisbedragen!$I$7,2))+Basisbedragen!$I$10)</f>
        <v>70.14</v>
      </c>
      <c r="D20" s="52">
        <f>IF(MIN(MAX(ROUND(ROUND('Loonschijven_Tranches salariale'!$Q20*0.6,4)*Basisbedragen!$I$7,2),ROUND(Basisbedragen!$D$49*Basisbedragen!$I$7,2)),ROUND(ROUND(Basisbedragen!$D$30*0.6,4)*Basisbedragen!$I$7,2))&lt;= Basisbedragen!$I$8,MIN(MAX(ROUND(ROUND('Loonschijven_Tranches salariale'!$Q20*0.6,4)*Basisbedragen!$I$2,2),ROUND(Basisbedragen!$D$49*Basisbedragen!$I$2,2)),ROUND(ROUND(Basisbedragen!$D$30*0.6,4)*Basisbedragen!$I$2,2)),MIN(MAX(ROUND(ROUND('Loonschijven_Tranches salariale'!$Q20*0.6,4)*Basisbedragen!$I$7,2),ROUND(Basisbedragen!$D$49*Basisbedragen!$I$7,2)),ROUND(ROUND(Basisbedragen!$D$30*0.6,4)*Basisbedragen!$I$7,2))+Basisbedragen!$I$10)</f>
        <v>64.739999999999995</v>
      </c>
      <c r="F20" s="448">
        <f t="shared" si="3"/>
        <v>84.17</v>
      </c>
      <c r="H20" s="52">
        <f t="shared" si="4"/>
        <v>77.69</v>
      </c>
      <c r="J20" s="52">
        <f>MIN(MAX(ROUND(ROUND('Loonschijven_Tranches salariale'!$Q20*0.65,4)*Basisbedragen!$I$2,2),ROUND(Basisbedragen!$D$73*Basisbedragen!$I$2,2)),ROUND(ROUND(Basisbedragen!$D$31*0.65,4)*Basisbedragen!$I$2,2))</f>
        <v>56.48</v>
      </c>
      <c r="L20" s="52">
        <f>ROUND(MIN(MAX(ROUND(ROUND('Loonschijven_Tranches salariale'!$Q20*0.65,4)*Basisbedragen!$I$2,2),ROUND(Basisbedragen!$D$48*Basisbedragen!$I$2,2)),ROUND(ROUND(Basisbedragen!$D$30*0.65,4)*Basisbedragen!$I$2,2))/2,2)</f>
        <v>35.07</v>
      </c>
      <c r="N20" s="52">
        <f>ROUND(MIN(MAX(ROUND(ROUND('Loonschijven_Tranches salariale'!$Q20*0.6,4)*Basisbedragen!$I$2,2),ROUND(Basisbedragen!$D$49*Basisbedragen!$I$2,2)),ROUND(ROUND(Basisbedragen!$D$30*0.6,4)*Basisbedragen!$I$2,2))/2,2)</f>
        <v>32.369999999999997</v>
      </c>
      <c r="P20" s="52">
        <f t="shared" si="5"/>
        <v>42.08</v>
      </c>
      <c r="R20" s="52">
        <f t="shared" si="6"/>
        <v>38.840000000000003</v>
      </c>
      <c r="T20" s="52">
        <f t="shared" si="7"/>
        <v>28.24</v>
      </c>
    </row>
    <row r="21" spans="1:20" ht="15" hidden="1" outlineLevel="1" thickBot="1">
      <c r="A21" s="47">
        <f t="shared" si="8"/>
        <v>14</v>
      </c>
      <c r="B21" s="52">
        <f>IF(MIN(MAX(ROUND(ROUND('Loonschijven_Tranches salariale'!$Q21*0.65,4)*Basisbedragen!$I$7,2),ROUND(Basisbedragen!$D$48*Basisbedragen!$I$7,2)),ROUND(ROUND(Basisbedragen!$D$30*0.65,4)*Basisbedragen!$I$7,2))&lt;= Basisbedragen!$I$8,MIN(MAX(ROUND(ROUND('Loonschijven_Tranches salariale'!$Q21*0.65,4)*Basisbedragen!$I$2,2),ROUND(Basisbedragen!$D$48*Basisbedragen!$I$2,2)),ROUND(ROUND(Basisbedragen!$D$30*0.65,4)*Basisbedragen!$I$2,2)),MIN(MAX(ROUND(ROUND('Loonschijven_Tranches salariale'!$Q21*0.65,4)*Basisbedragen!$I$7,2),ROUND(Basisbedragen!$D$48*Basisbedragen!$I$7,2)),ROUND(ROUND(Basisbedragen!$D$30*0.65,4)*Basisbedragen!$I$7,2))+Basisbedragen!$I$10)</f>
        <v>70.14</v>
      </c>
      <c r="D21" s="52">
        <f>IF(MIN(MAX(ROUND(ROUND('Loonschijven_Tranches salariale'!$Q21*0.6,4)*Basisbedragen!$I$7,2),ROUND(Basisbedragen!$D$49*Basisbedragen!$I$7,2)),ROUND(ROUND(Basisbedragen!$D$30*0.6,4)*Basisbedragen!$I$7,2))&lt;= Basisbedragen!$I$8,MIN(MAX(ROUND(ROUND('Loonschijven_Tranches salariale'!$Q21*0.6,4)*Basisbedragen!$I$2,2),ROUND(Basisbedragen!$D$49*Basisbedragen!$I$2,2)),ROUND(ROUND(Basisbedragen!$D$30*0.6,4)*Basisbedragen!$I$2,2)),MIN(MAX(ROUND(ROUND('Loonschijven_Tranches salariale'!$Q21*0.6,4)*Basisbedragen!$I$7,2),ROUND(Basisbedragen!$D$49*Basisbedragen!$I$7,2)),ROUND(ROUND(Basisbedragen!$D$30*0.6,4)*Basisbedragen!$I$7,2))+Basisbedragen!$I$10)</f>
        <v>64.739999999999995</v>
      </c>
      <c r="F21" s="448">
        <f t="shared" si="3"/>
        <v>84.17</v>
      </c>
      <c r="H21" s="52">
        <f t="shared" si="4"/>
        <v>77.69</v>
      </c>
      <c r="J21" s="52">
        <f>MIN(MAX(ROUND(ROUND('Loonschijven_Tranches salariale'!$Q21*0.65,4)*Basisbedragen!$I$2,2),ROUND(Basisbedragen!$D$73*Basisbedragen!$I$2,2)),ROUND(ROUND(Basisbedragen!$D$31*0.65,4)*Basisbedragen!$I$2,2))</f>
        <v>56.48</v>
      </c>
      <c r="L21" s="52">
        <f>ROUND(MIN(MAX(ROUND(ROUND('Loonschijven_Tranches salariale'!$Q21*0.65,4)*Basisbedragen!$I$2,2),ROUND(Basisbedragen!$D$48*Basisbedragen!$I$2,2)),ROUND(ROUND(Basisbedragen!$D$30*0.65,4)*Basisbedragen!$I$2,2))/2,2)</f>
        <v>35.07</v>
      </c>
      <c r="N21" s="52">
        <f>ROUND(MIN(MAX(ROUND(ROUND('Loonschijven_Tranches salariale'!$Q21*0.6,4)*Basisbedragen!$I$2,2),ROUND(Basisbedragen!$D$49*Basisbedragen!$I$2,2)),ROUND(ROUND(Basisbedragen!$D$30*0.6,4)*Basisbedragen!$I$2,2))/2,2)</f>
        <v>32.369999999999997</v>
      </c>
      <c r="P21" s="52">
        <f t="shared" si="5"/>
        <v>42.08</v>
      </c>
      <c r="R21" s="52">
        <f t="shared" si="6"/>
        <v>38.840000000000003</v>
      </c>
      <c r="T21" s="52">
        <f t="shared" si="7"/>
        <v>28.24</v>
      </c>
    </row>
    <row r="22" spans="1:20" ht="15" hidden="1" outlineLevel="1" thickBot="1">
      <c r="A22" s="47">
        <f t="shared" si="8"/>
        <v>15</v>
      </c>
      <c r="B22" s="52">
        <f>IF(MIN(MAX(ROUND(ROUND('Loonschijven_Tranches salariale'!$Q22*0.65,4)*Basisbedragen!$I$7,2),ROUND(Basisbedragen!$D$48*Basisbedragen!$I$7,2)),ROUND(ROUND(Basisbedragen!$D$30*0.65,4)*Basisbedragen!$I$7,2))&lt;= Basisbedragen!$I$8,MIN(MAX(ROUND(ROUND('Loonschijven_Tranches salariale'!$Q22*0.65,4)*Basisbedragen!$I$2,2),ROUND(Basisbedragen!$D$48*Basisbedragen!$I$2,2)),ROUND(ROUND(Basisbedragen!$D$30*0.65,4)*Basisbedragen!$I$2,2)),MIN(MAX(ROUND(ROUND('Loonschijven_Tranches salariale'!$Q22*0.65,4)*Basisbedragen!$I$7,2),ROUND(Basisbedragen!$D$48*Basisbedragen!$I$7,2)),ROUND(ROUND(Basisbedragen!$D$30*0.65,4)*Basisbedragen!$I$7,2))+Basisbedragen!$I$10)</f>
        <v>70.14</v>
      </c>
      <c r="D22" s="52">
        <f>IF(MIN(MAX(ROUND(ROUND('Loonschijven_Tranches salariale'!$Q22*0.6,4)*Basisbedragen!$I$7,2),ROUND(Basisbedragen!$D$49*Basisbedragen!$I$7,2)),ROUND(ROUND(Basisbedragen!$D$30*0.6,4)*Basisbedragen!$I$7,2))&lt;= Basisbedragen!$I$8,MIN(MAX(ROUND(ROUND('Loonschijven_Tranches salariale'!$Q22*0.6,4)*Basisbedragen!$I$2,2),ROUND(Basisbedragen!$D$49*Basisbedragen!$I$2,2)),ROUND(ROUND(Basisbedragen!$D$30*0.6,4)*Basisbedragen!$I$2,2)),MIN(MAX(ROUND(ROUND('Loonschijven_Tranches salariale'!$Q22*0.6,4)*Basisbedragen!$I$7,2),ROUND(Basisbedragen!$D$49*Basisbedragen!$I$7,2)),ROUND(ROUND(Basisbedragen!$D$30*0.6,4)*Basisbedragen!$I$7,2))+Basisbedragen!$I$10)</f>
        <v>64.739999999999995</v>
      </c>
      <c r="F22" s="448">
        <f t="shared" si="3"/>
        <v>84.17</v>
      </c>
      <c r="H22" s="52">
        <f t="shared" si="4"/>
        <v>77.69</v>
      </c>
      <c r="J22" s="52">
        <f>MIN(MAX(ROUND(ROUND('Loonschijven_Tranches salariale'!$Q22*0.65,4)*Basisbedragen!$I$2,2),ROUND(Basisbedragen!$D$73*Basisbedragen!$I$2,2)),ROUND(ROUND(Basisbedragen!$D$31*0.65,4)*Basisbedragen!$I$2,2))</f>
        <v>56.48</v>
      </c>
      <c r="L22" s="52">
        <f>ROUND(MIN(MAX(ROUND(ROUND('Loonschijven_Tranches salariale'!$Q22*0.65,4)*Basisbedragen!$I$2,2),ROUND(Basisbedragen!$D$48*Basisbedragen!$I$2,2)),ROUND(ROUND(Basisbedragen!$D$30*0.65,4)*Basisbedragen!$I$2,2))/2,2)</f>
        <v>35.07</v>
      </c>
      <c r="N22" s="52">
        <f>ROUND(MIN(MAX(ROUND(ROUND('Loonschijven_Tranches salariale'!$Q22*0.6,4)*Basisbedragen!$I$2,2),ROUND(Basisbedragen!$D$49*Basisbedragen!$I$2,2)),ROUND(ROUND(Basisbedragen!$D$30*0.6,4)*Basisbedragen!$I$2,2))/2,2)</f>
        <v>32.369999999999997</v>
      </c>
      <c r="P22" s="52">
        <f t="shared" si="5"/>
        <v>42.08</v>
      </c>
      <c r="R22" s="52">
        <f t="shared" si="6"/>
        <v>38.840000000000003</v>
      </c>
      <c r="T22" s="52">
        <f t="shared" si="7"/>
        <v>28.24</v>
      </c>
    </row>
    <row r="23" spans="1:20" ht="15" hidden="1" outlineLevel="1" thickBot="1">
      <c r="A23" s="47">
        <f t="shared" si="8"/>
        <v>16</v>
      </c>
      <c r="B23" s="52">
        <f>IF(MIN(MAX(ROUND(ROUND('Loonschijven_Tranches salariale'!$Q23*0.65,4)*Basisbedragen!$I$7,2),ROUND(Basisbedragen!$D$48*Basisbedragen!$I$7,2)),ROUND(ROUND(Basisbedragen!$D$30*0.65,4)*Basisbedragen!$I$7,2))&lt;= Basisbedragen!$I$8,MIN(MAX(ROUND(ROUND('Loonschijven_Tranches salariale'!$Q23*0.65,4)*Basisbedragen!$I$2,2),ROUND(Basisbedragen!$D$48*Basisbedragen!$I$2,2)),ROUND(ROUND(Basisbedragen!$D$30*0.65,4)*Basisbedragen!$I$2,2)),MIN(MAX(ROUND(ROUND('Loonschijven_Tranches salariale'!$Q23*0.65,4)*Basisbedragen!$I$7,2),ROUND(Basisbedragen!$D$48*Basisbedragen!$I$7,2)),ROUND(ROUND(Basisbedragen!$D$30*0.65,4)*Basisbedragen!$I$7,2))+Basisbedragen!$I$10)</f>
        <v>70.14</v>
      </c>
      <c r="D23" s="52">
        <f>IF(MIN(MAX(ROUND(ROUND('Loonschijven_Tranches salariale'!$Q23*0.6,4)*Basisbedragen!$I$7,2),ROUND(Basisbedragen!$D$49*Basisbedragen!$I$7,2)),ROUND(ROUND(Basisbedragen!$D$30*0.6,4)*Basisbedragen!$I$7,2))&lt;= Basisbedragen!$I$8,MIN(MAX(ROUND(ROUND('Loonschijven_Tranches salariale'!$Q23*0.6,4)*Basisbedragen!$I$2,2),ROUND(Basisbedragen!$D$49*Basisbedragen!$I$2,2)),ROUND(ROUND(Basisbedragen!$D$30*0.6,4)*Basisbedragen!$I$2,2)),MIN(MAX(ROUND(ROUND('Loonschijven_Tranches salariale'!$Q23*0.6,4)*Basisbedragen!$I$7,2),ROUND(Basisbedragen!$D$49*Basisbedragen!$I$7,2)),ROUND(ROUND(Basisbedragen!$D$30*0.6,4)*Basisbedragen!$I$7,2))+Basisbedragen!$I$10)</f>
        <v>64.739999999999995</v>
      </c>
      <c r="F23" s="448">
        <f t="shared" si="3"/>
        <v>84.17</v>
      </c>
      <c r="H23" s="52">
        <f t="shared" si="4"/>
        <v>77.69</v>
      </c>
      <c r="J23" s="52">
        <f>MIN(MAX(ROUND(ROUND('Loonschijven_Tranches salariale'!$Q23*0.65,4)*Basisbedragen!$I$2,2),ROUND(Basisbedragen!$D$73*Basisbedragen!$I$2,2)),ROUND(ROUND(Basisbedragen!$D$31*0.65,4)*Basisbedragen!$I$2,2))</f>
        <v>56.48</v>
      </c>
      <c r="L23" s="52">
        <f>ROUND(MIN(MAX(ROUND(ROUND('Loonschijven_Tranches salariale'!$Q23*0.65,4)*Basisbedragen!$I$2,2),ROUND(Basisbedragen!$D$48*Basisbedragen!$I$2,2)),ROUND(ROUND(Basisbedragen!$D$30*0.65,4)*Basisbedragen!$I$2,2))/2,2)</f>
        <v>35.07</v>
      </c>
      <c r="N23" s="52">
        <f>ROUND(MIN(MAX(ROUND(ROUND('Loonschijven_Tranches salariale'!$Q23*0.6,4)*Basisbedragen!$I$2,2),ROUND(Basisbedragen!$D$49*Basisbedragen!$I$2,2)),ROUND(ROUND(Basisbedragen!$D$30*0.6,4)*Basisbedragen!$I$2,2))/2,2)</f>
        <v>32.369999999999997</v>
      </c>
      <c r="P23" s="52">
        <f t="shared" si="5"/>
        <v>42.08</v>
      </c>
      <c r="R23" s="52">
        <f t="shared" si="6"/>
        <v>38.840000000000003</v>
      </c>
      <c r="T23" s="52">
        <f t="shared" si="7"/>
        <v>28.24</v>
      </c>
    </row>
    <row r="24" spans="1:20" ht="15" hidden="1" outlineLevel="1" thickBot="1">
      <c r="A24" s="47">
        <f t="shared" si="8"/>
        <v>17</v>
      </c>
      <c r="B24" s="52">
        <f>IF(MIN(MAX(ROUND(ROUND('Loonschijven_Tranches salariale'!$Q24*0.65,4)*Basisbedragen!$I$7,2),ROUND(Basisbedragen!$D$48*Basisbedragen!$I$7,2)),ROUND(ROUND(Basisbedragen!$D$30*0.65,4)*Basisbedragen!$I$7,2))&lt;= Basisbedragen!$I$8,MIN(MAX(ROUND(ROUND('Loonschijven_Tranches salariale'!$Q24*0.65,4)*Basisbedragen!$I$2,2),ROUND(Basisbedragen!$D$48*Basisbedragen!$I$2,2)),ROUND(ROUND(Basisbedragen!$D$30*0.65,4)*Basisbedragen!$I$2,2)),MIN(MAX(ROUND(ROUND('Loonschijven_Tranches salariale'!$Q24*0.65,4)*Basisbedragen!$I$7,2),ROUND(Basisbedragen!$D$48*Basisbedragen!$I$7,2)),ROUND(ROUND(Basisbedragen!$D$30*0.65,4)*Basisbedragen!$I$7,2))+Basisbedragen!$I$10)</f>
        <v>70.14</v>
      </c>
      <c r="D24" s="52">
        <f>IF(MIN(MAX(ROUND(ROUND('Loonschijven_Tranches salariale'!$Q24*0.6,4)*Basisbedragen!$I$7,2),ROUND(Basisbedragen!$D$49*Basisbedragen!$I$7,2)),ROUND(ROUND(Basisbedragen!$D$30*0.6,4)*Basisbedragen!$I$7,2))&lt;= Basisbedragen!$I$8,MIN(MAX(ROUND(ROUND('Loonschijven_Tranches salariale'!$Q24*0.6,4)*Basisbedragen!$I$2,2),ROUND(Basisbedragen!$D$49*Basisbedragen!$I$2,2)),ROUND(ROUND(Basisbedragen!$D$30*0.6,4)*Basisbedragen!$I$2,2)),MIN(MAX(ROUND(ROUND('Loonschijven_Tranches salariale'!$Q24*0.6,4)*Basisbedragen!$I$7,2),ROUND(Basisbedragen!$D$49*Basisbedragen!$I$7,2)),ROUND(ROUND(Basisbedragen!$D$30*0.6,4)*Basisbedragen!$I$7,2))+Basisbedragen!$I$10)</f>
        <v>64.739999999999995</v>
      </c>
      <c r="F24" s="448">
        <f t="shared" si="3"/>
        <v>84.17</v>
      </c>
      <c r="H24" s="52">
        <f t="shared" si="4"/>
        <v>77.69</v>
      </c>
      <c r="J24" s="52">
        <f>MIN(MAX(ROUND(ROUND('Loonschijven_Tranches salariale'!$Q24*0.65,4)*Basisbedragen!$I$2,2),ROUND(Basisbedragen!$D$73*Basisbedragen!$I$2,2)),ROUND(ROUND(Basisbedragen!$D$31*0.65,4)*Basisbedragen!$I$2,2))</f>
        <v>56.48</v>
      </c>
      <c r="L24" s="52">
        <f>ROUND(MIN(MAX(ROUND(ROUND('Loonschijven_Tranches salariale'!$Q24*0.65,4)*Basisbedragen!$I$2,2),ROUND(Basisbedragen!$D$48*Basisbedragen!$I$2,2)),ROUND(ROUND(Basisbedragen!$D$30*0.65,4)*Basisbedragen!$I$2,2))/2,2)</f>
        <v>35.07</v>
      </c>
      <c r="N24" s="52">
        <f>ROUND(MIN(MAX(ROUND(ROUND('Loonschijven_Tranches salariale'!$Q24*0.6,4)*Basisbedragen!$I$2,2),ROUND(Basisbedragen!$D$49*Basisbedragen!$I$2,2)),ROUND(ROUND(Basisbedragen!$D$30*0.6,4)*Basisbedragen!$I$2,2))/2,2)</f>
        <v>32.369999999999997</v>
      </c>
      <c r="P24" s="52">
        <f t="shared" si="5"/>
        <v>42.08</v>
      </c>
      <c r="R24" s="52">
        <f t="shared" si="6"/>
        <v>38.840000000000003</v>
      </c>
      <c r="T24" s="52">
        <f t="shared" si="7"/>
        <v>28.24</v>
      </c>
    </row>
    <row r="25" spans="1:20" ht="15" hidden="1" outlineLevel="1" thickBot="1">
      <c r="A25" s="47">
        <f t="shared" si="8"/>
        <v>18</v>
      </c>
      <c r="B25" s="52">
        <f>IF(MIN(MAX(ROUND(ROUND('Loonschijven_Tranches salariale'!$Q25*0.65,4)*Basisbedragen!$I$7,2),ROUND(Basisbedragen!$D$48*Basisbedragen!$I$7,2)),ROUND(ROUND(Basisbedragen!$D$30*0.65,4)*Basisbedragen!$I$7,2))&lt;= Basisbedragen!$I$8,MIN(MAX(ROUND(ROUND('Loonschijven_Tranches salariale'!$Q25*0.65,4)*Basisbedragen!$I$2,2),ROUND(Basisbedragen!$D$48*Basisbedragen!$I$2,2)),ROUND(ROUND(Basisbedragen!$D$30*0.65,4)*Basisbedragen!$I$2,2)),MIN(MAX(ROUND(ROUND('Loonschijven_Tranches salariale'!$Q25*0.65,4)*Basisbedragen!$I$7,2),ROUND(Basisbedragen!$D$48*Basisbedragen!$I$7,2)),ROUND(ROUND(Basisbedragen!$D$30*0.65,4)*Basisbedragen!$I$7,2))+Basisbedragen!$I$10)</f>
        <v>70.14</v>
      </c>
      <c r="D25" s="52">
        <f>IF(MIN(MAX(ROUND(ROUND('Loonschijven_Tranches salariale'!$Q25*0.6,4)*Basisbedragen!$I$7,2),ROUND(Basisbedragen!$D$49*Basisbedragen!$I$7,2)),ROUND(ROUND(Basisbedragen!$D$30*0.6,4)*Basisbedragen!$I$7,2))&lt;= Basisbedragen!$I$8,MIN(MAX(ROUND(ROUND('Loonschijven_Tranches salariale'!$Q25*0.6,4)*Basisbedragen!$I$2,2),ROUND(Basisbedragen!$D$49*Basisbedragen!$I$2,2)),ROUND(ROUND(Basisbedragen!$D$30*0.6,4)*Basisbedragen!$I$2,2)),MIN(MAX(ROUND(ROUND('Loonschijven_Tranches salariale'!$Q25*0.6,4)*Basisbedragen!$I$7,2),ROUND(Basisbedragen!$D$49*Basisbedragen!$I$7,2)),ROUND(ROUND(Basisbedragen!$D$30*0.6,4)*Basisbedragen!$I$7,2))+Basisbedragen!$I$10)</f>
        <v>64.739999999999995</v>
      </c>
      <c r="F25" s="448">
        <f t="shared" si="3"/>
        <v>84.17</v>
      </c>
      <c r="H25" s="52">
        <f t="shared" si="4"/>
        <v>77.69</v>
      </c>
      <c r="J25" s="52">
        <f>MIN(MAX(ROUND(ROUND('Loonschijven_Tranches salariale'!$Q25*0.65,4)*Basisbedragen!$I$2,2),ROUND(Basisbedragen!$D$73*Basisbedragen!$I$2,2)),ROUND(ROUND(Basisbedragen!$D$31*0.65,4)*Basisbedragen!$I$2,2))</f>
        <v>56.48</v>
      </c>
      <c r="L25" s="52">
        <f>ROUND(MIN(MAX(ROUND(ROUND('Loonschijven_Tranches salariale'!$Q25*0.65,4)*Basisbedragen!$I$2,2),ROUND(Basisbedragen!$D$48*Basisbedragen!$I$2,2)),ROUND(ROUND(Basisbedragen!$D$30*0.65,4)*Basisbedragen!$I$2,2))/2,2)</f>
        <v>35.07</v>
      </c>
      <c r="N25" s="52">
        <f>ROUND(MIN(MAX(ROUND(ROUND('Loonschijven_Tranches salariale'!$Q25*0.6,4)*Basisbedragen!$I$2,2),ROUND(Basisbedragen!$D$49*Basisbedragen!$I$2,2)),ROUND(ROUND(Basisbedragen!$D$30*0.6,4)*Basisbedragen!$I$2,2))/2,2)</f>
        <v>32.369999999999997</v>
      </c>
      <c r="P25" s="52">
        <f t="shared" si="5"/>
        <v>42.08</v>
      </c>
      <c r="R25" s="52">
        <f t="shared" si="6"/>
        <v>38.840000000000003</v>
      </c>
      <c r="T25" s="52">
        <f t="shared" si="7"/>
        <v>28.24</v>
      </c>
    </row>
    <row r="26" spans="1:20" ht="15" hidden="1" outlineLevel="1" thickBot="1">
      <c r="A26" s="47">
        <f t="shared" si="8"/>
        <v>19</v>
      </c>
      <c r="B26" s="52">
        <f>IF(MIN(MAX(ROUND(ROUND('Loonschijven_Tranches salariale'!$Q26*0.65,4)*Basisbedragen!$I$7,2),ROUND(Basisbedragen!$D$48*Basisbedragen!$I$7,2)),ROUND(ROUND(Basisbedragen!$D$30*0.65,4)*Basisbedragen!$I$7,2))&lt;= Basisbedragen!$I$8,MIN(MAX(ROUND(ROUND('Loonschijven_Tranches salariale'!$Q26*0.65,4)*Basisbedragen!$I$2,2),ROUND(Basisbedragen!$D$48*Basisbedragen!$I$2,2)),ROUND(ROUND(Basisbedragen!$D$30*0.65,4)*Basisbedragen!$I$2,2)),MIN(MAX(ROUND(ROUND('Loonschijven_Tranches salariale'!$Q26*0.65,4)*Basisbedragen!$I$7,2),ROUND(Basisbedragen!$D$48*Basisbedragen!$I$7,2)),ROUND(ROUND(Basisbedragen!$D$30*0.65,4)*Basisbedragen!$I$7,2))+Basisbedragen!$I$10)</f>
        <v>70.14</v>
      </c>
      <c r="D26" s="52">
        <f>IF(MIN(MAX(ROUND(ROUND('Loonschijven_Tranches salariale'!$Q26*0.6,4)*Basisbedragen!$I$7,2),ROUND(Basisbedragen!$D$49*Basisbedragen!$I$7,2)),ROUND(ROUND(Basisbedragen!$D$30*0.6,4)*Basisbedragen!$I$7,2))&lt;= Basisbedragen!$I$8,MIN(MAX(ROUND(ROUND('Loonschijven_Tranches salariale'!$Q26*0.6,4)*Basisbedragen!$I$2,2),ROUND(Basisbedragen!$D$49*Basisbedragen!$I$2,2)),ROUND(ROUND(Basisbedragen!$D$30*0.6,4)*Basisbedragen!$I$2,2)),MIN(MAX(ROUND(ROUND('Loonschijven_Tranches salariale'!$Q26*0.6,4)*Basisbedragen!$I$7,2),ROUND(Basisbedragen!$D$49*Basisbedragen!$I$7,2)),ROUND(ROUND(Basisbedragen!$D$30*0.6,4)*Basisbedragen!$I$7,2))+Basisbedragen!$I$10)</f>
        <v>64.739999999999995</v>
      </c>
      <c r="F26" s="448">
        <f t="shared" si="3"/>
        <v>84.17</v>
      </c>
      <c r="H26" s="52">
        <f t="shared" si="4"/>
        <v>77.69</v>
      </c>
      <c r="J26" s="52">
        <f>MIN(MAX(ROUND(ROUND('Loonschijven_Tranches salariale'!$Q26*0.65,4)*Basisbedragen!$I$2,2),ROUND(Basisbedragen!$D$73*Basisbedragen!$I$2,2)),ROUND(ROUND(Basisbedragen!$D$31*0.65,4)*Basisbedragen!$I$2,2))</f>
        <v>56.48</v>
      </c>
      <c r="L26" s="52">
        <f>ROUND(MIN(MAX(ROUND(ROUND('Loonschijven_Tranches salariale'!$Q26*0.65,4)*Basisbedragen!$I$2,2),ROUND(Basisbedragen!$D$48*Basisbedragen!$I$2,2)),ROUND(ROUND(Basisbedragen!$D$30*0.65,4)*Basisbedragen!$I$2,2))/2,2)</f>
        <v>35.07</v>
      </c>
      <c r="N26" s="52">
        <f>ROUND(MIN(MAX(ROUND(ROUND('Loonschijven_Tranches salariale'!$Q26*0.6,4)*Basisbedragen!$I$2,2),ROUND(Basisbedragen!$D$49*Basisbedragen!$I$2,2)),ROUND(ROUND(Basisbedragen!$D$30*0.6,4)*Basisbedragen!$I$2,2))/2,2)</f>
        <v>32.369999999999997</v>
      </c>
      <c r="P26" s="52">
        <f t="shared" si="5"/>
        <v>42.08</v>
      </c>
      <c r="R26" s="52">
        <f t="shared" si="6"/>
        <v>38.840000000000003</v>
      </c>
      <c r="T26" s="52">
        <f t="shared" si="7"/>
        <v>28.24</v>
      </c>
    </row>
    <row r="27" spans="1:20" ht="15" hidden="1" outlineLevel="1" thickBot="1">
      <c r="A27" s="47">
        <f t="shared" si="8"/>
        <v>20</v>
      </c>
      <c r="B27" s="52">
        <f>IF(MIN(MAX(ROUND(ROUND('Loonschijven_Tranches salariale'!$Q27*0.65,4)*Basisbedragen!$I$7,2),ROUND(Basisbedragen!$D$48*Basisbedragen!$I$7,2)),ROUND(ROUND(Basisbedragen!$D$30*0.65,4)*Basisbedragen!$I$7,2))&lt;= Basisbedragen!$I$8,MIN(MAX(ROUND(ROUND('Loonschijven_Tranches salariale'!$Q27*0.65,4)*Basisbedragen!$I$2,2),ROUND(Basisbedragen!$D$48*Basisbedragen!$I$2,2)),ROUND(ROUND(Basisbedragen!$D$30*0.65,4)*Basisbedragen!$I$2,2)),MIN(MAX(ROUND(ROUND('Loonschijven_Tranches salariale'!$Q27*0.65,4)*Basisbedragen!$I$7,2),ROUND(Basisbedragen!$D$48*Basisbedragen!$I$7,2)),ROUND(ROUND(Basisbedragen!$D$30*0.65,4)*Basisbedragen!$I$7,2))+Basisbedragen!$I$10)</f>
        <v>70.14</v>
      </c>
      <c r="D27" s="52">
        <f>IF(MIN(MAX(ROUND(ROUND('Loonschijven_Tranches salariale'!$Q27*0.6,4)*Basisbedragen!$I$7,2),ROUND(Basisbedragen!$D$49*Basisbedragen!$I$7,2)),ROUND(ROUND(Basisbedragen!$D$30*0.6,4)*Basisbedragen!$I$7,2))&lt;= Basisbedragen!$I$8,MIN(MAX(ROUND(ROUND('Loonschijven_Tranches salariale'!$Q27*0.6,4)*Basisbedragen!$I$2,2),ROUND(Basisbedragen!$D$49*Basisbedragen!$I$2,2)),ROUND(ROUND(Basisbedragen!$D$30*0.6,4)*Basisbedragen!$I$2,2)),MIN(MAX(ROUND(ROUND('Loonschijven_Tranches salariale'!$Q27*0.6,4)*Basisbedragen!$I$7,2),ROUND(Basisbedragen!$D$49*Basisbedragen!$I$7,2)),ROUND(ROUND(Basisbedragen!$D$30*0.6,4)*Basisbedragen!$I$7,2))+Basisbedragen!$I$10)</f>
        <v>64.739999999999995</v>
      </c>
      <c r="F27" s="448">
        <f t="shared" si="3"/>
        <v>84.17</v>
      </c>
      <c r="H27" s="52">
        <f t="shared" si="4"/>
        <v>77.69</v>
      </c>
      <c r="J27" s="52">
        <f>MIN(MAX(ROUND(ROUND('Loonschijven_Tranches salariale'!$Q27*0.65,4)*Basisbedragen!$I$2,2),ROUND(Basisbedragen!$D$73*Basisbedragen!$I$2,2)),ROUND(ROUND(Basisbedragen!$D$31*0.65,4)*Basisbedragen!$I$2,2))</f>
        <v>56.48</v>
      </c>
      <c r="L27" s="52">
        <f>ROUND(MIN(MAX(ROUND(ROUND('Loonschijven_Tranches salariale'!$Q27*0.65,4)*Basisbedragen!$I$2,2),ROUND(Basisbedragen!$D$48*Basisbedragen!$I$2,2)),ROUND(ROUND(Basisbedragen!$D$30*0.65,4)*Basisbedragen!$I$2,2))/2,2)</f>
        <v>35.07</v>
      </c>
      <c r="N27" s="52">
        <f>ROUND(MIN(MAX(ROUND(ROUND('Loonschijven_Tranches salariale'!$Q27*0.6,4)*Basisbedragen!$I$2,2),ROUND(Basisbedragen!$D$49*Basisbedragen!$I$2,2)),ROUND(ROUND(Basisbedragen!$D$30*0.6,4)*Basisbedragen!$I$2,2))/2,2)</f>
        <v>32.369999999999997</v>
      </c>
      <c r="P27" s="52">
        <f t="shared" si="5"/>
        <v>42.08</v>
      </c>
      <c r="R27" s="52">
        <f t="shared" si="6"/>
        <v>38.840000000000003</v>
      </c>
      <c r="T27" s="52">
        <f t="shared" si="7"/>
        <v>28.24</v>
      </c>
    </row>
    <row r="28" spans="1:20" ht="15" hidden="1" outlineLevel="1" thickBot="1">
      <c r="A28" s="47">
        <f t="shared" si="8"/>
        <v>21</v>
      </c>
      <c r="B28" s="52">
        <f>IF(MIN(MAX(ROUND(ROUND('Loonschijven_Tranches salariale'!$Q28*0.65,4)*Basisbedragen!$I$7,2),ROUND(Basisbedragen!$D$48*Basisbedragen!$I$7,2)),ROUND(ROUND(Basisbedragen!$D$30*0.65,4)*Basisbedragen!$I$7,2))&lt;= Basisbedragen!$I$8,MIN(MAX(ROUND(ROUND('Loonschijven_Tranches salariale'!$Q28*0.65,4)*Basisbedragen!$I$2,2),ROUND(Basisbedragen!$D$48*Basisbedragen!$I$2,2)),ROUND(ROUND(Basisbedragen!$D$30*0.65,4)*Basisbedragen!$I$2,2)),MIN(MAX(ROUND(ROUND('Loonschijven_Tranches salariale'!$Q28*0.65,4)*Basisbedragen!$I$7,2),ROUND(Basisbedragen!$D$48*Basisbedragen!$I$7,2)),ROUND(ROUND(Basisbedragen!$D$30*0.65,4)*Basisbedragen!$I$7,2))+Basisbedragen!$I$10)</f>
        <v>70.14</v>
      </c>
      <c r="D28" s="52">
        <f>IF(MIN(MAX(ROUND(ROUND('Loonschijven_Tranches salariale'!$Q28*0.6,4)*Basisbedragen!$I$7,2),ROUND(Basisbedragen!$D$49*Basisbedragen!$I$7,2)),ROUND(ROUND(Basisbedragen!$D$30*0.6,4)*Basisbedragen!$I$7,2))&lt;= Basisbedragen!$I$8,MIN(MAX(ROUND(ROUND('Loonschijven_Tranches salariale'!$Q28*0.6,4)*Basisbedragen!$I$2,2),ROUND(Basisbedragen!$D$49*Basisbedragen!$I$2,2)),ROUND(ROUND(Basisbedragen!$D$30*0.6,4)*Basisbedragen!$I$2,2)),MIN(MAX(ROUND(ROUND('Loonschijven_Tranches salariale'!$Q28*0.6,4)*Basisbedragen!$I$7,2),ROUND(Basisbedragen!$D$49*Basisbedragen!$I$7,2)),ROUND(ROUND(Basisbedragen!$D$30*0.6,4)*Basisbedragen!$I$7,2))+Basisbedragen!$I$10)</f>
        <v>64.739999999999995</v>
      </c>
      <c r="F28" s="448">
        <f t="shared" si="3"/>
        <v>84.17</v>
      </c>
      <c r="H28" s="52">
        <f t="shared" si="4"/>
        <v>77.69</v>
      </c>
      <c r="J28" s="52">
        <f>MIN(MAX(ROUND(ROUND('Loonschijven_Tranches salariale'!$Q28*0.65,4)*Basisbedragen!$I$2,2),ROUND(Basisbedragen!$D$73*Basisbedragen!$I$2,2)),ROUND(ROUND(Basisbedragen!$D$31*0.65,4)*Basisbedragen!$I$2,2))</f>
        <v>56.48</v>
      </c>
      <c r="L28" s="52">
        <f>ROUND(MIN(MAX(ROUND(ROUND('Loonschijven_Tranches salariale'!$Q28*0.65,4)*Basisbedragen!$I$2,2),ROUND(Basisbedragen!$D$48*Basisbedragen!$I$2,2)),ROUND(ROUND(Basisbedragen!$D$30*0.65,4)*Basisbedragen!$I$2,2))/2,2)</f>
        <v>35.07</v>
      </c>
      <c r="N28" s="52">
        <f>ROUND(MIN(MAX(ROUND(ROUND('Loonschijven_Tranches salariale'!$Q28*0.6,4)*Basisbedragen!$I$2,2),ROUND(Basisbedragen!$D$49*Basisbedragen!$I$2,2)),ROUND(ROUND(Basisbedragen!$D$30*0.6,4)*Basisbedragen!$I$2,2))/2,2)</f>
        <v>32.369999999999997</v>
      </c>
      <c r="P28" s="52">
        <f t="shared" si="5"/>
        <v>42.08</v>
      </c>
      <c r="R28" s="52">
        <f t="shared" si="6"/>
        <v>38.840000000000003</v>
      </c>
      <c r="T28" s="52">
        <f t="shared" si="7"/>
        <v>28.24</v>
      </c>
    </row>
    <row r="29" spans="1:20" ht="15" hidden="1" outlineLevel="1" thickBot="1">
      <c r="A29" s="47">
        <f t="shared" si="8"/>
        <v>22</v>
      </c>
      <c r="B29" s="52">
        <f>IF(MIN(MAX(ROUND(ROUND('Loonschijven_Tranches salariale'!$Q29*0.65,4)*Basisbedragen!$I$7,2),ROUND(Basisbedragen!$D$48*Basisbedragen!$I$7,2)),ROUND(ROUND(Basisbedragen!$D$30*0.65,4)*Basisbedragen!$I$7,2))&lt;= Basisbedragen!$I$8,MIN(MAX(ROUND(ROUND('Loonschijven_Tranches salariale'!$Q29*0.65,4)*Basisbedragen!$I$2,2),ROUND(Basisbedragen!$D$48*Basisbedragen!$I$2,2)),ROUND(ROUND(Basisbedragen!$D$30*0.65,4)*Basisbedragen!$I$2,2)),MIN(MAX(ROUND(ROUND('Loonschijven_Tranches salariale'!$Q29*0.65,4)*Basisbedragen!$I$7,2),ROUND(Basisbedragen!$D$48*Basisbedragen!$I$7,2)),ROUND(ROUND(Basisbedragen!$D$30*0.65,4)*Basisbedragen!$I$7,2))+Basisbedragen!$I$10)</f>
        <v>70.14</v>
      </c>
      <c r="D29" s="52">
        <f>IF(MIN(MAX(ROUND(ROUND('Loonschijven_Tranches salariale'!$Q29*0.6,4)*Basisbedragen!$I$7,2),ROUND(Basisbedragen!$D$49*Basisbedragen!$I$7,2)),ROUND(ROUND(Basisbedragen!$D$30*0.6,4)*Basisbedragen!$I$7,2))&lt;= Basisbedragen!$I$8,MIN(MAX(ROUND(ROUND('Loonschijven_Tranches salariale'!$Q29*0.6,4)*Basisbedragen!$I$2,2),ROUND(Basisbedragen!$D$49*Basisbedragen!$I$2,2)),ROUND(ROUND(Basisbedragen!$D$30*0.6,4)*Basisbedragen!$I$2,2)),MIN(MAX(ROUND(ROUND('Loonschijven_Tranches salariale'!$Q29*0.6,4)*Basisbedragen!$I$7,2),ROUND(Basisbedragen!$D$49*Basisbedragen!$I$7,2)),ROUND(ROUND(Basisbedragen!$D$30*0.6,4)*Basisbedragen!$I$7,2))+Basisbedragen!$I$10)</f>
        <v>64.739999999999995</v>
      </c>
      <c r="F29" s="448">
        <f t="shared" si="3"/>
        <v>84.17</v>
      </c>
      <c r="H29" s="52">
        <f t="shared" si="4"/>
        <v>77.69</v>
      </c>
      <c r="J29" s="52">
        <f>MIN(MAX(ROUND(ROUND('Loonschijven_Tranches salariale'!$Q29*0.65,4)*Basisbedragen!$I$2,2),ROUND(Basisbedragen!$D$73*Basisbedragen!$I$2,2)),ROUND(ROUND(Basisbedragen!$D$31*0.65,4)*Basisbedragen!$I$2,2))</f>
        <v>56.48</v>
      </c>
      <c r="L29" s="52">
        <f>ROUND(MIN(MAX(ROUND(ROUND('Loonschijven_Tranches salariale'!$Q29*0.65,4)*Basisbedragen!$I$2,2),ROUND(Basisbedragen!$D$48*Basisbedragen!$I$2,2)),ROUND(ROUND(Basisbedragen!$D$30*0.65,4)*Basisbedragen!$I$2,2))/2,2)</f>
        <v>35.07</v>
      </c>
      <c r="N29" s="52">
        <f>ROUND(MIN(MAX(ROUND(ROUND('Loonschijven_Tranches salariale'!$Q29*0.6,4)*Basisbedragen!$I$2,2),ROUND(Basisbedragen!$D$49*Basisbedragen!$I$2,2)),ROUND(ROUND(Basisbedragen!$D$30*0.6,4)*Basisbedragen!$I$2,2))/2,2)</f>
        <v>32.369999999999997</v>
      </c>
      <c r="P29" s="52">
        <f t="shared" si="5"/>
        <v>42.08</v>
      </c>
      <c r="R29" s="52">
        <f t="shared" si="6"/>
        <v>38.840000000000003</v>
      </c>
      <c r="T29" s="52">
        <f t="shared" si="7"/>
        <v>28.24</v>
      </c>
    </row>
    <row r="30" spans="1:20" ht="15" hidden="1" outlineLevel="1" thickBot="1">
      <c r="A30" s="47">
        <f t="shared" si="8"/>
        <v>23</v>
      </c>
      <c r="B30" s="52">
        <f>IF(MIN(MAX(ROUND(ROUND('Loonschijven_Tranches salariale'!$Q30*0.65,4)*Basisbedragen!$I$7,2),ROUND(Basisbedragen!$D$48*Basisbedragen!$I$7,2)),ROUND(ROUND(Basisbedragen!$D$30*0.65,4)*Basisbedragen!$I$7,2))&lt;= Basisbedragen!$I$8,MIN(MAX(ROUND(ROUND('Loonschijven_Tranches salariale'!$Q30*0.65,4)*Basisbedragen!$I$2,2),ROUND(Basisbedragen!$D$48*Basisbedragen!$I$2,2)),ROUND(ROUND(Basisbedragen!$D$30*0.65,4)*Basisbedragen!$I$2,2)),MIN(MAX(ROUND(ROUND('Loonschijven_Tranches salariale'!$Q30*0.65,4)*Basisbedragen!$I$7,2),ROUND(Basisbedragen!$D$48*Basisbedragen!$I$7,2)),ROUND(ROUND(Basisbedragen!$D$30*0.65,4)*Basisbedragen!$I$7,2))+Basisbedragen!$I$10)</f>
        <v>70.14</v>
      </c>
      <c r="D30" s="52">
        <f>IF(MIN(MAX(ROUND(ROUND('Loonschijven_Tranches salariale'!$Q30*0.6,4)*Basisbedragen!$I$7,2),ROUND(Basisbedragen!$D$49*Basisbedragen!$I$7,2)),ROUND(ROUND(Basisbedragen!$D$30*0.6,4)*Basisbedragen!$I$7,2))&lt;= Basisbedragen!$I$8,MIN(MAX(ROUND(ROUND('Loonschijven_Tranches salariale'!$Q30*0.6,4)*Basisbedragen!$I$2,2),ROUND(Basisbedragen!$D$49*Basisbedragen!$I$2,2)),ROUND(ROUND(Basisbedragen!$D$30*0.6,4)*Basisbedragen!$I$2,2)),MIN(MAX(ROUND(ROUND('Loonschijven_Tranches salariale'!$Q30*0.6,4)*Basisbedragen!$I$7,2),ROUND(Basisbedragen!$D$49*Basisbedragen!$I$7,2)),ROUND(ROUND(Basisbedragen!$D$30*0.6,4)*Basisbedragen!$I$7,2))+Basisbedragen!$I$10)</f>
        <v>64.739999999999995</v>
      </c>
      <c r="F30" s="448">
        <f t="shared" si="3"/>
        <v>84.17</v>
      </c>
      <c r="H30" s="52">
        <f t="shared" si="4"/>
        <v>77.69</v>
      </c>
      <c r="J30" s="52">
        <f>MIN(MAX(ROUND(ROUND('Loonschijven_Tranches salariale'!$Q30*0.65,4)*Basisbedragen!$I$2,2),ROUND(Basisbedragen!$D$73*Basisbedragen!$I$2,2)),ROUND(ROUND(Basisbedragen!$D$31*0.65,4)*Basisbedragen!$I$2,2))</f>
        <v>56.48</v>
      </c>
      <c r="L30" s="52">
        <f>ROUND(MIN(MAX(ROUND(ROUND('Loonschijven_Tranches salariale'!$Q30*0.65,4)*Basisbedragen!$I$2,2),ROUND(Basisbedragen!$D$48*Basisbedragen!$I$2,2)),ROUND(ROUND(Basisbedragen!$D$30*0.65,4)*Basisbedragen!$I$2,2))/2,2)</f>
        <v>35.07</v>
      </c>
      <c r="N30" s="52">
        <f>ROUND(MIN(MAX(ROUND(ROUND('Loonschijven_Tranches salariale'!$Q30*0.6,4)*Basisbedragen!$I$2,2),ROUND(Basisbedragen!$D$49*Basisbedragen!$I$2,2)),ROUND(ROUND(Basisbedragen!$D$30*0.6,4)*Basisbedragen!$I$2,2))/2,2)</f>
        <v>32.369999999999997</v>
      </c>
      <c r="P30" s="52">
        <f t="shared" si="5"/>
        <v>42.08</v>
      </c>
      <c r="R30" s="52">
        <f t="shared" si="6"/>
        <v>38.840000000000003</v>
      </c>
      <c r="T30" s="52">
        <f t="shared" si="7"/>
        <v>28.24</v>
      </c>
    </row>
    <row r="31" spans="1:20" ht="15" hidden="1" outlineLevel="1" thickBot="1">
      <c r="A31" s="47">
        <f t="shared" si="8"/>
        <v>24</v>
      </c>
      <c r="B31" s="52">
        <f>IF(MIN(MAX(ROUND(ROUND('Loonschijven_Tranches salariale'!$Q31*0.65,4)*Basisbedragen!$I$7,2),ROUND(Basisbedragen!$D$48*Basisbedragen!$I$7,2)),ROUND(ROUND(Basisbedragen!$D$30*0.65,4)*Basisbedragen!$I$7,2))&lt;= Basisbedragen!$I$8,MIN(MAX(ROUND(ROUND('Loonschijven_Tranches salariale'!$Q31*0.65,4)*Basisbedragen!$I$2,2),ROUND(Basisbedragen!$D$48*Basisbedragen!$I$2,2)),ROUND(ROUND(Basisbedragen!$D$30*0.65,4)*Basisbedragen!$I$2,2)),MIN(MAX(ROUND(ROUND('Loonschijven_Tranches salariale'!$Q31*0.65,4)*Basisbedragen!$I$7,2),ROUND(Basisbedragen!$D$48*Basisbedragen!$I$7,2)),ROUND(ROUND(Basisbedragen!$D$30*0.65,4)*Basisbedragen!$I$7,2))+Basisbedragen!$I$10)</f>
        <v>70.14</v>
      </c>
      <c r="D31" s="52">
        <f>IF(MIN(MAX(ROUND(ROUND('Loonschijven_Tranches salariale'!$Q31*0.6,4)*Basisbedragen!$I$7,2),ROUND(Basisbedragen!$D$49*Basisbedragen!$I$7,2)),ROUND(ROUND(Basisbedragen!$D$30*0.6,4)*Basisbedragen!$I$7,2))&lt;= Basisbedragen!$I$8,MIN(MAX(ROUND(ROUND('Loonschijven_Tranches salariale'!$Q31*0.6,4)*Basisbedragen!$I$2,2),ROUND(Basisbedragen!$D$49*Basisbedragen!$I$2,2)),ROUND(ROUND(Basisbedragen!$D$30*0.6,4)*Basisbedragen!$I$2,2)),MIN(MAX(ROUND(ROUND('Loonschijven_Tranches salariale'!$Q31*0.6,4)*Basisbedragen!$I$7,2),ROUND(Basisbedragen!$D$49*Basisbedragen!$I$7,2)),ROUND(ROUND(Basisbedragen!$D$30*0.6,4)*Basisbedragen!$I$7,2))+Basisbedragen!$I$10)</f>
        <v>64.739999999999995</v>
      </c>
      <c r="F31" s="448">
        <f t="shared" si="3"/>
        <v>84.17</v>
      </c>
      <c r="H31" s="52">
        <f t="shared" si="4"/>
        <v>77.69</v>
      </c>
      <c r="J31" s="52">
        <f>MIN(MAX(ROUND(ROUND('Loonschijven_Tranches salariale'!$Q31*0.65,4)*Basisbedragen!$I$2,2),ROUND(Basisbedragen!$D$73*Basisbedragen!$I$2,2)),ROUND(ROUND(Basisbedragen!$D$31*0.65,4)*Basisbedragen!$I$2,2))</f>
        <v>56.48</v>
      </c>
      <c r="L31" s="52">
        <f>ROUND(MIN(MAX(ROUND(ROUND('Loonschijven_Tranches salariale'!$Q31*0.65,4)*Basisbedragen!$I$2,2),ROUND(Basisbedragen!$D$48*Basisbedragen!$I$2,2)),ROUND(ROUND(Basisbedragen!$D$30*0.65,4)*Basisbedragen!$I$2,2))/2,2)</f>
        <v>35.07</v>
      </c>
      <c r="N31" s="52">
        <f>ROUND(MIN(MAX(ROUND(ROUND('Loonschijven_Tranches salariale'!$Q31*0.6,4)*Basisbedragen!$I$2,2),ROUND(Basisbedragen!$D$49*Basisbedragen!$I$2,2)),ROUND(ROUND(Basisbedragen!$D$30*0.6,4)*Basisbedragen!$I$2,2))/2,2)</f>
        <v>32.369999999999997</v>
      </c>
      <c r="P31" s="52">
        <f t="shared" si="5"/>
        <v>42.08</v>
      </c>
      <c r="R31" s="52">
        <f t="shared" si="6"/>
        <v>38.840000000000003</v>
      </c>
      <c r="T31" s="52">
        <f t="shared" si="7"/>
        <v>28.24</v>
      </c>
    </row>
    <row r="32" spans="1:20" ht="15" hidden="1" outlineLevel="1" thickBot="1">
      <c r="A32" s="47">
        <f t="shared" si="8"/>
        <v>25</v>
      </c>
      <c r="B32" s="52">
        <f>IF(MIN(MAX(ROUND(ROUND('Loonschijven_Tranches salariale'!$Q32*0.65,4)*Basisbedragen!$I$7,2),ROUND(Basisbedragen!$D$48*Basisbedragen!$I$7,2)),ROUND(ROUND(Basisbedragen!$D$30*0.65,4)*Basisbedragen!$I$7,2))&lt;= Basisbedragen!$I$8,MIN(MAX(ROUND(ROUND('Loonschijven_Tranches salariale'!$Q32*0.65,4)*Basisbedragen!$I$2,2),ROUND(Basisbedragen!$D$48*Basisbedragen!$I$2,2)),ROUND(ROUND(Basisbedragen!$D$30*0.65,4)*Basisbedragen!$I$2,2)),MIN(MAX(ROUND(ROUND('Loonschijven_Tranches salariale'!$Q32*0.65,4)*Basisbedragen!$I$7,2),ROUND(Basisbedragen!$D$48*Basisbedragen!$I$7,2)),ROUND(ROUND(Basisbedragen!$D$30*0.65,4)*Basisbedragen!$I$7,2))+Basisbedragen!$I$10)</f>
        <v>70.14</v>
      </c>
      <c r="D32" s="52">
        <f>IF(MIN(MAX(ROUND(ROUND('Loonschijven_Tranches salariale'!$Q32*0.6,4)*Basisbedragen!$I$7,2),ROUND(Basisbedragen!$D$49*Basisbedragen!$I$7,2)),ROUND(ROUND(Basisbedragen!$D$30*0.6,4)*Basisbedragen!$I$7,2))&lt;= Basisbedragen!$I$8,MIN(MAX(ROUND(ROUND('Loonschijven_Tranches salariale'!$Q32*0.6,4)*Basisbedragen!$I$2,2),ROUND(Basisbedragen!$D$49*Basisbedragen!$I$2,2)),ROUND(ROUND(Basisbedragen!$D$30*0.6,4)*Basisbedragen!$I$2,2)),MIN(MAX(ROUND(ROUND('Loonschijven_Tranches salariale'!$Q32*0.6,4)*Basisbedragen!$I$7,2),ROUND(Basisbedragen!$D$49*Basisbedragen!$I$7,2)),ROUND(ROUND(Basisbedragen!$D$30*0.6,4)*Basisbedragen!$I$7,2))+Basisbedragen!$I$10)</f>
        <v>64.739999999999995</v>
      </c>
      <c r="F32" s="448">
        <f t="shared" si="3"/>
        <v>84.17</v>
      </c>
      <c r="H32" s="52">
        <f t="shared" si="4"/>
        <v>77.69</v>
      </c>
      <c r="J32" s="52">
        <f>MIN(MAX(ROUND(ROUND('Loonschijven_Tranches salariale'!$Q32*0.65,4)*Basisbedragen!$I$2,2),ROUND(Basisbedragen!$D$73*Basisbedragen!$I$2,2)),ROUND(ROUND(Basisbedragen!$D$31*0.65,4)*Basisbedragen!$I$2,2))</f>
        <v>56.48</v>
      </c>
      <c r="L32" s="52">
        <f>ROUND(MIN(MAX(ROUND(ROUND('Loonschijven_Tranches salariale'!$Q32*0.65,4)*Basisbedragen!$I$2,2),ROUND(Basisbedragen!$D$48*Basisbedragen!$I$2,2)),ROUND(ROUND(Basisbedragen!$D$30*0.65,4)*Basisbedragen!$I$2,2))/2,2)</f>
        <v>35.07</v>
      </c>
      <c r="N32" s="52">
        <f>ROUND(MIN(MAX(ROUND(ROUND('Loonschijven_Tranches salariale'!$Q32*0.6,4)*Basisbedragen!$I$2,2),ROUND(Basisbedragen!$D$49*Basisbedragen!$I$2,2)),ROUND(ROUND(Basisbedragen!$D$30*0.6,4)*Basisbedragen!$I$2,2))/2,2)</f>
        <v>32.369999999999997</v>
      </c>
      <c r="P32" s="52">
        <f t="shared" si="5"/>
        <v>42.08</v>
      </c>
      <c r="R32" s="52">
        <f t="shared" si="6"/>
        <v>38.840000000000003</v>
      </c>
      <c r="T32" s="52">
        <f t="shared" si="7"/>
        <v>28.24</v>
      </c>
    </row>
    <row r="33" spans="1:20" ht="15" hidden="1" outlineLevel="1" thickBot="1">
      <c r="A33" s="47">
        <f t="shared" si="8"/>
        <v>26</v>
      </c>
      <c r="B33" s="52">
        <f>IF(MIN(MAX(ROUND(ROUND('Loonschijven_Tranches salariale'!$Q33*0.65,4)*Basisbedragen!$I$7,2),ROUND(Basisbedragen!$D$48*Basisbedragen!$I$7,2)),ROUND(ROUND(Basisbedragen!$D$30*0.65,4)*Basisbedragen!$I$7,2))&lt;= Basisbedragen!$I$8,MIN(MAX(ROUND(ROUND('Loonschijven_Tranches salariale'!$Q33*0.65,4)*Basisbedragen!$I$2,2),ROUND(Basisbedragen!$D$48*Basisbedragen!$I$2,2)),ROUND(ROUND(Basisbedragen!$D$30*0.65,4)*Basisbedragen!$I$2,2)),MIN(MAX(ROUND(ROUND('Loonschijven_Tranches salariale'!$Q33*0.65,4)*Basisbedragen!$I$7,2),ROUND(Basisbedragen!$D$48*Basisbedragen!$I$7,2)),ROUND(ROUND(Basisbedragen!$D$30*0.65,4)*Basisbedragen!$I$7,2))+Basisbedragen!$I$10)</f>
        <v>70.14</v>
      </c>
      <c r="D33" s="52">
        <f>IF(MIN(MAX(ROUND(ROUND('Loonschijven_Tranches salariale'!$Q33*0.6,4)*Basisbedragen!$I$7,2),ROUND(Basisbedragen!$D$49*Basisbedragen!$I$7,2)),ROUND(ROUND(Basisbedragen!$D$30*0.6,4)*Basisbedragen!$I$7,2))&lt;= Basisbedragen!$I$8,MIN(MAX(ROUND(ROUND('Loonschijven_Tranches salariale'!$Q33*0.6,4)*Basisbedragen!$I$2,2),ROUND(Basisbedragen!$D$49*Basisbedragen!$I$2,2)),ROUND(ROUND(Basisbedragen!$D$30*0.6,4)*Basisbedragen!$I$2,2)),MIN(MAX(ROUND(ROUND('Loonschijven_Tranches salariale'!$Q33*0.6,4)*Basisbedragen!$I$7,2),ROUND(Basisbedragen!$D$49*Basisbedragen!$I$7,2)),ROUND(ROUND(Basisbedragen!$D$30*0.6,4)*Basisbedragen!$I$7,2))+Basisbedragen!$I$10)</f>
        <v>64.739999999999995</v>
      </c>
      <c r="F33" s="448">
        <f t="shared" si="3"/>
        <v>84.17</v>
      </c>
      <c r="H33" s="52">
        <f t="shared" si="4"/>
        <v>77.69</v>
      </c>
      <c r="J33" s="52">
        <f>MIN(MAX(ROUND(ROUND('Loonschijven_Tranches salariale'!$Q33*0.65,4)*Basisbedragen!$I$2,2),ROUND(Basisbedragen!$D$73*Basisbedragen!$I$2,2)),ROUND(ROUND(Basisbedragen!$D$31*0.65,4)*Basisbedragen!$I$2,2))</f>
        <v>56.48</v>
      </c>
      <c r="L33" s="52">
        <f>ROUND(MIN(MAX(ROUND(ROUND('Loonschijven_Tranches salariale'!$Q33*0.65,4)*Basisbedragen!$I$2,2),ROUND(Basisbedragen!$D$48*Basisbedragen!$I$2,2)),ROUND(ROUND(Basisbedragen!$D$30*0.65,4)*Basisbedragen!$I$2,2))/2,2)</f>
        <v>35.07</v>
      </c>
      <c r="N33" s="52">
        <f>ROUND(MIN(MAX(ROUND(ROUND('Loonschijven_Tranches salariale'!$Q33*0.6,4)*Basisbedragen!$I$2,2),ROUND(Basisbedragen!$D$49*Basisbedragen!$I$2,2)),ROUND(ROUND(Basisbedragen!$D$30*0.6,4)*Basisbedragen!$I$2,2))/2,2)</f>
        <v>32.369999999999997</v>
      </c>
      <c r="P33" s="52">
        <f t="shared" si="5"/>
        <v>42.08</v>
      </c>
      <c r="R33" s="52">
        <f t="shared" si="6"/>
        <v>38.840000000000003</v>
      </c>
      <c r="T33" s="52">
        <f t="shared" si="7"/>
        <v>28.24</v>
      </c>
    </row>
    <row r="34" spans="1:20" ht="15" hidden="1" outlineLevel="1" thickBot="1">
      <c r="A34" s="47">
        <f t="shared" si="8"/>
        <v>27</v>
      </c>
      <c r="B34" s="52">
        <f>IF(MIN(MAX(ROUND(ROUND('Loonschijven_Tranches salariale'!$Q34*0.65,4)*Basisbedragen!$I$7,2),ROUND(Basisbedragen!$D$48*Basisbedragen!$I$7,2)),ROUND(ROUND(Basisbedragen!$D$30*0.65,4)*Basisbedragen!$I$7,2))&lt;= Basisbedragen!$I$8,MIN(MAX(ROUND(ROUND('Loonschijven_Tranches salariale'!$Q34*0.65,4)*Basisbedragen!$I$2,2),ROUND(Basisbedragen!$D$48*Basisbedragen!$I$2,2)),ROUND(ROUND(Basisbedragen!$D$30*0.65,4)*Basisbedragen!$I$2,2)),MIN(MAX(ROUND(ROUND('Loonschijven_Tranches salariale'!$Q34*0.65,4)*Basisbedragen!$I$7,2),ROUND(Basisbedragen!$D$48*Basisbedragen!$I$7,2)),ROUND(ROUND(Basisbedragen!$D$30*0.65,4)*Basisbedragen!$I$7,2))+Basisbedragen!$I$10)</f>
        <v>70.14</v>
      </c>
      <c r="D34" s="52">
        <f>IF(MIN(MAX(ROUND(ROUND('Loonschijven_Tranches salariale'!$Q34*0.6,4)*Basisbedragen!$I$7,2),ROUND(Basisbedragen!$D$49*Basisbedragen!$I$7,2)),ROUND(ROUND(Basisbedragen!$D$30*0.6,4)*Basisbedragen!$I$7,2))&lt;= Basisbedragen!$I$8,MIN(MAX(ROUND(ROUND('Loonschijven_Tranches salariale'!$Q34*0.6,4)*Basisbedragen!$I$2,2),ROUND(Basisbedragen!$D$49*Basisbedragen!$I$2,2)),ROUND(ROUND(Basisbedragen!$D$30*0.6,4)*Basisbedragen!$I$2,2)),MIN(MAX(ROUND(ROUND('Loonschijven_Tranches salariale'!$Q34*0.6,4)*Basisbedragen!$I$7,2),ROUND(Basisbedragen!$D$49*Basisbedragen!$I$7,2)),ROUND(ROUND(Basisbedragen!$D$30*0.6,4)*Basisbedragen!$I$7,2))+Basisbedragen!$I$10)</f>
        <v>64.739999999999995</v>
      </c>
      <c r="F34" s="448">
        <f t="shared" si="3"/>
        <v>84.17</v>
      </c>
      <c r="H34" s="52">
        <f t="shared" si="4"/>
        <v>77.69</v>
      </c>
      <c r="J34" s="52">
        <f>MIN(MAX(ROUND(ROUND('Loonschijven_Tranches salariale'!$Q34*0.65,4)*Basisbedragen!$I$2,2),ROUND(Basisbedragen!$D$73*Basisbedragen!$I$2,2)),ROUND(ROUND(Basisbedragen!$D$31*0.65,4)*Basisbedragen!$I$2,2))</f>
        <v>56.48</v>
      </c>
      <c r="L34" s="52">
        <f>ROUND(MIN(MAX(ROUND(ROUND('Loonschijven_Tranches salariale'!$Q34*0.65,4)*Basisbedragen!$I$2,2),ROUND(Basisbedragen!$D$48*Basisbedragen!$I$2,2)),ROUND(ROUND(Basisbedragen!$D$30*0.65,4)*Basisbedragen!$I$2,2))/2,2)</f>
        <v>35.07</v>
      </c>
      <c r="N34" s="52">
        <f>ROUND(MIN(MAX(ROUND(ROUND('Loonschijven_Tranches salariale'!$Q34*0.6,4)*Basisbedragen!$I$2,2),ROUND(Basisbedragen!$D$49*Basisbedragen!$I$2,2)),ROUND(ROUND(Basisbedragen!$D$30*0.6,4)*Basisbedragen!$I$2,2))/2,2)</f>
        <v>32.369999999999997</v>
      </c>
      <c r="P34" s="52">
        <f t="shared" si="5"/>
        <v>42.08</v>
      </c>
      <c r="R34" s="52">
        <f t="shared" si="6"/>
        <v>38.840000000000003</v>
      </c>
      <c r="T34" s="52">
        <f t="shared" si="7"/>
        <v>28.24</v>
      </c>
    </row>
    <row r="35" spans="1:20" ht="15" hidden="1" outlineLevel="1" thickBot="1">
      <c r="A35" s="47">
        <f t="shared" si="8"/>
        <v>28</v>
      </c>
      <c r="B35" s="52">
        <f>IF(MIN(MAX(ROUND(ROUND('Loonschijven_Tranches salariale'!$Q35*0.65,4)*Basisbedragen!$I$7,2),ROUND(Basisbedragen!$D$48*Basisbedragen!$I$7,2)),ROUND(ROUND(Basisbedragen!$D$30*0.65,4)*Basisbedragen!$I$7,2))&lt;= Basisbedragen!$I$8,MIN(MAX(ROUND(ROUND('Loonschijven_Tranches salariale'!$Q35*0.65,4)*Basisbedragen!$I$2,2),ROUND(Basisbedragen!$D$48*Basisbedragen!$I$2,2)),ROUND(ROUND(Basisbedragen!$D$30*0.65,4)*Basisbedragen!$I$2,2)),MIN(MAX(ROUND(ROUND('Loonschijven_Tranches salariale'!$Q35*0.65,4)*Basisbedragen!$I$7,2),ROUND(Basisbedragen!$D$48*Basisbedragen!$I$7,2)),ROUND(ROUND(Basisbedragen!$D$30*0.65,4)*Basisbedragen!$I$7,2))+Basisbedragen!$I$10)</f>
        <v>70.14</v>
      </c>
      <c r="D35" s="52">
        <f>IF(MIN(MAX(ROUND(ROUND('Loonschijven_Tranches salariale'!$Q35*0.6,4)*Basisbedragen!$I$7,2),ROUND(Basisbedragen!$D$49*Basisbedragen!$I$7,2)),ROUND(ROUND(Basisbedragen!$D$30*0.6,4)*Basisbedragen!$I$7,2))&lt;= Basisbedragen!$I$8,MIN(MAX(ROUND(ROUND('Loonschijven_Tranches salariale'!$Q35*0.6,4)*Basisbedragen!$I$2,2),ROUND(Basisbedragen!$D$49*Basisbedragen!$I$2,2)),ROUND(ROUND(Basisbedragen!$D$30*0.6,4)*Basisbedragen!$I$2,2)),MIN(MAX(ROUND(ROUND('Loonschijven_Tranches salariale'!$Q35*0.6,4)*Basisbedragen!$I$7,2),ROUND(Basisbedragen!$D$49*Basisbedragen!$I$7,2)),ROUND(ROUND(Basisbedragen!$D$30*0.6,4)*Basisbedragen!$I$7,2))+Basisbedragen!$I$10)</f>
        <v>64.739999999999995</v>
      </c>
      <c r="F35" s="448">
        <f t="shared" si="3"/>
        <v>84.17</v>
      </c>
      <c r="H35" s="52">
        <f t="shared" si="4"/>
        <v>77.69</v>
      </c>
      <c r="J35" s="52">
        <f>MIN(MAX(ROUND(ROUND('Loonschijven_Tranches salariale'!$Q35*0.65,4)*Basisbedragen!$I$2,2),ROUND(Basisbedragen!$D$73*Basisbedragen!$I$2,2)),ROUND(ROUND(Basisbedragen!$D$31*0.65,4)*Basisbedragen!$I$2,2))</f>
        <v>56.48</v>
      </c>
      <c r="L35" s="52">
        <f>ROUND(MIN(MAX(ROUND(ROUND('Loonschijven_Tranches salariale'!$Q35*0.65,4)*Basisbedragen!$I$2,2),ROUND(Basisbedragen!$D$48*Basisbedragen!$I$2,2)),ROUND(ROUND(Basisbedragen!$D$30*0.65,4)*Basisbedragen!$I$2,2))/2,2)</f>
        <v>35.07</v>
      </c>
      <c r="N35" s="52">
        <f>ROUND(MIN(MAX(ROUND(ROUND('Loonschijven_Tranches salariale'!$Q35*0.6,4)*Basisbedragen!$I$2,2),ROUND(Basisbedragen!$D$49*Basisbedragen!$I$2,2)),ROUND(ROUND(Basisbedragen!$D$30*0.6,4)*Basisbedragen!$I$2,2))/2,2)</f>
        <v>32.369999999999997</v>
      </c>
      <c r="P35" s="52">
        <f t="shared" si="5"/>
        <v>42.08</v>
      </c>
      <c r="R35" s="52">
        <f t="shared" si="6"/>
        <v>38.840000000000003</v>
      </c>
      <c r="T35" s="52">
        <f t="shared" si="7"/>
        <v>28.24</v>
      </c>
    </row>
    <row r="36" spans="1:20" ht="15" hidden="1" outlineLevel="1" thickBot="1">
      <c r="A36" s="47">
        <f t="shared" si="8"/>
        <v>29</v>
      </c>
      <c r="B36" s="52">
        <f>IF(MIN(MAX(ROUND(ROUND('Loonschijven_Tranches salariale'!$Q36*0.65,4)*Basisbedragen!$I$7,2),ROUND(Basisbedragen!$D$48*Basisbedragen!$I$7,2)),ROUND(ROUND(Basisbedragen!$D$30*0.65,4)*Basisbedragen!$I$7,2))&lt;= Basisbedragen!$I$8,MIN(MAX(ROUND(ROUND('Loonschijven_Tranches salariale'!$Q36*0.65,4)*Basisbedragen!$I$2,2),ROUND(Basisbedragen!$D$48*Basisbedragen!$I$2,2)),ROUND(ROUND(Basisbedragen!$D$30*0.65,4)*Basisbedragen!$I$2,2)),MIN(MAX(ROUND(ROUND('Loonschijven_Tranches salariale'!$Q36*0.65,4)*Basisbedragen!$I$7,2),ROUND(Basisbedragen!$D$48*Basisbedragen!$I$7,2)),ROUND(ROUND(Basisbedragen!$D$30*0.65,4)*Basisbedragen!$I$7,2))+Basisbedragen!$I$10)</f>
        <v>70.14</v>
      </c>
      <c r="D36" s="52">
        <f>IF(MIN(MAX(ROUND(ROUND('Loonschijven_Tranches salariale'!$Q36*0.6,4)*Basisbedragen!$I$7,2),ROUND(Basisbedragen!$D$49*Basisbedragen!$I$7,2)),ROUND(ROUND(Basisbedragen!$D$30*0.6,4)*Basisbedragen!$I$7,2))&lt;= Basisbedragen!$I$8,MIN(MAX(ROUND(ROUND('Loonschijven_Tranches salariale'!$Q36*0.6,4)*Basisbedragen!$I$2,2),ROUND(Basisbedragen!$D$49*Basisbedragen!$I$2,2)),ROUND(ROUND(Basisbedragen!$D$30*0.6,4)*Basisbedragen!$I$2,2)),MIN(MAX(ROUND(ROUND('Loonschijven_Tranches salariale'!$Q36*0.6,4)*Basisbedragen!$I$7,2),ROUND(Basisbedragen!$D$49*Basisbedragen!$I$7,2)),ROUND(ROUND(Basisbedragen!$D$30*0.6,4)*Basisbedragen!$I$7,2))+Basisbedragen!$I$10)</f>
        <v>64.739999999999995</v>
      </c>
      <c r="F36" s="448">
        <f t="shared" si="3"/>
        <v>84.17</v>
      </c>
      <c r="H36" s="52">
        <f t="shared" si="4"/>
        <v>77.69</v>
      </c>
      <c r="J36" s="52">
        <f>MIN(MAX(ROUND(ROUND('Loonschijven_Tranches salariale'!$Q36*0.65,4)*Basisbedragen!$I$2,2),ROUND(Basisbedragen!$D$73*Basisbedragen!$I$2,2)),ROUND(ROUND(Basisbedragen!$D$31*0.65,4)*Basisbedragen!$I$2,2))</f>
        <v>56.48</v>
      </c>
      <c r="L36" s="52">
        <f>ROUND(MIN(MAX(ROUND(ROUND('Loonschijven_Tranches salariale'!$Q36*0.65,4)*Basisbedragen!$I$2,2),ROUND(Basisbedragen!$D$48*Basisbedragen!$I$2,2)),ROUND(ROUND(Basisbedragen!$D$30*0.65,4)*Basisbedragen!$I$2,2))/2,2)</f>
        <v>35.07</v>
      </c>
      <c r="N36" s="52">
        <f>ROUND(MIN(MAX(ROUND(ROUND('Loonschijven_Tranches salariale'!$Q36*0.6,4)*Basisbedragen!$I$2,2),ROUND(Basisbedragen!$D$49*Basisbedragen!$I$2,2)),ROUND(ROUND(Basisbedragen!$D$30*0.6,4)*Basisbedragen!$I$2,2))/2,2)</f>
        <v>32.369999999999997</v>
      </c>
      <c r="P36" s="52">
        <f t="shared" si="5"/>
        <v>42.08</v>
      </c>
      <c r="R36" s="52">
        <f t="shared" si="6"/>
        <v>38.840000000000003</v>
      </c>
      <c r="T36" s="52">
        <f t="shared" si="7"/>
        <v>28.24</v>
      </c>
    </row>
    <row r="37" spans="1:20" ht="15" hidden="1" outlineLevel="1" thickBot="1">
      <c r="A37" s="47">
        <f t="shared" si="8"/>
        <v>30</v>
      </c>
      <c r="B37" s="52">
        <f>IF(MIN(MAX(ROUND(ROUND('Loonschijven_Tranches salariale'!$Q37*0.65,4)*Basisbedragen!$I$7,2),ROUND(Basisbedragen!$D$48*Basisbedragen!$I$7,2)),ROUND(ROUND(Basisbedragen!$D$30*0.65,4)*Basisbedragen!$I$7,2))&lt;= Basisbedragen!$I$8,MIN(MAX(ROUND(ROUND('Loonschijven_Tranches salariale'!$Q37*0.65,4)*Basisbedragen!$I$2,2),ROUND(Basisbedragen!$D$48*Basisbedragen!$I$2,2)),ROUND(ROUND(Basisbedragen!$D$30*0.65,4)*Basisbedragen!$I$2,2)),MIN(MAX(ROUND(ROUND('Loonschijven_Tranches salariale'!$Q37*0.65,4)*Basisbedragen!$I$7,2),ROUND(Basisbedragen!$D$48*Basisbedragen!$I$7,2)),ROUND(ROUND(Basisbedragen!$D$30*0.65,4)*Basisbedragen!$I$7,2))+Basisbedragen!$I$10)</f>
        <v>70.14</v>
      </c>
      <c r="D37" s="52">
        <f>IF(MIN(MAX(ROUND(ROUND('Loonschijven_Tranches salariale'!$Q37*0.6,4)*Basisbedragen!$I$7,2),ROUND(Basisbedragen!$D$49*Basisbedragen!$I$7,2)),ROUND(ROUND(Basisbedragen!$D$30*0.6,4)*Basisbedragen!$I$7,2))&lt;= Basisbedragen!$I$8,MIN(MAX(ROUND(ROUND('Loonschijven_Tranches salariale'!$Q37*0.6,4)*Basisbedragen!$I$2,2),ROUND(Basisbedragen!$D$49*Basisbedragen!$I$2,2)),ROUND(ROUND(Basisbedragen!$D$30*0.6,4)*Basisbedragen!$I$2,2)),MIN(MAX(ROUND(ROUND('Loonschijven_Tranches salariale'!$Q37*0.6,4)*Basisbedragen!$I$7,2),ROUND(Basisbedragen!$D$49*Basisbedragen!$I$7,2)),ROUND(ROUND(Basisbedragen!$D$30*0.6,4)*Basisbedragen!$I$7,2))+Basisbedragen!$I$10)</f>
        <v>64.739999999999995</v>
      </c>
      <c r="F37" s="448">
        <f t="shared" si="3"/>
        <v>84.17</v>
      </c>
      <c r="H37" s="52">
        <f t="shared" si="4"/>
        <v>77.69</v>
      </c>
      <c r="J37" s="52">
        <f>MIN(MAX(ROUND(ROUND('Loonschijven_Tranches salariale'!$Q37*0.65,4)*Basisbedragen!$I$2,2),ROUND(Basisbedragen!$D$73*Basisbedragen!$I$2,2)),ROUND(ROUND(Basisbedragen!$D$31*0.65,4)*Basisbedragen!$I$2,2))</f>
        <v>56.48</v>
      </c>
      <c r="L37" s="52">
        <f>ROUND(MIN(MAX(ROUND(ROUND('Loonschijven_Tranches salariale'!$Q37*0.65,4)*Basisbedragen!$I$2,2),ROUND(Basisbedragen!$D$48*Basisbedragen!$I$2,2)),ROUND(ROUND(Basisbedragen!$D$30*0.65,4)*Basisbedragen!$I$2,2))/2,2)</f>
        <v>35.07</v>
      </c>
      <c r="N37" s="52">
        <f>ROUND(MIN(MAX(ROUND(ROUND('Loonschijven_Tranches salariale'!$Q37*0.6,4)*Basisbedragen!$I$2,2),ROUND(Basisbedragen!$D$49*Basisbedragen!$I$2,2)),ROUND(ROUND(Basisbedragen!$D$30*0.6,4)*Basisbedragen!$I$2,2))/2,2)</f>
        <v>32.369999999999997</v>
      </c>
      <c r="P37" s="52">
        <f t="shared" si="5"/>
        <v>42.08</v>
      </c>
      <c r="R37" s="52">
        <f t="shared" si="6"/>
        <v>38.840000000000003</v>
      </c>
      <c r="T37" s="52">
        <f t="shared" si="7"/>
        <v>28.24</v>
      </c>
    </row>
    <row r="38" spans="1:20" ht="15" hidden="1" outlineLevel="1" thickBot="1">
      <c r="A38" s="47">
        <f t="shared" si="8"/>
        <v>31</v>
      </c>
      <c r="B38" s="52">
        <f>IF(MIN(MAX(ROUND(ROUND('Loonschijven_Tranches salariale'!$Q38*0.65,4)*Basisbedragen!$I$7,2),ROUND(Basisbedragen!$D$48*Basisbedragen!$I$7,2)),ROUND(ROUND(Basisbedragen!$D$30*0.65,4)*Basisbedragen!$I$7,2))&lt;= Basisbedragen!$I$8,MIN(MAX(ROUND(ROUND('Loonschijven_Tranches salariale'!$Q38*0.65,4)*Basisbedragen!$I$2,2),ROUND(Basisbedragen!$D$48*Basisbedragen!$I$2,2)),ROUND(ROUND(Basisbedragen!$D$30*0.65,4)*Basisbedragen!$I$2,2)),MIN(MAX(ROUND(ROUND('Loonschijven_Tranches salariale'!$Q38*0.65,4)*Basisbedragen!$I$7,2),ROUND(Basisbedragen!$D$48*Basisbedragen!$I$7,2)),ROUND(ROUND(Basisbedragen!$D$30*0.65,4)*Basisbedragen!$I$7,2))+Basisbedragen!$I$10)</f>
        <v>70.14</v>
      </c>
      <c r="D38" s="52">
        <f>IF(MIN(MAX(ROUND(ROUND('Loonschijven_Tranches salariale'!$Q38*0.6,4)*Basisbedragen!$I$7,2),ROUND(Basisbedragen!$D$49*Basisbedragen!$I$7,2)),ROUND(ROUND(Basisbedragen!$D$30*0.6,4)*Basisbedragen!$I$7,2))&lt;= Basisbedragen!$I$8,MIN(MAX(ROUND(ROUND('Loonschijven_Tranches salariale'!$Q38*0.6,4)*Basisbedragen!$I$2,2),ROUND(Basisbedragen!$D$49*Basisbedragen!$I$2,2)),ROUND(ROUND(Basisbedragen!$D$30*0.6,4)*Basisbedragen!$I$2,2)),MIN(MAX(ROUND(ROUND('Loonschijven_Tranches salariale'!$Q38*0.6,4)*Basisbedragen!$I$7,2),ROUND(Basisbedragen!$D$49*Basisbedragen!$I$7,2)),ROUND(ROUND(Basisbedragen!$D$30*0.6,4)*Basisbedragen!$I$7,2))+Basisbedragen!$I$10)</f>
        <v>64.739999999999995</v>
      </c>
      <c r="F38" s="448">
        <f t="shared" si="3"/>
        <v>84.17</v>
      </c>
      <c r="H38" s="52">
        <f t="shared" si="4"/>
        <v>77.69</v>
      </c>
      <c r="J38" s="52">
        <f>MIN(MAX(ROUND(ROUND('Loonschijven_Tranches salariale'!$Q38*0.65,4)*Basisbedragen!$I$2,2),ROUND(Basisbedragen!$D$73*Basisbedragen!$I$2,2)),ROUND(ROUND(Basisbedragen!$D$31*0.65,4)*Basisbedragen!$I$2,2))</f>
        <v>56.48</v>
      </c>
      <c r="L38" s="52">
        <f>ROUND(MIN(MAX(ROUND(ROUND('Loonschijven_Tranches salariale'!$Q38*0.65,4)*Basisbedragen!$I$2,2),ROUND(Basisbedragen!$D$48*Basisbedragen!$I$2,2)),ROUND(ROUND(Basisbedragen!$D$30*0.65,4)*Basisbedragen!$I$2,2))/2,2)</f>
        <v>35.07</v>
      </c>
      <c r="N38" s="52">
        <f>ROUND(MIN(MAX(ROUND(ROUND('Loonschijven_Tranches salariale'!$Q38*0.6,4)*Basisbedragen!$I$2,2),ROUND(Basisbedragen!$D$49*Basisbedragen!$I$2,2)),ROUND(ROUND(Basisbedragen!$D$30*0.6,4)*Basisbedragen!$I$2,2))/2,2)</f>
        <v>32.369999999999997</v>
      </c>
      <c r="P38" s="52">
        <f t="shared" si="5"/>
        <v>42.08</v>
      </c>
      <c r="R38" s="52">
        <f t="shared" si="6"/>
        <v>38.840000000000003</v>
      </c>
      <c r="T38" s="52">
        <f t="shared" si="7"/>
        <v>28.24</v>
      </c>
    </row>
    <row r="39" spans="1:20" ht="15" hidden="1" outlineLevel="1" thickBot="1">
      <c r="A39" s="47">
        <f t="shared" si="8"/>
        <v>32</v>
      </c>
      <c r="B39" s="52">
        <f>IF(MIN(MAX(ROUND(ROUND('Loonschijven_Tranches salariale'!$Q39*0.65,4)*Basisbedragen!$I$7,2),ROUND(Basisbedragen!$D$48*Basisbedragen!$I$7,2)),ROUND(ROUND(Basisbedragen!$D$30*0.65,4)*Basisbedragen!$I$7,2))&lt;= Basisbedragen!$I$8,MIN(MAX(ROUND(ROUND('Loonschijven_Tranches salariale'!$Q39*0.65,4)*Basisbedragen!$I$2,2),ROUND(Basisbedragen!$D$48*Basisbedragen!$I$2,2)),ROUND(ROUND(Basisbedragen!$D$30*0.65,4)*Basisbedragen!$I$2,2)),MIN(MAX(ROUND(ROUND('Loonschijven_Tranches salariale'!$Q39*0.65,4)*Basisbedragen!$I$7,2),ROUND(Basisbedragen!$D$48*Basisbedragen!$I$7,2)),ROUND(ROUND(Basisbedragen!$D$30*0.65,4)*Basisbedragen!$I$7,2))+Basisbedragen!$I$10)</f>
        <v>70.14</v>
      </c>
      <c r="D39" s="52">
        <f>IF(MIN(MAX(ROUND(ROUND('Loonschijven_Tranches salariale'!$Q39*0.6,4)*Basisbedragen!$I$7,2),ROUND(Basisbedragen!$D$49*Basisbedragen!$I$7,2)),ROUND(ROUND(Basisbedragen!$D$30*0.6,4)*Basisbedragen!$I$7,2))&lt;= Basisbedragen!$I$8,MIN(MAX(ROUND(ROUND('Loonschijven_Tranches salariale'!$Q39*0.6,4)*Basisbedragen!$I$2,2),ROUND(Basisbedragen!$D$49*Basisbedragen!$I$2,2)),ROUND(ROUND(Basisbedragen!$D$30*0.6,4)*Basisbedragen!$I$2,2)),MIN(MAX(ROUND(ROUND('Loonschijven_Tranches salariale'!$Q39*0.6,4)*Basisbedragen!$I$7,2),ROUND(Basisbedragen!$D$49*Basisbedragen!$I$7,2)),ROUND(ROUND(Basisbedragen!$D$30*0.6,4)*Basisbedragen!$I$7,2))+Basisbedragen!$I$10)</f>
        <v>64.739999999999995</v>
      </c>
      <c r="F39" s="448">
        <f t="shared" si="3"/>
        <v>84.17</v>
      </c>
      <c r="H39" s="52">
        <f t="shared" si="4"/>
        <v>77.69</v>
      </c>
      <c r="J39" s="52">
        <f>MIN(MAX(ROUND(ROUND('Loonschijven_Tranches salariale'!$Q39*0.65,4)*Basisbedragen!$I$2,2),ROUND(Basisbedragen!$D$73*Basisbedragen!$I$2,2)),ROUND(ROUND(Basisbedragen!$D$31*0.65,4)*Basisbedragen!$I$2,2))</f>
        <v>56.48</v>
      </c>
      <c r="L39" s="52">
        <f>ROUND(MIN(MAX(ROUND(ROUND('Loonschijven_Tranches salariale'!$Q39*0.65,4)*Basisbedragen!$I$2,2),ROUND(Basisbedragen!$D$48*Basisbedragen!$I$2,2)),ROUND(ROUND(Basisbedragen!$D$30*0.65,4)*Basisbedragen!$I$2,2))/2,2)</f>
        <v>35.07</v>
      </c>
      <c r="N39" s="52">
        <f>ROUND(MIN(MAX(ROUND(ROUND('Loonschijven_Tranches salariale'!$Q39*0.6,4)*Basisbedragen!$I$2,2),ROUND(Basisbedragen!$D$49*Basisbedragen!$I$2,2)),ROUND(ROUND(Basisbedragen!$D$30*0.6,4)*Basisbedragen!$I$2,2))/2,2)</f>
        <v>32.369999999999997</v>
      </c>
      <c r="P39" s="52">
        <f t="shared" si="5"/>
        <v>42.08</v>
      </c>
      <c r="R39" s="52">
        <f t="shared" si="6"/>
        <v>38.840000000000003</v>
      </c>
      <c r="T39" s="52">
        <f t="shared" si="7"/>
        <v>28.24</v>
      </c>
    </row>
    <row r="40" spans="1:20" ht="15" hidden="1" outlineLevel="1" thickBot="1">
      <c r="A40" s="47">
        <f t="shared" si="8"/>
        <v>33</v>
      </c>
      <c r="B40" s="52">
        <f>IF(MIN(MAX(ROUND(ROUND('Loonschijven_Tranches salariale'!$Q40*0.65,4)*Basisbedragen!$I$7,2),ROUND(Basisbedragen!$D$48*Basisbedragen!$I$7,2)),ROUND(ROUND(Basisbedragen!$D$30*0.65,4)*Basisbedragen!$I$7,2))&lt;= Basisbedragen!$I$8,MIN(MAX(ROUND(ROUND('Loonschijven_Tranches salariale'!$Q40*0.65,4)*Basisbedragen!$I$2,2),ROUND(Basisbedragen!$D$48*Basisbedragen!$I$2,2)),ROUND(ROUND(Basisbedragen!$D$30*0.65,4)*Basisbedragen!$I$2,2)),MIN(MAX(ROUND(ROUND('Loonschijven_Tranches salariale'!$Q40*0.65,4)*Basisbedragen!$I$7,2),ROUND(Basisbedragen!$D$48*Basisbedragen!$I$7,2)),ROUND(ROUND(Basisbedragen!$D$30*0.65,4)*Basisbedragen!$I$7,2))+Basisbedragen!$I$10)</f>
        <v>70.14</v>
      </c>
      <c r="D40" s="52">
        <f>IF(MIN(MAX(ROUND(ROUND('Loonschijven_Tranches salariale'!$Q40*0.6,4)*Basisbedragen!$I$7,2),ROUND(Basisbedragen!$D$49*Basisbedragen!$I$7,2)),ROUND(ROUND(Basisbedragen!$D$30*0.6,4)*Basisbedragen!$I$7,2))&lt;= Basisbedragen!$I$8,MIN(MAX(ROUND(ROUND('Loonschijven_Tranches salariale'!$Q40*0.6,4)*Basisbedragen!$I$2,2),ROUND(Basisbedragen!$D$49*Basisbedragen!$I$2,2)),ROUND(ROUND(Basisbedragen!$D$30*0.6,4)*Basisbedragen!$I$2,2)),MIN(MAX(ROUND(ROUND('Loonschijven_Tranches salariale'!$Q40*0.6,4)*Basisbedragen!$I$7,2),ROUND(Basisbedragen!$D$49*Basisbedragen!$I$7,2)),ROUND(ROUND(Basisbedragen!$D$30*0.6,4)*Basisbedragen!$I$7,2))+Basisbedragen!$I$10)</f>
        <v>64.739999999999995</v>
      </c>
      <c r="F40" s="448">
        <f t="shared" si="3"/>
        <v>84.17</v>
      </c>
      <c r="H40" s="52">
        <f t="shared" si="4"/>
        <v>77.69</v>
      </c>
      <c r="J40" s="52">
        <f>MIN(MAX(ROUND(ROUND('Loonschijven_Tranches salariale'!$Q40*0.65,4)*Basisbedragen!$I$2,2),ROUND(Basisbedragen!$D$73*Basisbedragen!$I$2,2)),ROUND(ROUND(Basisbedragen!$D$31*0.65,4)*Basisbedragen!$I$2,2))</f>
        <v>56.48</v>
      </c>
      <c r="L40" s="52">
        <f>ROUND(MIN(MAX(ROUND(ROUND('Loonschijven_Tranches salariale'!$Q40*0.65,4)*Basisbedragen!$I$2,2),ROUND(Basisbedragen!$D$48*Basisbedragen!$I$2,2)),ROUND(ROUND(Basisbedragen!$D$30*0.65,4)*Basisbedragen!$I$2,2))/2,2)</f>
        <v>35.07</v>
      </c>
      <c r="N40" s="52">
        <f>ROUND(MIN(MAX(ROUND(ROUND('Loonschijven_Tranches salariale'!$Q40*0.6,4)*Basisbedragen!$I$2,2),ROUND(Basisbedragen!$D$49*Basisbedragen!$I$2,2)),ROUND(ROUND(Basisbedragen!$D$30*0.6,4)*Basisbedragen!$I$2,2))/2,2)</f>
        <v>32.369999999999997</v>
      </c>
      <c r="P40" s="52">
        <f t="shared" si="5"/>
        <v>42.08</v>
      </c>
      <c r="R40" s="52">
        <f t="shared" si="6"/>
        <v>38.840000000000003</v>
      </c>
      <c r="T40" s="52">
        <f t="shared" si="7"/>
        <v>28.24</v>
      </c>
    </row>
    <row r="41" spans="1:20" ht="15" hidden="1" outlineLevel="1" thickBot="1">
      <c r="A41" s="47">
        <f t="shared" si="8"/>
        <v>34</v>
      </c>
      <c r="B41" s="52">
        <f>IF(MIN(MAX(ROUND(ROUND('Loonschijven_Tranches salariale'!$Q41*0.65,4)*Basisbedragen!$I$7,2),ROUND(Basisbedragen!$D$48*Basisbedragen!$I$7,2)),ROUND(ROUND(Basisbedragen!$D$30*0.65,4)*Basisbedragen!$I$7,2))&lt;= Basisbedragen!$I$8,MIN(MAX(ROUND(ROUND('Loonschijven_Tranches salariale'!$Q41*0.65,4)*Basisbedragen!$I$2,2),ROUND(Basisbedragen!$D$48*Basisbedragen!$I$2,2)),ROUND(ROUND(Basisbedragen!$D$30*0.65,4)*Basisbedragen!$I$2,2)),MIN(MAX(ROUND(ROUND('Loonschijven_Tranches salariale'!$Q41*0.65,4)*Basisbedragen!$I$7,2),ROUND(Basisbedragen!$D$48*Basisbedragen!$I$7,2)),ROUND(ROUND(Basisbedragen!$D$30*0.65,4)*Basisbedragen!$I$7,2))+Basisbedragen!$I$10)</f>
        <v>70.14</v>
      </c>
      <c r="D41" s="52">
        <f>IF(MIN(MAX(ROUND(ROUND('Loonschijven_Tranches salariale'!$Q41*0.6,4)*Basisbedragen!$I$7,2),ROUND(Basisbedragen!$D$49*Basisbedragen!$I$7,2)),ROUND(ROUND(Basisbedragen!$D$30*0.6,4)*Basisbedragen!$I$7,2))&lt;= Basisbedragen!$I$8,MIN(MAX(ROUND(ROUND('Loonschijven_Tranches salariale'!$Q41*0.6,4)*Basisbedragen!$I$2,2),ROUND(Basisbedragen!$D$49*Basisbedragen!$I$2,2)),ROUND(ROUND(Basisbedragen!$D$30*0.6,4)*Basisbedragen!$I$2,2)),MIN(MAX(ROUND(ROUND('Loonschijven_Tranches salariale'!$Q41*0.6,4)*Basisbedragen!$I$7,2),ROUND(Basisbedragen!$D$49*Basisbedragen!$I$7,2)),ROUND(ROUND(Basisbedragen!$D$30*0.6,4)*Basisbedragen!$I$7,2))+Basisbedragen!$I$10)</f>
        <v>64.739999999999995</v>
      </c>
      <c r="F41" s="448">
        <f t="shared" si="3"/>
        <v>84.17</v>
      </c>
      <c r="H41" s="52">
        <f t="shared" si="4"/>
        <v>77.69</v>
      </c>
      <c r="J41" s="52">
        <f>MIN(MAX(ROUND(ROUND('Loonschijven_Tranches salariale'!$Q41*0.65,4)*Basisbedragen!$I$2,2),ROUND(Basisbedragen!$D$73*Basisbedragen!$I$2,2)),ROUND(ROUND(Basisbedragen!$D$31*0.65,4)*Basisbedragen!$I$2,2))</f>
        <v>56.48</v>
      </c>
      <c r="L41" s="52">
        <f>ROUND(MIN(MAX(ROUND(ROUND('Loonschijven_Tranches salariale'!$Q41*0.65,4)*Basisbedragen!$I$2,2),ROUND(Basisbedragen!$D$48*Basisbedragen!$I$2,2)),ROUND(ROUND(Basisbedragen!$D$30*0.65,4)*Basisbedragen!$I$2,2))/2,2)</f>
        <v>35.07</v>
      </c>
      <c r="N41" s="52">
        <f>ROUND(MIN(MAX(ROUND(ROUND('Loonschijven_Tranches salariale'!$Q41*0.6,4)*Basisbedragen!$I$2,2),ROUND(Basisbedragen!$D$49*Basisbedragen!$I$2,2)),ROUND(ROUND(Basisbedragen!$D$30*0.6,4)*Basisbedragen!$I$2,2))/2,2)</f>
        <v>32.369999999999997</v>
      </c>
      <c r="P41" s="52">
        <f t="shared" si="5"/>
        <v>42.08</v>
      </c>
      <c r="R41" s="52">
        <f t="shared" si="6"/>
        <v>38.840000000000003</v>
      </c>
      <c r="T41" s="52">
        <f t="shared" si="7"/>
        <v>28.24</v>
      </c>
    </row>
    <row r="42" spans="1:20" ht="15" hidden="1" outlineLevel="1" thickBot="1">
      <c r="A42" s="47">
        <f t="shared" si="8"/>
        <v>35</v>
      </c>
      <c r="B42" s="52">
        <f>IF(MIN(MAX(ROUND(ROUND('Loonschijven_Tranches salariale'!$Q42*0.65,4)*Basisbedragen!$I$7,2),ROUND(Basisbedragen!$D$48*Basisbedragen!$I$7,2)),ROUND(ROUND(Basisbedragen!$D$30*0.65,4)*Basisbedragen!$I$7,2))&lt;= Basisbedragen!$I$8,MIN(MAX(ROUND(ROUND('Loonschijven_Tranches salariale'!$Q42*0.65,4)*Basisbedragen!$I$2,2),ROUND(Basisbedragen!$D$48*Basisbedragen!$I$2,2)),ROUND(ROUND(Basisbedragen!$D$30*0.65,4)*Basisbedragen!$I$2,2)),MIN(MAX(ROUND(ROUND('Loonschijven_Tranches salariale'!$Q42*0.65,4)*Basisbedragen!$I$7,2),ROUND(Basisbedragen!$D$48*Basisbedragen!$I$7,2)),ROUND(ROUND(Basisbedragen!$D$30*0.65,4)*Basisbedragen!$I$7,2))+Basisbedragen!$I$10)</f>
        <v>70.14</v>
      </c>
      <c r="D42" s="52">
        <f>IF(MIN(MAX(ROUND(ROUND('Loonschijven_Tranches salariale'!$Q42*0.6,4)*Basisbedragen!$I$7,2),ROUND(Basisbedragen!$D$49*Basisbedragen!$I$7,2)),ROUND(ROUND(Basisbedragen!$D$30*0.6,4)*Basisbedragen!$I$7,2))&lt;= Basisbedragen!$I$8,MIN(MAX(ROUND(ROUND('Loonschijven_Tranches salariale'!$Q42*0.6,4)*Basisbedragen!$I$2,2),ROUND(Basisbedragen!$D$49*Basisbedragen!$I$2,2)),ROUND(ROUND(Basisbedragen!$D$30*0.6,4)*Basisbedragen!$I$2,2)),MIN(MAX(ROUND(ROUND('Loonschijven_Tranches salariale'!$Q42*0.6,4)*Basisbedragen!$I$7,2),ROUND(Basisbedragen!$D$49*Basisbedragen!$I$7,2)),ROUND(ROUND(Basisbedragen!$D$30*0.6,4)*Basisbedragen!$I$7,2))+Basisbedragen!$I$10)</f>
        <v>64.739999999999995</v>
      </c>
      <c r="F42" s="448">
        <f t="shared" si="3"/>
        <v>84.17</v>
      </c>
      <c r="H42" s="52">
        <f t="shared" si="4"/>
        <v>77.69</v>
      </c>
      <c r="J42" s="52">
        <f>MIN(MAX(ROUND(ROUND('Loonschijven_Tranches salariale'!$Q42*0.65,4)*Basisbedragen!$I$2,2),ROUND(Basisbedragen!$D$73*Basisbedragen!$I$2,2)),ROUND(ROUND(Basisbedragen!$D$31*0.65,4)*Basisbedragen!$I$2,2))</f>
        <v>56.48</v>
      </c>
      <c r="L42" s="52">
        <f>ROUND(MIN(MAX(ROUND(ROUND('Loonschijven_Tranches salariale'!$Q42*0.65,4)*Basisbedragen!$I$2,2),ROUND(Basisbedragen!$D$48*Basisbedragen!$I$2,2)),ROUND(ROUND(Basisbedragen!$D$30*0.65,4)*Basisbedragen!$I$2,2))/2,2)</f>
        <v>35.07</v>
      </c>
      <c r="N42" s="52">
        <f>ROUND(MIN(MAX(ROUND(ROUND('Loonschijven_Tranches salariale'!$Q42*0.6,4)*Basisbedragen!$I$2,2),ROUND(Basisbedragen!$D$49*Basisbedragen!$I$2,2)),ROUND(ROUND(Basisbedragen!$D$30*0.6,4)*Basisbedragen!$I$2,2))/2,2)</f>
        <v>32.369999999999997</v>
      </c>
      <c r="P42" s="52">
        <f t="shared" si="5"/>
        <v>42.08</v>
      </c>
      <c r="R42" s="52">
        <f t="shared" si="6"/>
        <v>38.840000000000003</v>
      </c>
      <c r="T42" s="52">
        <f t="shared" si="7"/>
        <v>28.24</v>
      </c>
    </row>
    <row r="43" spans="1:20" ht="15" hidden="1" outlineLevel="1" thickBot="1">
      <c r="A43" s="47">
        <f t="shared" si="8"/>
        <v>36</v>
      </c>
      <c r="B43" s="52">
        <f>IF(MIN(MAX(ROUND(ROUND('Loonschijven_Tranches salariale'!$Q43*0.65,4)*Basisbedragen!$I$7,2),ROUND(Basisbedragen!$D$48*Basisbedragen!$I$7,2)),ROUND(ROUND(Basisbedragen!$D$30*0.65,4)*Basisbedragen!$I$7,2))&lt;= Basisbedragen!$I$8,MIN(MAX(ROUND(ROUND('Loonschijven_Tranches salariale'!$Q43*0.65,4)*Basisbedragen!$I$2,2),ROUND(Basisbedragen!$D$48*Basisbedragen!$I$2,2)),ROUND(ROUND(Basisbedragen!$D$30*0.65,4)*Basisbedragen!$I$2,2)),MIN(MAX(ROUND(ROUND('Loonschijven_Tranches salariale'!$Q43*0.65,4)*Basisbedragen!$I$7,2),ROUND(Basisbedragen!$D$48*Basisbedragen!$I$7,2)),ROUND(ROUND(Basisbedragen!$D$30*0.65,4)*Basisbedragen!$I$7,2))+Basisbedragen!$I$10)</f>
        <v>70.14</v>
      </c>
      <c r="D43" s="52">
        <f>IF(MIN(MAX(ROUND(ROUND('Loonschijven_Tranches salariale'!$Q43*0.6,4)*Basisbedragen!$I$7,2),ROUND(Basisbedragen!$D$49*Basisbedragen!$I$7,2)),ROUND(ROUND(Basisbedragen!$D$30*0.6,4)*Basisbedragen!$I$7,2))&lt;= Basisbedragen!$I$8,MIN(MAX(ROUND(ROUND('Loonschijven_Tranches salariale'!$Q43*0.6,4)*Basisbedragen!$I$2,2),ROUND(Basisbedragen!$D$49*Basisbedragen!$I$2,2)),ROUND(ROUND(Basisbedragen!$D$30*0.6,4)*Basisbedragen!$I$2,2)),MIN(MAX(ROUND(ROUND('Loonschijven_Tranches salariale'!$Q43*0.6,4)*Basisbedragen!$I$7,2),ROUND(Basisbedragen!$D$49*Basisbedragen!$I$7,2)),ROUND(ROUND(Basisbedragen!$D$30*0.6,4)*Basisbedragen!$I$7,2))+Basisbedragen!$I$10)</f>
        <v>64.739999999999995</v>
      </c>
      <c r="F43" s="448">
        <f t="shared" si="3"/>
        <v>84.17</v>
      </c>
      <c r="H43" s="52">
        <f t="shared" si="4"/>
        <v>77.69</v>
      </c>
      <c r="J43" s="52">
        <f>MIN(MAX(ROUND(ROUND('Loonschijven_Tranches salariale'!$Q43*0.65,4)*Basisbedragen!$I$2,2),ROUND(Basisbedragen!$D$73*Basisbedragen!$I$2,2)),ROUND(ROUND(Basisbedragen!$D$31*0.65,4)*Basisbedragen!$I$2,2))</f>
        <v>56.48</v>
      </c>
      <c r="L43" s="52">
        <f>ROUND(MIN(MAX(ROUND(ROUND('Loonschijven_Tranches salariale'!$Q43*0.65,4)*Basisbedragen!$I$2,2),ROUND(Basisbedragen!$D$48*Basisbedragen!$I$2,2)),ROUND(ROUND(Basisbedragen!$D$30*0.65,4)*Basisbedragen!$I$2,2))/2,2)</f>
        <v>35.07</v>
      </c>
      <c r="N43" s="52">
        <f>ROUND(MIN(MAX(ROUND(ROUND('Loonschijven_Tranches salariale'!$Q43*0.6,4)*Basisbedragen!$I$2,2),ROUND(Basisbedragen!$D$49*Basisbedragen!$I$2,2)),ROUND(ROUND(Basisbedragen!$D$30*0.6,4)*Basisbedragen!$I$2,2))/2,2)</f>
        <v>32.369999999999997</v>
      </c>
      <c r="P43" s="52">
        <f t="shared" si="5"/>
        <v>42.08</v>
      </c>
      <c r="R43" s="52">
        <f t="shared" si="6"/>
        <v>38.840000000000003</v>
      </c>
      <c r="T43" s="52">
        <f t="shared" si="7"/>
        <v>28.24</v>
      </c>
    </row>
    <row r="44" spans="1:20" ht="15" hidden="1" outlineLevel="1" thickBot="1">
      <c r="A44" s="47">
        <f t="shared" si="8"/>
        <v>37</v>
      </c>
      <c r="B44" s="52">
        <f>IF(MIN(MAX(ROUND(ROUND('Loonschijven_Tranches salariale'!$Q44*0.65,4)*Basisbedragen!$I$7,2),ROUND(Basisbedragen!$D$48*Basisbedragen!$I$7,2)),ROUND(ROUND(Basisbedragen!$D$30*0.65,4)*Basisbedragen!$I$7,2))&lt;= Basisbedragen!$I$8,MIN(MAX(ROUND(ROUND('Loonschijven_Tranches salariale'!$Q44*0.65,4)*Basisbedragen!$I$2,2),ROUND(Basisbedragen!$D$48*Basisbedragen!$I$2,2)),ROUND(ROUND(Basisbedragen!$D$30*0.65,4)*Basisbedragen!$I$2,2)),MIN(MAX(ROUND(ROUND('Loonschijven_Tranches salariale'!$Q44*0.65,4)*Basisbedragen!$I$7,2),ROUND(Basisbedragen!$D$48*Basisbedragen!$I$7,2)),ROUND(ROUND(Basisbedragen!$D$30*0.65,4)*Basisbedragen!$I$7,2))+Basisbedragen!$I$10)</f>
        <v>70.14</v>
      </c>
      <c r="D44" s="52">
        <f>IF(MIN(MAX(ROUND(ROUND('Loonschijven_Tranches salariale'!$Q44*0.6,4)*Basisbedragen!$I$7,2),ROUND(Basisbedragen!$D$49*Basisbedragen!$I$7,2)),ROUND(ROUND(Basisbedragen!$D$30*0.6,4)*Basisbedragen!$I$7,2))&lt;= Basisbedragen!$I$8,MIN(MAX(ROUND(ROUND('Loonschijven_Tranches salariale'!$Q44*0.6,4)*Basisbedragen!$I$2,2),ROUND(Basisbedragen!$D$49*Basisbedragen!$I$2,2)),ROUND(ROUND(Basisbedragen!$D$30*0.6,4)*Basisbedragen!$I$2,2)),MIN(MAX(ROUND(ROUND('Loonschijven_Tranches salariale'!$Q44*0.6,4)*Basisbedragen!$I$7,2),ROUND(Basisbedragen!$D$49*Basisbedragen!$I$7,2)),ROUND(ROUND(Basisbedragen!$D$30*0.6,4)*Basisbedragen!$I$7,2))+Basisbedragen!$I$10)</f>
        <v>64.739999999999995</v>
      </c>
      <c r="F44" s="448">
        <f t="shared" si="3"/>
        <v>84.17</v>
      </c>
      <c r="H44" s="52">
        <f t="shared" si="4"/>
        <v>77.69</v>
      </c>
      <c r="J44" s="52">
        <f>MIN(MAX(ROUND(ROUND('Loonschijven_Tranches salariale'!$Q44*0.65,4)*Basisbedragen!$I$2,2),ROUND(Basisbedragen!$D$73*Basisbedragen!$I$2,2)),ROUND(ROUND(Basisbedragen!$D$31*0.65,4)*Basisbedragen!$I$2,2))</f>
        <v>56.48</v>
      </c>
      <c r="L44" s="52">
        <f>ROUND(MIN(MAX(ROUND(ROUND('Loonschijven_Tranches salariale'!$Q44*0.65,4)*Basisbedragen!$I$2,2),ROUND(Basisbedragen!$D$48*Basisbedragen!$I$2,2)),ROUND(ROUND(Basisbedragen!$D$30*0.65,4)*Basisbedragen!$I$2,2))/2,2)</f>
        <v>35.07</v>
      </c>
      <c r="N44" s="52">
        <f>ROUND(MIN(MAX(ROUND(ROUND('Loonschijven_Tranches salariale'!$Q44*0.6,4)*Basisbedragen!$I$2,2),ROUND(Basisbedragen!$D$49*Basisbedragen!$I$2,2)),ROUND(ROUND(Basisbedragen!$D$30*0.6,4)*Basisbedragen!$I$2,2))/2,2)</f>
        <v>32.369999999999997</v>
      </c>
      <c r="P44" s="52">
        <f t="shared" si="5"/>
        <v>42.08</v>
      </c>
      <c r="R44" s="52">
        <f t="shared" si="6"/>
        <v>38.840000000000003</v>
      </c>
      <c r="T44" s="52">
        <f t="shared" si="7"/>
        <v>28.24</v>
      </c>
    </row>
    <row r="45" spans="1:20" ht="15" hidden="1" outlineLevel="1" thickBot="1">
      <c r="A45" s="47">
        <f t="shared" si="8"/>
        <v>38</v>
      </c>
      <c r="B45" s="52">
        <f>IF(MIN(MAX(ROUND(ROUND('Loonschijven_Tranches salariale'!$Q45*0.65,4)*Basisbedragen!$I$7,2),ROUND(Basisbedragen!$D$48*Basisbedragen!$I$7,2)),ROUND(ROUND(Basisbedragen!$D$30*0.65,4)*Basisbedragen!$I$7,2))&lt;= Basisbedragen!$I$8,MIN(MAX(ROUND(ROUND('Loonschijven_Tranches salariale'!$Q45*0.65,4)*Basisbedragen!$I$2,2),ROUND(Basisbedragen!$D$48*Basisbedragen!$I$2,2)),ROUND(ROUND(Basisbedragen!$D$30*0.65,4)*Basisbedragen!$I$2,2)),MIN(MAX(ROUND(ROUND('Loonschijven_Tranches salariale'!$Q45*0.65,4)*Basisbedragen!$I$7,2),ROUND(Basisbedragen!$D$48*Basisbedragen!$I$7,2)),ROUND(ROUND(Basisbedragen!$D$30*0.65,4)*Basisbedragen!$I$7,2))+Basisbedragen!$I$10)</f>
        <v>70.14</v>
      </c>
      <c r="D45" s="52">
        <f>IF(MIN(MAX(ROUND(ROUND('Loonschijven_Tranches salariale'!$Q45*0.6,4)*Basisbedragen!$I$7,2),ROUND(Basisbedragen!$D$49*Basisbedragen!$I$7,2)),ROUND(ROUND(Basisbedragen!$D$30*0.6,4)*Basisbedragen!$I$7,2))&lt;= Basisbedragen!$I$8,MIN(MAX(ROUND(ROUND('Loonschijven_Tranches salariale'!$Q45*0.6,4)*Basisbedragen!$I$2,2),ROUND(Basisbedragen!$D$49*Basisbedragen!$I$2,2)),ROUND(ROUND(Basisbedragen!$D$30*0.6,4)*Basisbedragen!$I$2,2)),MIN(MAX(ROUND(ROUND('Loonschijven_Tranches salariale'!$Q45*0.6,4)*Basisbedragen!$I$7,2),ROUND(Basisbedragen!$D$49*Basisbedragen!$I$7,2)),ROUND(ROUND(Basisbedragen!$D$30*0.6,4)*Basisbedragen!$I$7,2))+Basisbedragen!$I$10)</f>
        <v>64.739999999999995</v>
      </c>
      <c r="F45" s="448">
        <f t="shared" si="3"/>
        <v>84.17</v>
      </c>
      <c r="H45" s="52">
        <f t="shared" si="4"/>
        <v>77.69</v>
      </c>
      <c r="J45" s="52">
        <f>MIN(MAX(ROUND(ROUND('Loonschijven_Tranches salariale'!$Q45*0.65,4)*Basisbedragen!$I$2,2),ROUND(Basisbedragen!$D$73*Basisbedragen!$I$2,2)),ROUND(ROUND(Basisbedragen!$D$31*0.65,4)*Basisbedragen!$I$2,2))</f>
        <v>56.48</v>
      </c>
      <c r="L45" s="52">
        <f>ROUND(MIN(MAX(ROUND(ROUND('Loonschijven_Tranches salariale'!$Q45*0.65,4)*Basisbedragen!$I$2,2),ROUND(Basisbedragen!$D$48*Basisbedragen!$I$2,2)),ROUND(ROUND(Basisbedragen!$D$30*0.65,4)*Basisbedragen!$I$2,2))/2,2)</f>
        <v>35.07</v>
      </c>
      <c r="N45" s="52">
        <f>ROUND(MIN(MAX(ROUND(ROUND('Loonschijven_Tranches salariale'!$Q45*0.6,4)*Basisbedragen!$I$2,2),ROUND(Basisbedragen!$D$49*Basisbedragen!$I$2,2)),ROUND(ROUND(Basisbedragen!$D$30*0.6,4)*Basisbedragen!$I$2,2))/2,2)</f>
        <v>32.369999999999997</v>
      </c>
      <c r="P45" s="52">
        <f t="shared" si="5"/>
        <v>42.08</v>
      </c>
      <c r="R45" s="52">
        <f t="shared" si="6"/>
        <v>38.840000000000003</v>
      </c>
      <c r="T45" s="52">
        <f t="shared" si="7"/>
        <v>28.24</v>
      </c>
    </row>
    <row r="46" spans="1:20" ht="15" hidden="1" outlineLevel="1" thickBot="1">
      <c r="A46" s="47">
        <f t="shared" si="8"/>
        <v>39</v>
      </c>
      <c r="B46" s="52">
        <f>IF(MIN(MAX(ROUND(ROUND('Loonschijven_Tranches salariale'!$Q46*0.65,4)*Basisbedragen!$I$7,2),ROUND(Basisbedragen!$D$48*Basisbedragen!$I$7,2)),ROUND(ROUND(Basisbedragen!$D$30*0.65,4)*Basisbedragen!$I$7,2))&lt;= Basisbedragen!$I$8,MIN(MAX(ROUND(ROUND('Loonschijven_Tranches salariale'!$Q46*0.65,4)*Basisbedragen!$I$2,2),ROUND(Basisbedragen!$D$48*Basisbedragen!$I$2,2)),ROUND(ROUND(Basisbedragen!$D$30*0.65,4)*Basisbedragen!$I$2,2)),MIN(MAX(ROUND(ROUND('Loonschijven_Tranches salariale'!$Q46*0.65,4)*Basisbedragen!$I$7,2),ROUND(Basisbedragen!$D$48*Basisbedragen!$I$7,2)),ROUND(ROUND(Basisbedragen!$D$30*0.65,4)*Basisbedragen!$I$7,2))+Basisbedragen!$I$10)</f>
        <v>70.14</v>
      </c>
      <c r="D46" s="52">
        <f>IF(MIN(MAX(ROUND(ROUND('Loonschijven_Tranches salariale'!$Q46*0.6,4)*Basisbedragen!$I$7,2),ROUND(Basisbedragen!$D$49*Basisbedragen!$I$7,2)),ROUND(ROUND(Basisbedragen!$D$30*0.6,4)*Basisbedragen!$I$7,2))&lt;= Basisbedragen!$I$8,MIN(MAX(ROUND(ROUND('Loonschijven_Tranches salariale'!$Q46*0.6,4)*Basisbedragen!$I$2,2),ROUND(Basisbedragen!$D$49*Basisbedragen!$I$2,2)),ROUND(ROUND(Basisbedragen!$D$30*0.6,4)*Basisbedragen!$I$2,2)),MIN(MAX(ROUND(ROUND('Loonschijven_Tranches salariale'!$Q46*0.6,4)*Basisbedragen!$I$7,2),ROUND(Basisbedragen!$D$49*Basisbedragen!$I$7,2)),ROUND(ROUND(Basisbedragen!$D$30*0.6,4)*Basisbedragen!$I$7,2))+Basisbedragen!$I$10)</f>
        <v>64.739999999999995</v>
      </c>
      <c r="F46" s="448">
        <f t="shared" si="3"/>
        <v>84.17</v>
      </c>
      <c r="H46" s="52">
        <f t="shared" si="4"/>
        <v>77.69</v>
      </c>
      <c r="J46" s="52">
        <f>MIN(MAX(ROUND(ROUND('Loonschijven_Tranches salariale'!$Q46*0.65,4)*Basisbedragen!$I$2,2),ROUND(Basisbedragen!$D$73*Basisbedragen!$I$2,2)),ROUND(ROUND(Basisbedragen!$D$31*0.65,4)*Basisbedragen!$I$2,2))</f>
        <v>56.48</v>
      </c>
      <c r="L46" s="52">
        <f>ROUND(MIN(MAX(ROUND(ROUND('Loonschijven_Tranches salariale'!$Q46*0.65,4)*Basisbedragen!$I$2,2),ROUND(Basisbedragen!$D$48*Basisbedragen!$I$2,2)),ROUND(ROUND(Basisbedragen!$D$30*0.65,4)*Basisbedragen!$I$2,2))/2,2)</f>
        <v>35.07</v>
      </c>
      <c r="N46" s="52">
        <f>ROUND(MIN(MAX(ROUND(ROUND('Loonschijven_Tranches salariale'!$Q46*0.6,4)*Basisbedragen!$I$2,2),ROUND(Basisbedragen!$D$49*Basisbedragen!$I$2,2)),ROUND(ROUND(Basisbedragen!$D$30*0.6,4)*Basisbedragen!$I$2,2))/2,2)</f>
        <v>32.369999999999997</v>
      </c>
      <c r="P46" s="52">
        <f t="shared" si="5"/>
        <v>42.08</v>
      </c>
      <c r="R46" s="52">
        <f t="shared" si="6"/>
        <v>38.840000000000003</v>
      </c>
      <c r="T46" s="52">
        <f t="shared" si="7"/>
        <v>28.24</v>
      </c>
    </row>
    <row r="47" spans="1:20" ht="15" hidden="1" outlineLevel="1" thickBot="1">
      <c r="A47" s="47">
        <f t="shared" si="8"/>
        <v>40</v>
      </c>
      <c r="B47" s="52">
        <f>IF(MIN(MAX(ROUND(ROUND('Loonschijven_Tranches salariale'!$Q47*0.65,4)*Basisbedragen!$I$7,2),ROUND(Basisbedragen!$D$48*Basisbedragen!$I$7,2)),ROUND(ROUND(Basisbedragen!$D$30*0.65,4)*Basisbedragen!$I$7,2))&lt;= Basisbedragen!$I$8,MIN(MAX(ROUND(ROUND('Loonschijven_Tranches salariale'!$Q47*0.65,4)*Basisbedragen!$I$2,2),ROUND(Basisbedragen!$D$48*Basisbedragen!$I$2,2)),ROUND(ROUND(Basisbedragen!$D$30*0.65,4)*Basisbedragen!$I$2,2)),MIN(MAX(ROUND(ROUND('Loonschijven_Tranches salariale'!$Q47*0.65,4)*Basisbedragen!$I$7,2),ROUND(Basisbedragen!$D$48*Basisbedragen!$I$7,2)),ROUND(ROUND(Basisbedragen!$D$30*0.65,4)*Basisbedragen!$I$7,2))+Basisbedragen!$I$10)</f>
        <v>70.14</v>
      </c>
      <c r="D47" s="52">
        <f>IF(MIN(MAX(ROUND(ROUND('Loonschijven_Tranches salariale'!$Q47*0.6,4)*Basisbedragen!$I$7,2),ROUND(Basisbedragen!$D$49*Basisbedragen!$I$7,2)),ROUND(ROUND(Basisbedragen!$D$30*0.6,4)*Basisbedragen!$I$7,2))&lt;= Basisbedragen!$I$8,MIN(MAX(ROUND(ROUND('Loonschijven_Tranches salariale'!$Q47*0.6,4)*Basisbedragen!$I$2,2),ROUND(Basisbedragen!$D$49*Basisbedragen!$I$2,2)),ROUND(ROUND(Basisbedragen!$D$30*0.6,4)*Basisbedragen!$I$2,2)),MIN(MAX(ROUND(ROUND('Loonschijven_Tranches salariale'!$Q47*0.6,4)*Basisbedragen!$I$7,2),ROUND(Basisbedragen!$D$49*Basisbedragen!$I$7,2)),ROUND(ROUND(Basisbedragen!$D$30*0.6,4)*Basisbedragen!$I$7,2))+Basisbedragen!$I$10)</f>
        <v>64.739999999999995</v>
      </c>
      <c r="F47" s="448">
        <f t="shared" si="3"/>
        <v>84.17</v>
      </c>
      <c r="H47" s="52">
        <f t="shared" si="4"/>
        <v>77.69</v>
      </c>
      <c r="J47" s="52">
        <f>MIN(MAX(ROUND(ROUND('Loonschijven_Tranches salariale'!$Q47*0.65,4)*Basisbedragen!$I$2,2),ROUND(Basisbedragen!$D$73*Basisbedragen!$I$2,2)),ROUND(ROUND(Basisbedragen!$D$31*0.65,4)*Basisbedragen!$I$2,2))</f>
        <v>56.48</v>
      </c>
      <c r="L47" s="52">
        <f>ROUND(MIN(MAX(ROUND(ROUND('Loonschijven_Tranches salariale'!$Q47*0.65,4)*Basisbedragen!$I$2,2),ROUND(Basisbedragen!$D$48*Basisbedragen!$I$2,2)),ROUND(ROUND(Basisbedragen!$D$30*0.65,4)*Basisbedragen!$I$2,2))/2,2)</f>
        <v>35.07</v>
      </c>
      <c r="N47" s="52">
        <f>ROUND(MIN(MAX(ROUND(ROUND('Loonschijven_Tranches salariale'!$Q47*0.6,4)*Basisbedragen!$I$2,2),ROUND(Basisbedragen!$D$49*Basisbedragen!$I$2,2)),ROUND(ROUND(Basisbedragen!$D$30*0.6,4)*Basisbedragen!$I$2,2))/2,2)</f>
        <v>32.369999999999997</v>
      </c>
      <c r="P47" s="52">
        <f t="shared" si="5"/>
        <v>42.08</v>
      </c>
      <c r="R47" s="52">
        <f t="shared" si="6"/>
        <v>38.840000000000003</v>
      </c>
      <c r="T47" s="52">
        <f t="shared" si="7"/>
        <v>28.24</v>
      </c>
    </row>
    <row r="48" spans="1:20" ht="15" hidden="1" outlineLevel="1" thickBot="1">
      <c r="A48" s="47">
        <f t="shared" si="8"/>
        <v>41</v>
      </c>
      <c r="B48" s="52">
        <f>IF(MIN(MAX(ROUND(ROUND('Loonschijven_Tranches salariale'!$Q48*0.65,4)*Basisbedragen!$I$7,2),ROUND(Basisbedragen!$D$48*Basisbedragen!$I$7,2)),ROUND(ROUND(Basisbedragen!$D$30*0.65,4)*Basisbedragen!$I$7,2))&lt;= Basisbedragen!$I$8,MIN(MAX(ROUND(ROUND('Loonschijven_Tranches salariale'!$Q48*0.65,4)*Basisbedragen!$I$2,2),ROUND(Basisbedragen!$D$48*Basisbedragen!$I$2,2)),ROUND(ROUND(Basisbedragen!$D$30*0.65,4)*Basisbedragen!$I$2,2)),MIN(MAX(ROUND(ROUND('Loonschijven_Tranches salariale'!$Q48*0.65,4)*Basisbedragen!$I$7,2),ROUND(Basisbedragen!$D$48*Basisbedragen!$I$7,2)),ROUND(ROUND(Basisbedragen!$D$30*0.65,4)*Basisbedragen!$I$7,2))+Basisbedragen!$I$10)</f>
        <v>70.14</v>
      </c>
      <c r="D48" s="52">
        <f>IF(MIN(MAX(ROUND(ROUND('Loonschijven_Tranches salariale'!$Q48*0.6,4)*Basisbedragen!$I$7,2),ROUND(Basisbedragen!$D$49*Basisbedragen!$I$7,2)),ROUND(ROUND(Basisbedragen!$D$30*0.6,4)*Basisbedragen!$I$7,2))&lt;= Basisbedragen!$I$8,MIN(MAX(ROUND(ROUND('Loonschijven_Tranches salariale'!$Q48*0.6,4)*Basisbedragen!$I$2,2),ROUND(Basisbedragen!$D$49*Basisbedragen!$I$2,2)),ROUND(ROUND(Basisbedragen!$D$30*0.6,4)*Basisbedragen!$I$2,2)),MIN(MAX(ROUND(ROUND('Loonschijven_Tranches salariale'!$Q48*0.6,4)*Basisbedragen!$I$7,2),ROUND(Basisbedragen!$D$49*Basisbedragen!$I$7,2)),ROUND(ROUND(Basisbedragen!$D$30*0.6,4)*Basisbedragen!$I$7,2))+Basisbedragen!$I$10)</f>
        <v>64.739999999999995</v>
      </c>
      <c r="F48" s="448">
        <f t="shared" si="3"/>
        <v>84.17</v>
      </c>
      <c r="H48" s="52">
        <f t="shared" si="4"/>
        <v>77.69</v>
      </c>
      <c r="J48" s="52">
        <f>MIN(MAX(ROUND(ROUND('Loonschijven_Tranches salariale'!$Q48*0.65,4)*Basisbedragen!$I$2,2),ROUND(Basisbedragen!$D$73*Basisbedragen!$I$2,2)),ROUND(ROUND(Basisbedragen!$D$31*0.65,4)*Basisbedragen!$I$2,2))</f>
        <v>56.48</v>
      </c>
      <c r="L48" s="52">
        <f>ROUND(MIN(MAX(ROUND(ROUND('Loonschijven_Tranches salariale'!$Q48*0.65,4)*Basisbedragen!$I$2,2),ROUND(Basisbedragen!$D$48*Basisbedragen!$I$2,2)),ROUND(ROUND(Basisbedragen!$D$30*0.65,4)*Basisbedragen!$I$2,2))/2,2)</f>
        <v>35.07</v>
      </c>
      <c r="N48" s="52">
        <f>ROUND(MIN(MAX(ROUND(ROUND('Loonschijven_Tranches salariale'!$Q48*0.6,4)*Basisbedragen!$I$2,2),ROUND(Basisbedragen!$D$49*Basisbedragen!$I$2,2)),ROUND(ROUND(Basisbedragen!$D$30*0.6,4)*Basisbedragen!$I$2,2))/2,2)</f>
        <v>32.369999999999997</v>
      </c>
      <c r="P48" s="52">
        <f t="shared" si="5"/>
        <v>42.08</v>
      </c>
      <c r="R48" s="52">
        <f t="shared" si="6"/>
        <v>38.840000000000003</v>
      </c>
      <c r="T48" s="52">
        <f t="shared" si="7"/>
        <v>28.24</v>
      </c>
    </row>
    <row r="49" spans="1:20" ht="15.6" hidden="1" customHeight="1" outlineLevel="1" thickBot="1">
      <c r="A49" s="47">
        <f t="shared" si="8"/>
        <v>42</v>
      </c>
      <c r="B49" s="52">
        <f>IF(MIN(MAX(ROUND(ROUND('Loonschijven_Tranches salariale'!$Q49*0.65,4)*Basisbedragen!$I$7,2),ROUND(Basisbedragen!$D$48*Basisbedragen!$I$7,2)),ROUND(ROUND(Basisbedragen!$D$30*0.65,4)*Basisbedragen!$I$7,2))&lt;= Basisbedragen!$I$8,MIN(MAX(ROUND(ROUND('Loonschijven_Tranches salariale'!$Q49*0.65,4)*Basisbedragen!$I$2,2),ROUND(Basisbedragen!$D$48*Basisbedragen!$I$2,2)),ROUND(ROUND(Basisbedragen!$D$30*0.65,4)*Basisbedragen!$I$2,2)),MIN(MAX(ROUND(ROUND('Loonschijven_Tranches salariale'!$Q49*0.65,4)*Basisbedragen!$I$7,2),ROUND(Basisbedragen!$D$48*Basisbedragen!$I$7,2)),ROUND(ROUND(Basisbedragen!$D$30*0.65,4)*Basisbedragen!$I$7,2))+Basisbedragen!$I$10)</f>
        <v>70.14</v>
      </c>
      <c r="D49" s="52">
        <f>IF(MIN(MAX(ROUND(ROUND('Loonschijven_Tranches salariale'!$Q49*0.6,4)*Basisbedragen!$I$7,2),ROUND(Basisbedragen!$D$49*Basisbedragen!$I$7,2)),ROUND(ROUND(Basisbedragen!$D$30*0.6,4)*Basisbedragen!$I$7,2))&lt;= Basisbedragen!$I$8,MIN(MAX(ROUND(ROUND('Loonschijven_Tranches salariale'!$Q49*0.6,4)*Basisbedragen!$I$2,2),ROUND(Basisbedragen!$D$49*Basisbedragen!$I$2,2)),ROUND(ROUND(Basisbedragen!$D$30*0.6,4)*Basisbedragen!$I$2,2)),MIN(MAX(ROUND(ROUND('Loonschijven_Tranches salariale'!$Q49*0.6,4)*Basisbedragen!$I$7,2),ROUND(Basisbedragen!$D$49*Basisbedragen!$I$7,2)),ROUND(ROUND(Basisbedragen!$D$30*0.6,4)*Basisbedragen!$I$7,2))+Basisbedragen!$I$10)</f>
        <v>64.739999999999995</v>
      </c>
      <c r="F49" s="448">
        <f t="shared" si="3"/>
        <v>84.17</v>
      </c>
      <c r="H49" s="52">
        <f t="shared" si="4"/>
        <v>77.69</v>
      </c>
      <c r="J49" s="52">
        <f>MIN(MAX(ROUND(ROUND('Loonschijven_Tranches salariale'!$Q49*0.65,4)*Basisbedragen!$I$2,2),ROUND(Basisbedragen!$D$73*Basisbedragen!$I$2,2)),ROUND(ROUND(Basisbedragen!$D$31*0.65,4)*Basisbedragen!$I$2,2))</f>
        <v>56.48</v>
      </c>
      <c r="L49" s="52">
        <f>ROUND(MIN(MAX(ROUND(ROUND('Loonschijven_Tranches salariale'!$Q49*0.65,4)*Basisbedragen!$I$2,2),ROUND(Basisbedragen!$D$48*Basisbedragen!$I$2,2)),ROUND(ROUND(Basisbedragen!$D$30*0.65,4)*Basisbedragen!$I$2,2))/2,2)</f>
        <v>35.07</v>
      </c>
      <c r="N49" s="52">
        <f>ROUND(MIN(MAX(ROUND(ROUND('Loonschijven_Tranches salariale'!$Q49*0.6,4)*Basisbedragen!$I$2,2),ROUND(Basisbedragen!$D$49*Basisbedragen!$I$2,2)),ROUND(ROUND(Basisbedragen!$D$30*0.6,4)*Basisbedragen!$I$2,2))/2,2)</f>
        <v>32.369999999999997</v>
      </c>
      <c r="P49" s="52">
        <f t="shared" si="5"/>
        <v>42.08</v>
      </c>
      <c r="R49" s="52">
        <f t="shared" si="6"/>
        <v>38.840000000000003</v>
      </c>
      <c r="T49" s="52">
        <f t="shared" si="7"/>
        <v>28.24</v>
      </c>
    </row>
    <row r="50" spans="1:20" ht="15" hidden="1" outlineLevel="1" thickBot="1">
      <c r="A50" s="47">
        <f t="shared" si="8"/>
        <v>43</v>
      </c>
      <c r="B50" s="52">
        <f>IF(MIN(MAX(ROUND(ROUND('Loonschijven_Tranches salariale'!$Q50*0.65,4)*Basisbedragen!$I$7,2),ROUND(Basisbedragen!$D$48*Basisbedragen!$I$7,2)),ROUND(ROUND(Basisbedragen!$D$30*0.65,4)*Basisbedragen!$I$7,2))&lt;= Basisbedragen!$I$8,MIN(MAX(ROUND(ROUND('Loonschijven_Tranches salariale'!$Q50*0.65,4)*Basisbedragen!$I$2,2),ROUND(Basisbedragen!$D$48*Basisbedragen!$I$2,2)),ROUND(ROUND(Basisbedragen!$D$30*0.65,4)*Basisbedragen!$I$2,2)),MIN(MAX(ROUND(ROUND('Loonschijven_Tranches salariale'!$Q50*0.65,4)*Basisbedragen!$I$7,2),ROUND(Basisbedragen!$D$48*Basisbedragen!$I$7,2)),ROUND(ROUND(Basisbedragen!$D$30*0.65,4)*Basisbedragen!$I$7,2))+Basisbedragen!$I$10)</f>
        <v>70.14</v>
      </c>
      <c r="D50" s="52">
        <f>IF(MIN(MAX(ROUND(ROUND('Loonschijven_Tranches salariale'!$Q50*0.6,4)*Basisbedragen!$I$7,2),ROUND(Basisbedragen!$D$49*Basisbedragen!$I$7,2)),ROUND(ROUND(Basisbedragen!$D$30*0.6,4)*Basisbedragen!$I$7,2))&lt;= Basisbedragen!$I$8,MIN(MAX(ROUND(ROUND('Loonschijven_Tranches salariale'!$Q50*0.6,4)*Basisbedragen!$I$2,2),ROUND(Basisbedragen!$D$49*Basisbedragen!$I$2,2)),ROUND(ROUND(Basisbedragen!$D$30*0.6,4)*Basisbedragen!$I$2,2)),MIN(MAX(ROUND(ROUND('Loonschijven_Tranches salariale'!$Q50*0.6,4)*Basisbedragen!$I$7,2),ROUND(Basisbedragen!$D$49*Basisbedragen!$I$7,2)),ROUND(ROUND(Basisbedragen!$D$30*0.6,4)*Basisbedragen!$I$7,2))+Basisbedragen!$I$10)</f>
        <v>64.739999999999995</v>
      </c>
      <c r="F50" s="448">
        <f t="shared" si="3"/>
        <v>84.17</v>
      </c>
      <c r="H50" s="52">
        <f t="shared" si="4"/>
        <v>77.69</v>
      </c>
      <c r="J50" s="52">
        <f>MIN(MAX(ROUND(ROUND('Loonschijven_Tranches salariale'!$Q50*0.65,4)*Basisbedragen!$I$2,2),ROUND(Basisbedragen!$D$73*Basisbedragen!$I$2,2)),ROUND(ROUND(Basisbedragen!$D$31*0.65,4)*Basisbedragen!$I$2,2))</f>
        <v>56.48</v>
      </c>
      <c r="L50" s="52">
        <f>ROUND(MIN(MAX(ROUND(ROUND('Loonschijven_Tranches salariale'!$Q50*0.65,4)*Basisbedragen!$I$2,2),ROUND(Basisbedragen!$D$48*Basisbedragen!$I$2,2)),ROUND(ROUND(Basisbedragen!$D$30*0.65,4)*Basisbedragen!$I$2,2))/2,2)</f>
        <v>35.07</v>
      </c>
      <c r="N50" s="52">
        <f>ROUND(MIN(MAX(ROUND(ROUND('Loonschijven_Tranches salariale'!$Q50*0.6,4)*Basisbedragen!$I$2,2),ROUND(Basisbedragen!$D$49*Basisbedragen!$I$2,2)),ROUND(ROUND(Basisbedragen!$D$30*0.6,4)*Basisbedragen!$I$2,2))/2,2)</f>
        <v>32.369999999999997</v>
      </c>
      <c r="P50" s="52">
        <f t="shared" si="5"/>
        <v>42.08</v>
      </c>
      <c r="R50" s="52">
        <f t="shared" si="6"/>
        <v>38.840000000000003</v>
      </c>
      <c r="T50" s="52">
        <f t="shared" si="7"/>
        <v>28.24</v>
      </c>
    </row>
    <row r="51" spans="1:20" ht="15" collapsed="1" thickBot="1">
      <c r="A51" s="47">
        <f t="shared" si="8"/>
        <v>44</v>
      </c>
      <c r="B51" s="52">
        <f>IF(MIN(MAX(ROUND(ROUND('Loonschijven_Tranches salariale'!$Q51*0.65,4)*Basisbedragen!$I$7,2),ROUND(Basisbedragen!$D$48*Basisbedragen!$I$7,2)),ROUND(ROUND(Basisbedragen!$D$30*0.65,4)*Basisbedragen!$I$7,2))&lt;= Basisbedragen!$I$8,MIN(MAX(ROUND(ROUND('Loonschijven_Tranches salariale'!$Q51*0.65,4)*Basisbedragen!$I$2,2),ROUND(Basisbedragen!$D$48*Basisbedragen!$I$2,2)),ROUND(ROUND(Basisbedragen!$D$30*0.65,4)*Basisbedragen!$I$2,2)),MIN(MAX(ROUND(ROUND('Loonschijven_Tranches salariale'!$Q51*0.65,4)*Basisbedragen!$I$7,2),ROUND(Basisbedragen!$D$48*Basisbedragen!$I$7,2)),ROUND(ROUND(Basisbedragen!$D$30*0.65,4)*Basisbedragen!$I$7,2))+Basisbedragen!$I$10)</f>
        <v>70.14</v>
      </c>
      <c r="D51" s="52">
        <f>IF(MIN(MAX(ROUND(ROUND('Loonschijven_Tranches salariale'!$Q51*0.6,4)*Basisbedragen!$I$7,2),ROUND(Basisbedragen!$D$49*Basisbedragen!$I$7,2)),ROUND(ROUND(Basisbedragen!$D$30*0.6,4)*Basisbedragen!$I$7,2))&lt;= Basisbedragen!$I$8,MIN(MAX(ROUND(ROUND('Loonschijven_Tranches salariale'!$Q51*0.6,4)*Basisbedragen!$I$2,2),ROUND(Basisbedragen!$D$49*Basisbedragen!$I$2,2)),ROUND(ROUND(Basisbedragen!$D$30*0.6,4)*Basisbedragen!$I$2,2)),MIN(MAX(ROUND(ROUND('Loonschijven_Tranches salariale'!$Q51*0.6,4)*Basisbedragen!$I$7,2),ROUND(Basisbedragen!$D$49*Basisbedragen!$I$7,2)),ROUND(ROUND(Basisbedragen!$D$30*0.6,4)*Basisbedragen!$I$7,2))+Basisbedragen!$I$10)</f>
        <v>64.739999999999995</v>
      </c>
      <c r="F51" s="448">
        <f t="shared" si="3"/>
        <v>84.17</v>
      </c>
      <c r="H51" s="52">
        <f t="shared" si="4"/>
        <v>77.69</v>
      </c>
      <c r="J51" s="52">
        <f>MIN(MAX(ROUND(ROUND('Loonschijven_Tranches salariale'!$Q51*0.65,4)*Basisbedragen!$I$2,2),ROUND(Basisbedragen!$D$73*Basisbedragen!$I$2,2)),ROUND(ROUND(Basisbedragen!$D$31*0.65,4)*Basisbedragen!$I$2,2))</f>
        <v>56.91</v>
      </c>
      <c r="L51" s="52">
        <f>ROUND(MIN(MAX(ROUND(ROUND('Loonschijven_Tranches salariale'!$Q51*0.65,4)*Basisbedragen!$I$2,2),ROUND(Basisbedragen!$D$48*Basisbedragen!$I$2,2)),ROUND(ROUND(Basisbedragen!$D$30*0.65,4)*Basisbedragen!$I$2,2))/2,2)</f>
        <v>35.07</v>
      </c>
      <c r="N51" s="52">
        <f>ROUND(MIN(MAX(ROUND(ROUND('Loonschijven_Tranches salariale'!$Q51*0.6,4)*Basisbedragen!$I$2,2),ROUND(Basisbedragen!$D$49*Basisbedragen!$I$2,2)),ROUND(ROUND(Basisbedragen!$D$30*0.6,4)*Basisbedragen!$I$2,2))/2,2)</f>
        <v>32.369999999999997</v>
      </c>
      <c r="P51" s="52">
        <f t="shared" si="5"/>
        <v>42.08</v>
      </c>
      <c r="R51" s="52">
        <f t="shared" si="6"/>
        <v>38.840000000000003</v>
      </c>
      <c r="T51" s="52">
        <f t="shared" si="7"/>
        <v>28.46</v>
      </c>
    </row>
    <row r="52" spans="1:20" ht="15" thickBot="1">
      <c r="A52" s="47">
        <f t="shared" si="8"/>
        <v>45</v>
      </c>
      <c r="B52" s="52">
        <f>IF(MIN(MAX(ROUND(ROUND('Loonschijven_Tranches salariale'!$Q52*0.65,4)*Basisbedragen!$I$7,2),ROUND(Basisbedragen!$D$48*Basisbedragen!$I$7,2)),ROUND(ROUND(Basisbedragen!$D$30*0.65,4)*Basisbedragen!$I$7,2))&lt;= Basisbedragen!$I$8,MIN(MAX(ROUND(ROUND('Loonschijven_Tranches salariale'!$Q52*0.65,4)*Basisbedragen!$I$2,2),ROUND(Basisbedragen!$D$48*Basisbedragen!$I$2,2)),ROUND(ROUND(Basisbedragen!$D$30*0.65,4)*Basisbedragen!$I$2,2)),MIN(MAX(ROUND(ROUND('Loonschijven_Tranches salariale'!$Q52*0.65,4)*Basisbedragen!$I$7,2),ROUND(Basisbedragen!$D$48*Basisbedragen!$I$7,2)),ROUND(ROUND(Basisbedragen!$D$30*0.65,4)*Basisbedragen!$I$7,2))+Basisbedragen!$I$10)</f>
        <v>70.14</v>
      </c>
      <c r="D52" s="52">
        <f>IF(MIN(MAX(ROUND(ROUND('Loonschijven_Tranches salariale'!$Q52*0.6,4)*Basisbedragen!$I$7,2),ROUND(Basisbedragen!$D$49*Basisbedragen!$I$7,2)),ROUND(ROUND(Basisbedragen!$D$30*0.6,4)*Basisbedragen!$I$7,2))&lt;= Basisbedragen!$I$8,MIN(MAX(ROUND(ROUND('Loonschijven_Tranches salariale'!$Q52*0.6,4)*Basisbedragen!$I$2,2),ROUND(Basisbedragen!$D$49*Basisbedragen!$I$2,2)),ROUND(ROUND(Basisbedragen!$D$30*0.6,4)*Basisbedragen!$I$2,2)),MIN(MAX(ROUND(ROUND('Loonschijven_Tranches salariale'!$Q52*0.6,4)*Basisbedragen!$I$7,2),ROUND(Basisbedragen!$D$49*Basisbedragen!$I$7,2)),ROUND(ROUND(Basisbedragen!$D$30*0.6,4)*Basisbedragen!$I$7,2))+Basisbedragen!$I$10)</f>
        <v>64.739999999999995</v>
      </c>
      <c r="F52" s="448">
        <f t="shared" si="3"/>
        <v>84.17</v>
      </c>
      <c r="H52" s="52">
        <f t="shared" si="4"/>
        <v>77.69</v>
      </c>
      <c r="J52" s="52">
        <f>MIN(MAX(ROUND(ROUND('Loonschijven_Tranches salariale'!$Q52*0.65,4)*Basisbedragen!$I$2,2),ROUND(Basisbedragen!$D$73*Basisbedragen!$I$2,2)),ROUND(ROUND(Basisbedragen!$D$31*0.65,4)*Basisbedragen!$I$2,2))</f>
        <v>57.93</v>
      </c>
      <c r="L52" s="52">
        <f>ROUND(MIN(MAX(ROUND(ROUND('Loonschijven_Tranches salariale'!$Q52*0.65,4)*Basisbedragen!$I$2,2),ROUND(Basisbedragen!$D$48*Basisbedragen!$I$2,2)),ROUND(ROUND(Basisbedragen!$D$30*0.65,4)*Basisbedragen!$I$2,2))/2,2)</f>
        <v>35.07</v>
      </c>
      <c r="N52" s="52">
        <f>ROUND(MIN(MAX(ROUND(ROUND('Loonschijven_Tranches salariale'!$Q52*0.6,4)*Basisbedragen!$I$2,2),ROUND(Basisbedragen!$D$49*Basisbedragen!$I$2,2)),ROUND(ROUND(Basisbedragen!$D$30*0.6,4)*Basisbedragen!$I$2,2))/2,2)</f>
        <v>32.369999999999997</v>
      </c>
      <c r="P52" s="52">
        <f t="shared" si="5"/>
        <v>42.08</v>
      </c>
      <c r="R52" s="52">
        <f t="shared" si="6"/>
        <v>38.840000000000003</v>
      </c>
      <c r="T52" s="52">
        <f t="shared" si="7"/>
        <v>28.97</v>
      </c>
    </row>
    <row r="53" spans="1:20" ht="15" thickBot="1">
      <c r="A53" s="47">
        <f t="shared" si="8"/>
        <v>46</v>
      </c>
      <c r="B53" s="52">
        <f>IF(MIN(MAX(ROUND(ROUND('Loonschijven_Tranches salariale'!$Q53*0.65,4)*Basisbedragen!$I$7,2),ROUND(Basisbedragen!$D$48*Basisbedragen!$I$7,2)),ROUND(ROUND(Basisbedragen!$D$30*0.65,4)*Basisbedragen!$I$7,2))&lt;= Basisbedragen!$I$8,MIN(MAX(ROUND(ROUND('Loonschijven_Tranches salariale'!$Q53*0.65,4)*Basisbedragen!$I$2,2),ROUND(Basisbedragen!$D$48*Basisbedragen!$I$2,2)),ROUND(ROUND(Basisbedragen!$D$30*0.65,4)*Basisbedragen!$I$2,2)),MIN(MAX(ROUND(ROUND('Loonschijven_Tranches salariale'!$Q53*0.65,4)*Basisbedragen!$I$7,2),ROUND(Basisbedragen!$D$48*Basisbedragen!$I$7,2)),ROUND(ROUND(Basisbedragen!$D$30*0.65,4)*Basisbedragen!$I$7,2))+Basisbedragen!$I$10)</f>
        <v>70.14</v>
      </c>
      <c r="D53" s="52">
        <f>IF(MIN(MAX(ROUND(ROUND('Loonschijven_Tranches salariale'!$Q53*0.6,4)*Basisbedragen!$I$7,2),ROUND(Basisbedragen!$D$49*Basisbedragen!$I$7,2)),ROUND(ROUND(Basisbedragen!$D$30*0.6,4)*Basisbedragen!$I$7,2))&lt;= Basisbedragen!$I$8,MIN(MAX(ROUND(ROUND('Loonschijven_Tranches salariale'!$Q53*0.6,4)*Basisbedragen!$I$2,2),ROUND(Basisbedragen!$D$49*Basisbedragen!$I$2,2)),ROUND(ROUND(Basisbedragen!$D$30*0.6,4)*Basisbedragen!$I$2,2)),MIN(MAX(ROUND(ROUND('Loonschijven_Tranches salariale'!$Q53*0.6,4)*Basisbedragen!$I$7,2),ROUND(Basisbedragen!$D$49*Basisbedragen!$I$7,2)),ROUND(ROUND(Basisbedragen!$D$30*0.6,4)*Basisbedragen!$I$7,2))+Basisbedragen!$I$10)</f>
        <v>64.739999999999995</v>
      </c>
      <c r="F53" s="448">
        <f t="shared" si="3"/>
        <v>84.17</v>
      </c>
      <c r="H53" s="52">
        <f t="shared" si="4"/>
        <v>77.69</v>
      </c>
      <c r="J53" s="52">
        <f>MIN(MAX(ROUND(ROUND('Loonschijven_Tranches salariale'!$Q53*0.65,4)*Basisbedragen!$I$2,2),ROUND(Basisbedragen!$D$73*Basisbedragen!$I$2,2)),ROUND(ROUND(Basisbedragen!$D$31*0.65,4)*Basisbedragen!$I$2,2))</f>
        <v>58.94</v>
      </c>
      <c r="L53" s="52">
        <f>ROUND(MIN(MAX(ROUND(ROUND('Loonschijven_Tranches salariale'!$Q53*0.65,4)*Basisbedragen!$I$2,2),ROUND(Basisbedragen!$D$48*Basisbedragen!$I$2,2)),ROUND(ROUND(Basisbedragen!$D$30*0.65,4)*Basisbedragen!$I$2,2))/2,2)</f>
        <v>35.07</v>
      </c>
      <c r="N53" s="52">
        <f>ROUND(MIN(MAX(ROUND(ROUND('Loonschijven_Tranches salariale'!$Q53*0.6,4)*Basisbedragen!$I$2,2),ROUND(Basisbedragen!$D$49*Basisbedragen!$I$2,2)),ROUND(ROUND(Basisbedragen!$D$30*0.6,4)*Basisbedragen!$I$2,2))/2,2)</f>
        <v>32.369999999999997</v>
      </c>
      <c r="P53" s="52">
        <f t="shared" si="5"/>
        <v>42.08</v>
      </c>
      <c r="R53" s="52">
        <f t="shared" si="6"/>
        <v>38.840000000000003</v>
      </c>
      <c r="T53" s="52">
        <f t="shared" si="7"/>
        <v>29.47</v>
      </c>
    </row>
    <row r="54" spans="1:20" ht="15" thickBot="1">
      <c r="A54" s="47">
        <f t="shared" si="8"/>
        <v>47</v>
      </c>
      <c r="B54" s="52">
        <f>IF(MIN(MAX(ROUND(ROUND('Loonschijven_Tranches salariale'!$Q54*0.65,4)*Basisbedragen!$I$7,2),ROUND(Basisbedragen!$D$48*Basisbedragen!$I$7,2)),ROUND(ROUND(Basisbedragen!$D$30*0.65,4)*Basisbedragen!$I$7,2))&lt;= Basisbedragen!$I$8,MIN(MAX(ROUND(ROUND('Loonschijven_Tranches salariale'!$Q54*0.65,4)*Basisbedragen!$I$2,2),ROUND(Basisbedragen!$D$48*Basisbedragen!$I$2,2)),ROUND(ROUND(Basisbedragen!$D$30*0.65,4)*Basisbedragen!$I$2,2)),MIN(MAX(ROUND(ROUND('Loonschijven_Tranches salariale'!$Q54*0.65,4)*Basisbedragen!$I$7,2),ROUND(Basisbedragen!$D$48*Basisbedragen!$I$7,2)),ROUND(ROUND(Basisbedragen!$D$30*0.65,4)*Basisbedragen!$I$7,2))+Basisbedragen!$I$10)</f>
        <v>70.14</v>
      </c>
      <c r="D54" s="52">
        <f>IF(MIN(MAX(ROUND(ROUND('Loonschijven_Tranches salariale'!$Q54*0.6,4)*Basisbedragen!$I$7,2),ROUND(Basisbedragen!$D$49*Basisbedragen!$I$7,2)),ROUND(ROUND(Basisbedragen!$D$30*0.6,4)*Basisbedragen!$I$7,2))&lt;= Basisbedragen!$I$8,MIN(MAX(ROUND(ROUND('Loonschijven_Tranches salariale'!$Q54*0.6,4)*Basisbedragen!$I$2,2),ROUND(Basisbedragen!$D$49*Basisbedragen!$I$2,2)),ROUND(ROUND(Basisbedragen!$D$30*0.6,4)*Basisbedragen!$I$2,2)),MIN(MAX(ROUND(ROUND('Loonschijven_Tranches salariale'!$Q54*0.6,4)*Basisbedragen!$I$7,2),ROUND(Basisbedragen!$D$49*Basisbedragen!$I$7,2)),ROUND(ROUND(Basisbedragen!$D$30*0.6,4)*Basisbedragen!$I$7,2))+Basisbedragen!$I$10)</f>
        <v>64.739999999999995</v>
      </c>
      <c r="F54" s="448">
        <f t="shared" si="3"/>
        <v>84.17</v>
      </c>
      <c r="H54" s="52">
        <f t="shared" si="4"/>
        <v>77.69</v>
      </c>
      <c r="J54" s="52">
        <f>MIN(MAX(ROUND(ROUND('Loonschijven_Tranches salariale'!$Q54*0.65,4)*Basisbedragen!$I$2,2),ROUND(Basisbedragen!$D$73*Basisbedragen!$I$2,2)),ROUND(ROUND(Basisbedragen!$D$31*0.65,4)*Basisbedragen!$I$2,2))</f>
        <v>59.96</v>
      </c>
      <c r="L54" s="52">
        <f>ROUND(MIN(MAX(ROUND(ROUND('Loonschijven_Tranches salariale'!$Q54*0.65,4)*Basisbedragen!$I$2,2),ROUND(Basisbedragen!$D$48*Basisbedragen!$I$2,2)),ROUND(ROUND(Basisbedragen!$D$30*0.65,4)*Basisbedragen!$I$2,2))/2,2)</f>
        <v>35.07</v>
      </c>
      <c r="N54" s="52">
        <f>ROUND(MIN(MAX(ROUND(ROUND('Loonschijven_Tranches salariale'!$Q54*0.6,4)*Basisbedragen!$I$2,2),ROUND(Basisbedragen!$D$49*Basisbedragen!$I$2,2)),ROUND(ROUND(Basisbedragen!$D$30*0.6,4)*Basisbedragen!$I$2,2))/2,2)</f>
        <v>32.369999999999997</v>
      </c>
      <c r="P54" s="52">
        <f t="shared" si="5"/>
        <v>42.08</v>
      </c>
      <c r="R54" s="52">
        <f t="shared" si="6"/>
        <v>38.840000000000003</v>
      </c>
      <c r="T54" s="52">
        <f t="shared" si="7"/>
        <v>29.98</v>
      </c>
    </row>
    <row r="55" spans="1:20" ht="15" thickBot="1">
      <c r="A55" s="47">
        <f t="shared" si="8"/>
        <v>48</v>
      </c>
      <c r="B55" s="52">
        <f>IF(MIN(MAX(ROUND(ROUND('Loonschijven_Tranches salariale'!$Q55*0.65,4)*Basisbedragen!$I$7,2),ROUND(Basisbedragen!$D$48*Basisbedragen!$I$7,2)),ROUND(ROUND(Basisbedragen!$D$30*0.65,4)*Basisbedragen!$I$7,2))&lt;= Basisbedragen!$I$8,MIN(MAX(ROUND(ROUND('Loonschijven_Tranches salariale'!$Q55*0.65,4)*Basisbedragen!$I$2,2),ROUND(Basisbedragen!$D$48*Basisbedragen!$I$2,2)),ROUND(ROUND(Basisbedragen!$D$30*0.65,4)*Basisbedragen!$I$2,2)),MIN(MAX(ROUND(ROUND('Loonschijven_Tranches salariale'!$Q55*0.65,4)*Basisbedragen!$I$7,2),ROUND(Basisbedragen!$D$48*Basisbedragen!$I$7,2)),ROUND(ROUND(Basisbedragen!$D$30*0.65,4)*Basisbedragen!$I$7,2))+Basisbedragen!$I$10)</f>
        <v>70.14</v>
      </c>
      <c r="D55" s="52">
        <f>IF(MIN(MAX(ROUND(ROUND('Loonschijven_Tranches salariale'!$Q55*0.6,4)*Basisbedragen!$I$7,2),ROUND(Basisbedragen!$D$49*Basisbedragen!$I$7,2)),ROUND(ROUND(Basisbedragen!$D$30*0.6,4)*Basisbedragen!$I$7,2))&lt;= Basisbedragen!$I$8,MIN(MAX(ROUND(ROUND('Loonschijven_Tranches salariale'!$Q55*0.6,4)*Basisbedragen!$I$2,2),ROUND(Basisbedragen!$D$49*Basisbedragen!$I$2,2)),ROUND(ROUND(Basisbedragen!$D$30*0.6,4)*Basisbedragen!$I$2,2)),MIN(MAX(ROUND(ROUND('Loonschijven_Tranches salariale'!$Q55*0.6,4)*Basisbedragen!$I$7,2),ROUND(Basisbedragen!$D$49*Basisbedragen!$I$7,2)),ROUND(ROUND(Basisbedragen!$D$30*0.6,4)*Basisbedragen!$I$7,2))+Basisbedragen!$I$10)</f>
        <v>64.739999999999995</v>
      </c>
      <c r="F55" s="448">
        <f t="shared" si="3"/>
        <v>84.17</v>
      </c>
      <c r="H55" s="52">
        <f t="shared" si="4"/>
        <v>77.69</v>
      </c>
      <c r="J55" s="52">
        <f>MIN(MAX(ROUND(ROUND('Loonschijven_Tranches salariale'!$Q55*0.65,4)*Basisbedragen!$I$2,2),ROUND(Basisbedragen!$D$73*Basisbedragen!$I$2,2)),ROUND(ROUND(Basisbedragen!$D$31*0.65,4)*Basisbedragen!$I$2,2))</f>
        <v>60.98</v>
      </c>
      <c r="L55" s="52">
        <f>ROUND(MIN(MAX(ROUND(ROUND('Loonschijven_Tranches salariale'!$Q55*0.65,4)*Basisbedragen!$I$2,2),ROUND(Basisbedragen!$D$48*Basisbedragen!$I$2,2)),ROUND(ROUND(Basisbedragen!$D$30*0.65,4)*Basisbedragen!$I$2,2))/2,2)</f>
        <v>35.07</v>
      </c>
      <c r="N55" s="52">
        <f>ROUND(MIN(MAX(ROUND(ROUND('Loonschijven_Tranches salariale'!$Q55*0.6,4)*Basisbedragen!$I$2,2),ROUND(Basisbedragen!$D$49*Basisbedragen!$I$2,2)),ROUND(ROUND(Basisbedragen!$D$30*0.6,4)*Basisbedragen!$I$2,2))/2,2)</f>
        <v>32.369999999999997</v>
      </c>
      <c r="P55" s="52">
        <f t="shared" si="5"/>
        <v>42.08</v>
      </c>
      <c r="R55" s="52">
        <f t="shared" si="6"/>
        <v>38.840000000000003</v>
      </c>
      <c r="T55" s="52">
        <f t="shared" si="7"/>
        <v>30.49</v>
      </c>
    </row>
    <row r="56" spans="1:20" ht="15" thickBot="1">
      <c r="A56" s="47">
        <f t="shared" si="8"/>
        <v>49</v>
      </c>
      <c r="B56" s="52">
        <f>IF(MIN(MAX(ROUND(ROUND('Loonschijven_Tranches salariale'!$Q56*0.65,4)*Basisbedragen!$I$7,2),ROUND(Basisbedragen!$D$48*Basisbedragen!$I$7,2)),ROUND(ROUND(Basisbedragen!$D$30*0.65,4)*Basisbedragen!$I$7,2))&lt;= Basisbedragen!$I$8,MIN(MAX(ROUND(ROUND('Loonschijven_Tranches salariale'!$Q56*0.65,4)*Basisbedragen!$I$2,2),ROUND(Basisbedragen!$D$48*Basisbedragen!$I$2,2)),ROUND(ROUND(Basisbedragen!$D$30*0.65,4)*Basisbedragen!$I$2,2)),MIN(MAX(ROUND(ROUND('Loonschijven_Tranches salariale'!$Q56*0.65,4)*Basisbedragen!$I$7,2),ROUND(Basisbedragen!$D$48*Basisbedragen!$I$7,2)),ROUND(ROUND(Basisbedragen!$D$30*0.65,4)*Basisbedragen!$I$7,2))+Basisbedragen!$I$10)</f>
        <v>70.14</v>
      </c>
      <c r="D56" s="52">
        <f>IF(MIN(MAX(ROUND(ROUND('Loonschijven_Tranches salariale'!$Q56*0.6,4)*Basisbedragen!$I$7,2),ROUND(Basisbedragen!$D$49*Basisbedragen!$I$7,2)),ROUND(ROUND(Basisbedragen!$D$30*0.6,4)*Basisbedragen!$I$7,2))&lt;= Basisbedragen!$I$8,MIN(MAX(ROUND(ROUND('Loonschijven_Tranches salariale'!$Q56*0.6,4)*Basisbedragen!$I$2,2),ROUND(Basisbedragen!$D$49*Basisbedragen!$I$2,2)),ROUND(ROUND(Basisbedragen!$D$30*0.6,4)*Basisbedragen!$I$2,2)),MIN(MAX(ROUND(ROUND('Loonschijven_Tranches salariale'!$Q56*0.6,4)*Basisbedragen!$I$7,2),ROUND(Basisbedragen!$D$49*Basisbedragen!$I$7,2)),ROUND(ROUND(Basisbedragen!$D$30*0.6,4)*Basisbedragen!$I$7,2))+Basisbedragen!$I$10)</f>
        <v>64.739999999999995</v>
      </c>
      <c r="F56" s="448">
        <f t="shared" si="3"/>
        <v>84.17</v>
      </c>
      <c r="H56" s="52">
        <f t="shared" si="4"/>
        <v>77.69</v>
      </c>
      <c r="J56" s="52">
        <f>MIN(MAX(ROUND(ROUND('Loonschijven_Tranches salariale'!$Q56*0.65,4)*Basisbedragen!$I$2,2),ROUND(Basisbedragen!$D$73*Basisbedragen!$I$2,2)),ROUND(ROUND(Basisbedragen!$D$31*0.65,4)*Basisbedragen!$I$2,2))</f>
        <v>61.99</v>
      </c>
      <c r="L56" s="52">
        <f>ROUND(MIN(MAX(ROUND(ROUND('Loonschijven_Tranches salariale'!$Q56*0.65,4)*Basisbedragen!$I$2,2),ROUND(Basisbedragen!$D$48*Basisbedragen!$I$2,2)),ROUND(ROUND(Basisbedragen!$D$30*0.65,4)*Basisbedragen!$I$2,2))/2,2)</f>
        <v>35.07</v>
      </c>
      <c r="N56" s="52">
        <f>ROUND(MIN(MAX(ROUND(ROUND('Loonschijven_Tranches salariale'!$Q56*0.6,4)*Basisbedragen!$I$2,2),ROUND(Basisbedragen!$D$49*Basisbedragen!$I$2,2)),ROUND(ROUND(Basisbedragen!$D$30*0.6,4)*Basisbedragen!$I$2,2))/2,2)</f>
        <v>32.369999999999997</v>
      </c>
      <c r="P56" s="52">
        <f t="shared" si="5"/>
        <v>42.08</v>
      </c>
      <c r="R56" s="52">
        <f t="shared" si="6"/>
        <v>38.840000000000003</v>
      </c>
      <c r="T56" s="52">
        <f t="shared" si="7"/>
        <v>31</v>
      </c>
    </row>
    <row r="57" spans="1:20" ht="15" thickBot="1">
      <c r="A57" s="47">
        <f t="shared" si="8"/>
        <v>50</v>
      </c>
      <c r="B57" s="52">
        <f>IF(MIN(MAX(ROUND(ROUND('Loonschijven_Tranches salariale'!$Q57*0.65,4)*Basisbedragen!$I$7,2),ROUND(Basisbedragen!$D$48*Basisbedragen!$I$7,2)),ROUND(ROUND(Basisbedragen!$D$30*0.65,4)*Basisbedragen!$I$7,2))&lt;= Basisbedragen!$I$8,MIN(MAX(ROUND(ROUND('Loonschijven_Tranches salariale'!$Q57*0.65,4)*Basisbedragen!$I$2,2),ROUND(Basisbedragen!$D$48*Basisbedragen!$I$2,2)),ROUND(ROUND(Basisbedragen!$D$30*0.65,4)*Basisbedragen!$I$2,2)),MIN(MAX(ROUND(ROUND('Loonschijven_Tranches salariale'!$Q57*0.65,4)*Basisbedragen!$I$7,2),ROUND(Basisbedragen!$D$48*Basisbedragen!$I$7,2)),ROUND(ROUND(Basisbedragen!$D$30*0.65,4)*Basisbedragen!$I$7,2))+Basisbedragen!$I$10)</f>
        <v>70.14</v>
      </c>
      <c r="D57" s="52">
        <f>IF(MIN(MAX(ROUND(ROUND('Loonschijven_Tranches salariale'!$Q57*0.6,4)*Basisbedragen!$I$7,2),ROUND(Basisbedragen!$D$49*Basisbedragen!$I$7,2)),ROUND(ROUND(Basisbedragen!$D$30*0.6,4)*Basisbedragen!$I$7,2))&lt;= Basisbedragen!$I$8,MIN(MAX(ROUND(ROUND('Loonschijven_Tranches salariale'!$Q57*0.6,4)*Basisbedragen!$I$2,2),ROUND(Basisbedragen!$D$49*Basisbedragen!$I$2,2)),ROUND(ROUND(Basisbedragen!$D$30*0.6,4)*Basisbedragen!$I$2,2)),MIN(MAX(ROUND(ROUND('Loonschijven_Tranches salariale'!$Q57*0.6,4)*Basisbedragen!$I$7,2),ROUND(Basisbedragen!$D$49*Basisbedragen!$I$7,2)),ROUND(ROUND(Basisbedragen!$D$30*0.6,4)*Basisbedragen!$I$7,2))+Basisbedragen!$I$10)</f>
        <v>64.739999999999995</v>
      </c>
      <c r="F57" s="448">
        <f t="shared" si="3"/>
        <v>84.17</v>
      </c>
      <c r="H57" s="52">
        <f t="shared" si="4"/>
        <v>77.69</v>
      </c>
      <c r="J57" s="52">
        <f>MIN(MAX(ROUND(ROUND('Loonschijven_Tranches salariale'!$Q57*0.65,4)*Basisbedragen!$I$2,2),ROUND(Basisbedragen!$D$73*Basisbedragen!$I$2,2)),ROUND(ROUND(Basisbedragen!$D$31*0.65,4)*Basisbedragen!$I$2,2))</f>
        <v>63.01</v>
      </c>
      <c r="L57" s="52">
        <f>ROUND(MIN(MAX(ROUND(ROUND('Loonschijven_Tranches salariale'!$Q57*0.65,4)*Basisbedragen!$I$2,2),ROUND(Basisbedragen!$D$48*Basisbedragen!$I$2,2)),ROUND(ROUND(Basisbedragen!$D$30*0.65,4)*Basisbedragen!$I$2,2))/2,2)</f>
        <v>35.07</v>
      </c>
      <c r="N57" s="52">
        <f>ROUND(MIN(MAX(ROUND(ROUND('Loonschijven_Tranches salariale'!$Q57*0.6,4)*Basisbedragen!$I$2,2),ROUND(Basisbedragen!$D$49*Basisbedragen!$I$2,2)),ROUND(ROUND(Basisbedragen!$D$30*0.6,4)*Basisbedragen!$I$2,2))/2,2)</f>
        <v>32.369999999999997</v>
      </c>
      <c r="P57" s="52">
        <f t="shared" si="5"/>
        <v>42.08</v>
      </c>
      <c r="R57" s="52">
        <f t="shared" si="6"/>
        <v>38.840000000000003</v>
      </c>
      <c r="T57" s="52">
        <f t="shared" si="7"/>
        <v>31.51</v>
      </c>
    </row>
    <row r="58" spans="1:20" ht="15" thickBot="1">
      <c r="A58" s="47">
        <f t="shared" si="8"/>
        <v>51</v>
      </c>
      <c r="B58" s="52">
        <f>IF(MIN(MAX(ROUND(ROUND('Loonschijven_Tranches salariale'!$Q58*0.65,4)*Basisbedragen!$I$7,2),ROUND(Basisbedragen!$D$48*Basisbedragen!$I$7,2)),ROUND(ROUND(Basisbedragen!$D$30*0.65,4)*Basisbedragen!$I$7,2))&lt;= Basisbedragen!$I$8,MIN(MAX(ROUND(ROUND('Loonschijven_Tranches salariale'!$Q58*0.65,4)*Basisbedragen!$I$2,2),ROUND(Basisbedragen!$D$48*Basisbedragen!$I$2,2)),ROUND(ROUND(Basisbedragen!$D$30*0.65,4)*Basisbedragen!$I$2,2)),MIN(MAX(ROUND(ROUND('Loonschijven_Tranches salariale'!$Q58*0.65,4)*Basisbedragen!$I$7,2),ROUND(Basisbedragen!$D$48*Basisbedragen!$I$7,2)),ROUND(ROUND(Basisbedragen!$D$30*0.65,4)*Basisbedragen!$I$7,2))+Basisbedragen!$I$10)</f>
        <v>70.14</v>
      </c>
      <c r="D58" s="52">
        <f>IF(MIN(MAX(ROUND(ROUND('Loonschijven_Tranches salariale'!$Q58*0.6,4)*Basisbedragen!$I$7,2),ROUND(Basisbedragen!$D$49*Basisbedragen!$I$7,2)),ROUND(ROUND(Basisbedragen!$D$30*0.6,4)*Basisbedragen!$I$7,2))&lt;= Basisbedragen!$I$8,MIN(MAX(ROUND(ROUND('Loonschijven_Tranches salariale'!$Q58*0.6,4)*Basisbedragen!$I$2,2),ROUND(Basisbedragen!$D$49*Basisbedragen!$I$2,2)),ROUND(ROUND(Basisbedragen!$D$30*0.6,4)*Basisbedragen!$I$2,2)),MIN(MAX(ROUND(ROUND('Loonschijven_Tranches salariale'!$Q58*0.6,4)*Basisbedragen!$I$7,2),ROUND(Basisbedragen!$D$49*Basisbedragen!$I$7,2)),ROUND(ROUND(Basisbedragen!$D$30*0.6,4)*Basisbedragen!$I$7,2))+Basisbedragen!$I$10)</f>
        <v>64.739999999999995</v>
      </c>
      <c r="F58" s="448">
        <f t="shared" si="3"/>
        <v>84.17</v>
      </c>
      <c r="H58" s="52">
        <f t="shared" si="4"/>
        <v>77.69</v>
      </c>
      <c r="J58" s="52">
        <f>MIN(MAX(ROUND(ROUND('Loonschijven_Tranches salariale'!$Q58*0.65,4)*Basisbedragen!$I$2,2),ROUND(Basisbedragen!$D$73*Basisbedragen!$I$2,2)),ROUND(ROUND(Basisbedragen!$D$31*0.65,4)*Basisbedragen!$I$2,2))</f>
        <v>64.03</v>
      </c>
      <c r="L58" s="52">
        <f>ROUND(MIN(MAX(ROUND(ROUND('Loonschijven_Tranches salariale'!$Q58*0.65,4)*Basisbedragen!$I$2,2),ROUND(Basisbedragen!$D$48*Basisbedragen!$I$2,2)),ROUND(ROUND(Basisbedragen!$D$30*0.65,4)*Basisbedragen!$I$2,2))/2,2)</f>
        <v>35.07</v>
      </c>
      <c r="N58" s="52">
        <f>ROUND(MIN(MAX(ROUND(ROUND('Loonschijven_Tranches salariale'!$Q58*0.6,4)*Basisbedragen!$I$2,2),ROUND(Basisbedragen!$D$49*Basisbedragen!$I$2,2)),ROUND(ROUND(Basisbedragen!$D$30*0.6,4)*Basisbedragen!$I$2,2))/2,2)</f>
        <v>32.369999999999997</v>
      </c>
      <c r="P58" s="52">
        <f t="shared" si="5"/>
        <v>42.08</v>
      </c>
      <c r="R58" s="52">
        <f t="shared" si="6"/>
        <v>38.840000000000003</v>
      </c>
      <c r="T58" s="52">
        <f t="shared" si="7"/>
        <v>32.020000000000003</v>
      </c>
    </row>
    <row r="59" spans="1:20" ht="15" thickBot="1">
      <c r="A59" s="47">
        <f t="shared" si="8"/>
        <v>52</v>
      </c>
      <c r="B59" s="52">
        <f>IF(MIN(MAX(ROUND(ROUND('Loonschijven_Tranches salariale'!$Q59*0.65,4)*Basisbedragen!$I$7,2),ROUND(Basisbedragen!$D$48*Basisbedragen!$I$7,2)),ROUND(ROUND(Basisbedragen!$D$30*0.65,4)*Basisbedragen!$I$7,2))&lt;= Basisbedragen!$I$8,MIN(MAX(ROUND(ROUND('Loonschijven_Tranches salariale'!$Q59*0.65,4)*Basisbedragen!$I$2,2),ROUND(Basisbedragen!$D$48*Basisbedragen!$I$2,2)),ROUND(ROUND(Basisbedragen!$D$30*0.65,4)*Basisbedragen!$I$2,2)),MIN(MAX(ROUND(ROUND('Loonschijven_Tranches salariale'!$Q59*0.65,4)*Basisbedragen!$I$7,2),ROUND(Basisbedragen!$D$48*Basisbedragen!$I$7,2)),ROUND(ROUND(Basisbedragen!$D$30*0.65,4)*Basisbedragen!$I$7,2))+Basisbedragen!$I$10)</f>
        <v>70.14</v>
      </c>
      <c r="D59" s="52">
        <f>IF(MIN(MAX(ROUND(ROUND('Loonschijven_Tranches salariale'!$Q59*0.6,4)*Basisbedragen!$I$7,2),ROUND(Basisbedragen!$D$49*Basisbedragen!$I$7,2)),ROUND(ROUND(Basisbedragen!$D$30*0.6,4)*Basisbedragen!$I$7,2))&lt;= Basisbedragen!$I$8,MIN(MAX(ROUND(ROUND('Loonschijven_Tranches salariale'!$Q59*0.6,4)*Basisbedragen!$I$2,2),ROUND(Basisbedragen!$D$49*Basisbedragen!$I$2,2)),ROUND(ROUND(Basisbedragen!$D$30*0.6,4)*Basisbedragen!$I$2,2)),MIN(MAX(ROUND(ROUND('Loonschijven_Tranches salariale'!$Q59*0.6,4)*Basisbedragen!$I$7,2),ROUND(Basisbedragen!$D$49*Basisbedragen!$I$7,2)),ROUND(ROUND(Basisbedragen!$D$30*0.6,4)*Basisbedragen!$I$7,2))+Basisbedragen!$I$10)</f>
        <v>64.739999999999995</v>
      </c>
      <c r="F59" s="448">
        <f t="shared" si="3"/>
        <v>84.17</v>
      </c>
      <c r="H59" s="52">
        <f t="shared" si="4"/>
        <v>77.69</v>
      </c>
      <c r="J59" s="52">
        <f>MIN(MAX(ROUND(ROUND('Loonschijven_Tranches salariale'!$Q59*0.65,4)*Basisbedragen!$I$2,2),ROUND(Basisbedragen!$D$73*Basisbedragen!$I$2,2)),ROUND(ROUND(Basisbedragen!$D$31*0.65,4)*Basisbedragen!$I$2,2))</f>
        <v>65.040000000000006</v>
      </c>
      <c r="L59" s="52">
        <f>ROUND(MIN(MAX(ROUND(ROUND('Loonschijven_Tranches salariale'!$Q59*0.65,4)*Basisbedragen!$I$2,2),ROUND(Basisbedragen!$D$48*Basisbedragen!$I$2,2)),ROUND(ROUND(Basisbedragen!$D$30*0.65,4)*Basisbedragen!$I$2,2))/2,2)</f>
        <v>35.07</v>
      </c>
      <c r="N59" s="52">
        <f>ROUND(MIN(MAX(ROUND(ROUND('Loonschijven_Tranches salariale'!$Q59*0.6,4)*Basisbedragen!$I$2,2),ROUND(Basisbedragen!$D$49*Basisbedragen!$I$2,2)),ROUND(ROUND(Basisbedragen!$D$30*0.6,4)*Basisbedragen!$I$2,2))/2,2)</f>
        <v>32.369999999999997</v>
      </c>
      <c r="P59" s="52">
        <f t="shared" si="5"/>
        <v>42.08</v>
      </c>
      <c r="R59" s="52">
        <f t="shared" si="6"/>
        <v>38.840000000000003</v>
      </c>
      <c r="T59" s="52">
        <f t="shared" si="7"/>
        <v>32.520000000000003</v>
      </c>
    </row>
    <row r="60" spans="1:20" ht="15" thickBot="1">
      <c r="A60" s="47">
        <f t="shared" si="8"/>
        <v>53</v>
      </c>
      <c r="B60" s="52">
        <f>IF(MIN(MAX(ROUND(ROUND('Loonschijven_Tranches salariale'!$Q60*0.65,4)*Basisbedragen!$I$7,2),ROUND(Basisbedragen!$D$48*Basisbedragen!$I$7,2)),ROUND(ROUND(Basisbedragen!$D$30*0.65,4)*Basisbedragen!$I$7,2))&lt;= Basisbedragen!$I$8,MIN(MAX(ROUND(ROUND('Loonschijven_Tranches salariale'!$Q60*0.65,4)*Basisbedragen!$I$2,2),ROUND(Basisbedragen!$D$48*Basisbedragen!$I$2,2)),ROUND(ROUND(Basisbedragen!$D$30*0.65,4)*Basisbedragen!$I$2,2)),MIN(MAX(ROUND(ROUND('Loonschijven_Tranches salariale'!$Q60*0.65,4)*Basisbedragen!$I$7,2),ROUND(Basisbedragen!$D$48*Basisbedragen!$I$7,2)),ROUND(ROUND(Basisbedragen!$D$30*0.65,4)*Basisbedragen!$I$7,2))+Basisbedragen!$I$10)</f>
        <v>70.14</v>
      </c>
      <c r="D60" s="52">
        <f>IF(MIN(MAX(ROUND(ROUND('Loonschijven_Tranches salariale'!$Q60*0.6,4)*Basisbedragen!$I$7,2),ROUND(Basisbedragen!$D$49*Basisbedragen!$I$7,2)),ROUND(ROUND(Basisbedragen!$D$30*0.6,4)*Basisbedragen!$I$7,2))&lt;= Basisbedragen!$I$8,MIN(MAX(ROUND(ROUND('Loonschijven_Tranches salariale'!$Q60*0.6,4)*Basisbedragen!$I$2,2),ROUND(Basisbedragen!$D$49*Basisbedragen!$I$2,2)),ROUND(ROUND(Basisbedragen!$D$30*0.6,4)*Basisbedragen!$I$2,2)),MIN(MAX(ROUND(ROUND('Loonschijven_Tranches salariale'!$Q60*0.6,4)*Basisbedragen!$I$7,2),ROUND(Basisbedragen!$D$49*Basisbedragen!$I$7,2)),ROUND(ROUND(Basisbedragen!$D$30*0.6,4)*Basisbedragen!$I$7,2))+Basisbedragen!$I$10)</f>
        <v>64.739999999999995</v>
      </c>
      <c r="F60" s="448">
        <f t="shared" si="3"/>
        <v>84.17</v>
      </c>
      <c r="H60" s="52">
        <f t="shared" si="4"/>
        <v>77.69</v>
      </c>
      <c r="J60" s="52">
        <f>MIN(MAX(ROUND(ROUND('Loonschijven_Tranches salariale'!$Q60*0.65,4)*Basisbedragen!$I$2,2),ROUND(Basisbedragen!$D$73*Basisbedragen!$I$2,2)),ROUND(ROUND(Basisbedragen!$D$31*0.65,4)*Basisbedragen!$I$2,2))</f>
        <v>66.06</v>
      </c>
      <c r="L60" s="52">
        <f>ROUND(MIN(MAX(ROUND(ROUND('Loonschijven_Tranches salariale'!$Q60*0.65,4)*Basisbedragen!$I$2,2),ROUND(Basisbedragen!$D$48*Basisbedragen!$I$2,2)),ROUND(ROUND(Basisbedragen!$D$30*0.65,4)*Basisbedragen!$I$2,2))/2,2)</f>
        <v>35.07</v>
      </c>
      <c r="N60" s="52">
        <f>ROUND(MIN(MAX(ROUND(ROUND('Loonschijven_Tranches salariale'!$Q60*0.6,4)*Basisbedragen!$I$2,2),ROUND(Basisbedragen!$D$49*Basisbedragen!$I$2,2)),ROUND(ROUND(Basisbedragen!$D$30*0.6,4)*Basisbedragen!$I$2,2))/2,2)</f>
        <v>32.369999999999997</v>
      </c>
      <c r="P60" s="52">
        <f t="shared" si="5"/>
        <v>42.08</v>
      </c>
      <c r="R60" s="52">
        <f t="shared" si="6"/>
        <v>38.840000000000003</v>
      </c>
      <c r="T60" s="52">
        <f t="shared" si="7"/>
        <v>33.03</v>
      </c>
    </row>
    <row r="61" spans="1:20" ht="15" thickBot="1">
      <c r="A61" s="47">
        <f t="shared" si="8"/>
        <v>54</v>
      </c>
      <c r="B61" s="52">
        <f>IF(MIN(MAX(ROUND(ROUND('Loonschijven_Tranches salariale'!$Q61*0.65,4)*Basisbedragen!$I$7,2),ROUND(Basisbedragen!$D$48*Basisbedragen!$I$7,2)),ROUND(ROUND(Basisbedragen!$D$30*0.65,4)*Basisbedragen!$I$7,2))&lt;= Basisbedragen!$I$8,MIN(MAX(ROUND(ROUND('Loonschijven_Tranches salariale'!$Q61*0.65,4)*Basisbedragen!$I$2,2),ROUND(Basisbedragen!$D$48*Basisbedragen!$I$2,2)),ROUND(ROUND(Basisbedragen!$D$30*0.65,4)*Basisbedragen!$I$2,2)),MIN(MAX(ROUND(ROUND('Loonschijven_Tranches salariale'!$Q61*0.65,4)*Basisbedragen!$I$7,2),ROUND(Basisbedragen!$D$48*Basisbedragen!$I$7,2)),ROUND(ROUND(Basisbedragen!$D$30*0.65,4)*Basisbedragen!$I$7,2))+Basisbedragen!$I$10)</f>
        <v>70.14</v>
      </c>
      <c r="D61" s="52">
        <f>IF(MIN(MAX(ROUND(ROUND('Loonschijven_Tranches salariale'!$Q61*0.6,4)*Basisbedragen!$I$7,2),ROUND(Basisbedragen!$D$49*Basisbedragen!$I$7,2)),ROUND(ROUND(Basisbedragen!$D$30*0.6,4)*Basisbedragen!$I$7,2))&lt;= Basisbedragen!$I$8,MIN(MAX(ROUND(ROUND('Loonschijven_Tranches salariale'!$Q61*0.6,4)*Basisbedragen!$I$2,2),ROUND(Basisbedragen!$D$49*Basisbedragen!$I$2,2)),ROUND(ROUND(Basisbedragen!$D$30*0.6,4)*Basisbedragen!$I$2,2)),MIN(MAX(ROUND(ROUND('Loonschijven_Tranches salariale'!$Q61*0.6,4)*Basisbedragen!$I$7,2),ROUND(Basisbedragen!$D$49*Basisbedragen!$I$7,2)),ROUND(ROUND(Basisbedragen!$D$30*0.6,4)*Basisbedragen!$I$7,2))+Basisbedragen!$I$10)</f>
        <v>64.739999999999995</v>
      </c>
      <c r="F61" s="448">
        <f t="shared" si="3"/>
        <v>84.17</v>
      </c>
      <c r="H61" s="52">
        <f t="shared" si="4"/>
        <v>77.69</v>
      </c>
      <c r="J61" s="52">
        <f>MIN(MAX(ROUND(ROUND('Loonschijven_Tranches salariale'!$Q61*0.65,4)*Basisbedragen!$I$2,2),ROUND(Basisbedragen!$D$73*Basisbedragen!$I$2,2)),ROUND(ROUND(Basisbedragen!$D$31*0.65,4)*Basisbedragen!$I$2,2))</f>
        <v>66.569999999999993</v>
      </c>
      <c r="L61" s="52">
        <f>ROUND(MIN(MAX(ROUND(ROUND('Loonschijven_Tranches salariale'!$Q61*0.65,4)*Basisbedragen!$I$2,2),ROUND(Basisbedragen!$D$48*Basisbedragen!$I$2,2)),ROUND(ROUND(Basisbedragen!$D$30*0.65,4)*Basisbedragen!$I$2,2))/2,2)</f>
        <v>35.07</v>
      </c>
      <c r="N61" s="52">
        <f>ROUND(MIN(MAX(ROUND(ROUND('Loonschijven_Tranches salariale'!$Q61*0.6,4)*Basisbedragen!$I$2,2),ROUND(Basisbedragen!$D$49*Basisbedragen!$I$2,2)),ROUND(ROUND(Basisbedragen!$D$30*0.6,4)*Basisbedragen!$I$2,2))/2,2)</f>
        <v>32.369999999999997</v>
      </c>
      <c r="P61" s="52">
        <f t="shared" si="5"/>
        <v>42.08</v>
      </c>
      <c r="R61" s="52">
        <f t="shared" si="6"/>
        <v>38.840000000000003</v>
      </c>
      <c r="T61" s="52">
        <f t="shared" si="7"/>
        <v>33.29</v>
      </c>
    </row>
    <row r="62" spans="1:20" ht="15" thickBot="1">
      <c r="A62" s="47">
        <f t="shared" si="8"/>
        <v>55</v>
      </c>
      <c r="B62" s="52">
        <f>IF(MIN(MAX(ROUND(ROUND('Loonschijven_Tranches salariale'!$Q62*0.65,4)*Basisbedragen!$I$7,2),ROUND(Basisbedragen!$D$48*Basisbedragen!$I$7,2)),ROUND(ROUND(Basisbedragen!$D$30*0.65,4)*Basisbedragen!$I$7,2))&lt;= Basisbedragen!$I$8,MIN(MAX(ROUND(ROUND('Loonschijven_Tranches salariale'!$Q62*0.65,4)*Basisbedragen!$I$2,2),ROUND(Basisbedragen!$D$48*Basisbedragen!$I$2,2)),ROUND(ROUND(Basisbedragen!$D$30*0.65,4)*Basisbedragen!$I$2,2)),MIN(MAX(ROUND(ROUND('Loonschijven_Tranches salariale'!$Q62*0.65,4)*Basisbedragen!$I$7,2),ROUND(Basisbedragen!$D$48*Basisbedragen!$I$7,2)),ROUND(ROUND(Basisbedragen!$D$30*0.65,4)*Basisbedragen!$I$7,2))+Basisbedragen!$I$10)</f>
        <v>70.14</v>
      </c>
      <c r="D62" s="52">
        <f>IF(MIN(MAX(ROUND(ROUND('Loonschijven_Tranches salariale'!$Q62*0.6,4)*Basisbedragen!$I$7,2),ROUND(Basisbedragen!$D$49*Basisbedragen!$I$7,2)),ROUND(ROUND(Basisbedragen!$D$30*0.6,4)*Basisbedragen!$I$7,2))&lt;= Basisbedragen!$I$8,MIN(MAX(ROUND(ROUND('Loonschijven_Tranches salariale'!$Q62*0.6,4)*Basisbedragen!$I$2,2),ROUND(Basisbedragen!$D$49*Basisbedragen!$I$2,2)),ROUND(ROUND(Basisbedragen!$D$30*0.6,4)*Basisbedragen!$I$2,2)),MIN(MAX(ROUND(ROUND('Loonschijven_Tranches salariale'!$Q62*0.6,4)*Basisbedragen!$I$7,2),ROUND(Basisbedragen!$D$49*Basisbedragen!$I$7,2)),ROUND(ROUND(Basisbedragen!$D$30*0.6,4)*Basisbedragen!$I$7,2))+Basisbedragen!$I$10)</f>
        <v>64.739999999999995</v>
      </c>
      <c r="F62" s="448">
        <f t="shared" si="3"/>
        <v>84.17</v>
      </c>
      <c r="H62" s="52">
        <f t="shared" si="4"/>
        <v>77.69</v>
      </c>
      <c r="J62" s="52">
        <f>MIN(MAX(ROUND(ROUND('Loonschijven_Tranches salariale'!$Q62*0.65,4)*Basisbedragen!$I$2,2),ROUND(Basisbedragen!$D$73*Basisbedragen!$I$2,2)),ROUND(ROUND(Basisbedragen!$D$31*0.65,4)*Basisbedragen!$I$2,2))</f>
        <v>67.069999999999993</v>
      </c>
      <c r="L62" s="52">
        <f>ROUND(MIN(MAX(ROUND(ROUND('Loonschijven_Tranches salariale'!$Q62*0.65,4)*Basisbedragen!$I$2,2),ROUND(Basisbedragen!$D$48*Basisbedragen!$I$2,2)),ROUND(ROUND(Basisbedragen!$D$30*0.65,4)*Basisbedragen!$I$2,2))/2,2)</f>
        <v>35.07</v>
      </c>
      <c r="N62" s="52">
        <f>ROUND(MIN(MAX(ROUND(ROUND('Loonschijven_Tranches salariale'!$Q62*0.6,4)*Basisbedragen!$I$2,2),ROUND(Basisbedragen!$D$49*Basisbedragen!$I$2,2)),ROUND(ROUND(Basisbedragen!$D$30*0.6,4)*Basisbedragen!$I$2,2))/2,2)</f>
        <v>32.369999999999997</v>
      </c>
      <c r="P62" s="52">
        <f t="shared" si="5"/>
        <v>42.08</v>
      </c>
      <c r="R62" s="52">
        <f t="shared" si="6"/>
        <v>38.840000000000003</v>
      </c>
      <c r="T62" s="52">
        <f t="shared" si="7"/>
        <v>33.54</v>
      </c>
    </row>
    <row r="63" spans="1:20" ht="15" thickBot="1">
      <c r="A63" s="47">
        <f t="shared" si="8"/>
        <v>56</v>
      </c>
      <c r="B63" s="52">
        <f>IF(MIN(MAX(ROUND(ROUND('Loonschijven_Tranches salariale'!$Q63*0.65,4)*Basisbedragen!$I$7,2),ROUND(Basisbedragen!$D$48*Basisbedragen!$I$7,2)),ROUND(ROUND(Basisbedragen!$D$30*0.65,4)*Basisbedragen!$I$7,2))&lt;= Basisbedragen!$I$8,MIN(MAX(ROUND(ROUND('Loonschijven_Tranches salariale'!$Q63*0.65,4)*Basisbedragen!$I$2,2),ROUND(Basisbedragen!$D$48*Basisbedragen!$I$2,2)),ROUND(ROUND(Basisbedragen!$D$30*0.65,4)*Basisbedragen!$I$2,2)),MIN(MAX(ROUND(ROUND('Loonschijven_Tranches salariale'!$Q63*0.65,4)*Basisbedragen!$I$7,2),ROUND(Basisbedragen!$D$48*Basisbedragen!$I$7,2)),ROUND(ROUND(Basisbedragen!$D$30*0.65,4)*Basisbedragen!$I$7,2))+Basisbedragen!$I$10)</f>
        <v>70.14</v>
      </c>
      <c r="D63" s="52">
        <f>IF(MIN(MAX(ROUND(ROUND('Loonschijven_Tranches salariale'!$Q63*0.6,4)*Basisbedragen!$I$7,2),ROUND(Basisbedragen!$D$49*Basisbedragen!$I$7,2)),ROUND(ROUND(Basisbedragen!$D$30*0.6,4)*Basisbedragen!$I$7,2))&lt;= Basisbedragen!$I$8,MIN(MAX(ROUND(ROUND('Loonschijven_Tranches salariale'!$Q63*0.6,4)*Basisbedragen!$I$2,2),ROUND(Basisbedragen!$D$49*Basisbedragen!$I$2,2)),ROUND(ROUND(Basisbedragen!$D$30*0.6,4)*Basisbedragen!$I$2,2)),MIN(MAX(ROUND(ROUND('Loonschijven_Tranches salariale'!$Q63*0.6,4)*Basisbedragen!$I$7,2),ROUND(Basisbedragen!$D$49*Basisbedragen!$I$7,2)),ROUND(ROUND(Basisbedragen!$D$30*0.6,4)*Basisbedragen!$I$7,2))+Basisbedragen!$I$10)</f>
        <v>64.739999999999995</v>
      </c>
      <c r="F63" s="448">
        <f t="shared" si="3"/>
        <v>84.17</v>
      </c>
      <c r="H63" s="52">
        <f t="shared" si="4"/>
        <v>77.69</v>
      </c>
      <c r="J63" s="52">
        <f>MIN(MAX(ROUND(ROUND('Loonschijven_Tranches salariale'!$Q63*0.65,4)*Basisbedragen!$I$2,2),ROUND(Basisbedragen!$D$73*Basisbedragen!$I$2,2)),ROUND(ROUND(Basisbedragen!$D$31*0.65,4)*Basisbedragen!$I$2,2))</f>
        <v>68.09</v>
      </c>
      <c r="L63" s="52">
        <f>ROUND(MIN(MAX(ROUND(ROUND('Loonschijven_Tranches salariale'!$Q63*0.65,4)*Basisbedragen!$I$2,2),ROUND(Basisbedragen!$D$48*Basisbedragen!$I$2,2)),ROUND(ROUND(Basisbedragen!$D$30*0.65,4)*Basisbedragen!$I$2,2))/2,2)</f>
        <v>35.07</v>
      </c>
      <c r="N63" s="52">
        <f>ROUND(MIN(MAX(ROUND(ROUND('Loonschijven_Tranches salariale'!$Q63*0.6,4)*Basisbedragen!$I$2,2),ROUND(Basisbedragen!$D$49*Basisbedragen!$I$2,2)),ROUND(ROUND(Basisbedragen!$D$30*0.6,4)*Basisbedragen!$I$2,2))/2,2)</f>
        <v>32.369999999999997</v>
      </c>
      <c r="P63" s="52">
        <f t="shared" si="5"/>
        <v>42.08</v>
      </c>
      <c r="R63" s="52">
        <f t="shared" si="6"/>
        <v>38.840000000000003</v>
      </c>
      <c r="T63" s="52">
        <f t="shared" si="7"/>
        <v>34.049999999999997</v>
      </c>
    </row>
    <row r="64" spans="1:20" ht="15" thickBot="1">
      <c r="A64" s="47">
        <f t="shared" si="8"/>
        <v>57</v>
      </c>
      <c r="B64" s="52">
        <f>IF(MIN(MAX(ROUND(ROUND('Loonschijven_Tranches salariale'!$Q64*0.65,4)*Basisbedragen!$I$7,2),ROUND(Basisbedragen!$D$48*Basisbedragen!$I$7,2)),ROUND(ROUND(Basisbedragen!$D$30*0.65,4)*Basisbedragen!$I$7,2))&lt;= Basisbedragen!$I$8,MIN(MAX(ROUND(ROUND('Loonschijven_Tranches salariale'!$Q64*0.65,4)*Basisbedragen!$I$2,2),ROUND(Basisbedragen!$D$48*Basisbedragen!$I$2,2)),ROUND(ROUND(Basisbedragen!$D$30*0.65,4)*Basisbedragen!$I$2,2)),MIN(MAX(ROUND(ROUND('Loonschijven_Tranches salariale'!$Q64*0.65,4)*Basisbedragen!$I$7,2),ROUND(Basisbedragen!$D$48*Basisbedragen!$I$7,2)),ROUND(ROUND(Basisbedragen!$D$30*0.65,4)*Basisbedragen!$I$7,2))+Basisbedragen!$I$10)</f>
        <v>70.14</v>
      </c>
      <c r="D64" s="52">
        <f>IF(MIN(MAX(ROUND(ROUND('Loonschijven_Tranches salariale'!$Q64*0.6,4)*Basisbedragen!$I$7,2),ROUND(Basisbedragen!$D$49*Basisbedragen!$I$7,2)),ROUND(ROUND(Basisbedragen!$D$30*0.6,4)*Basisbedragen!$I$7,2))&lt;= Basisbedragen!$I$8,MIN(MAX(ROUND(ROUND('Loonschijven_Tranches salariale'!$Q64*0.6,4)*Basisbedragen!$I$2,2),ROUND(Basisbedragen!$D$49*Basisbedragen!$I$2,2)),ROUND(ROUND(Basisbedragen!$D$30*0.6,4)*Basisbedragen!$I$2,2)),MIN(MAX(ROUND(ROUND('Loonschijven_Tranches salariale'!$Q64*0.6,4)*Basisbedragen!$I$7,2),ROUND(Basisbedragen!$D$49*Basisbedragen!$I$7,2)),ROUND(ROUND(Basisbedragen!$D$30*0.6,4)*Basisbedragen!$I$7,2))+Basisbedragen!$I$10)</f>
        <v>64.739999999999995</v>
      </c>
      <c r="F64" s="448">
        <f t="shared" si="3"/>
        <v>84.17</v>
      </c>
      <c r="H64" s="52">
        <f t="shared" si="4"/>
        <v>77.69</v>
      </c>
      <c r="J64" s="52">
        <f>MIN(MAX(ROUND(ROUND('Loonschijven_Tranches salariale'!$Q64*0.65,4)*Basisbedragen!$I$2,2),ROUND(Basisbedragen!$D$73*Basisbedragen!$I$2,2)),ROUND(ROUND(Basisbedragen!$D$31*0.65,4)*Basisbedragen!$I$2,2))</f>
        <v>69.11</v>
      </c>
      <c r="L64" s="52">
        <f>ROUND(MIN(MAX(ROUND(ROUND('Loonschijven_Tranches salariale'!$Q64*0.65,4)*Basisbedragen!$I$2,2),ROUND(Basisbedragen!$D$48*Basisbedragen!$I$2,2)),ROUND(ROUND(Basisbedragen!$D$30*0.65,4)*Basisbedragen!$I$2,2))/2,2)</f>
        <v>35.07</v>
      </c>
      <c r="N64" s="52">
        <f>ROUND(MIN(MAX(ROUND(ROUND('Loonschijven_Tranches salariale'!$Q64*0.6,4)*Basisbedragen!$I$2,2),ROUND(Basisbedragen!$D$49*Basisbedragen!$I$2,2)),ROUND(ROUND(Basisbedragen!$D$30*0.6,4)*Basisbedragen!$I$2,2))/2,2)</f>
        <v>32.369999999999997</v>
      </c>
      <c r="P64" s="52">
        <f t="shared" si="5"/>
        <v>42.08</v>
      </c>
      <c r="R64" s="52">
        <f t="shared" si="6"/>
        <v>38.840000000000003</v>
      </c>
      <c r="T64" s="52">
        <f t="shared" si="7"/>
        <v>34.56</v>
      </c>
    </row>
    <row r="65" spans="1:20" ht="15" thickBot="1">
      <c r="A65" s="47">
        <f t="shared" si="8"/>
        <v>58</v>
      </c>
      <c r="B65" s="52">
        <f>IF(MIN(MAX(ROUND(ROUND('Loonschijven_Tranches salariale'!$Q65*0.65,4)*Basisbedragen!$I$7,2),ROUND(Basisbedragen!$D$48*Basisbedragen!$I$7,2)),ROUND(ROUND(Basisbedragen!$D$30*0.65,4)*Basisbedragen!$I$7,2))&lt;= Basisbedragen!$I$8,MIN(MAX(ROUND(ROUND('Loonschijven_Tranches salariale'!$Q65*0.65,4)*Basisbedragen!$I$2,2),ROUND(Basisbedragen!$D$48*Basisbedragen!$I$2,2)),ROUND(ROUND(Basisbedragen!$D$30*0.65,4)*Basisbedragen!$I$2,2)),MIN(MAX(ROUND(ROUND('Loonschijven_Tranches salariale'!$Q65*0.65,4)*Basisbedragen!$I$7,2),ROUND(Basisbedragen!$D$48*Basisbedragen!$I$7,2)),ROUND(ROUND(Basisbedragen!$D$30*0.65,4)*Basisbedragen!$I$7,2))+Basisbedragen!$I$10)</f>
        <v>70.14</v>
      </c>
      <c r="D65" s="52">
        <f>IF(MIN(MAX(ROUND(ROUND('Loonschijven_Tranches salariale'!$Q65*0.6,4)*Basisbedragen!$I$7,2),ROUND(Basisbedragen!$D$49*Basisbedragen!$I$7,2)),ROUND(ROUND(Basisbedragen!$D$30*0.6,4)*Basisbedragen!$I$7,2))&lt;= Basisbedragen!$I$8,MIN(MAX(ROUND(ROUND('Loonschijven_Tranches salariale'!$Q65*0.6,4)*Basisbedragen!$I$2,2),ROUND(Basisbedragen!$D$49*Basisbedragen!$I$2,2)),ROUND(ROUND(Basisbedragen!$D$30*0.6,4)*Basisbedragen!$I$2,2)),MIN(MAX(ROUND(ROUND('Loonschijven_Tranches salariale'!$Q65*0.6,4)*Basisbedragen!$I$7,2),ROUND(Basisbedragen!$D$49*Basisbedragen!$I$7,2)),ROUND(ROUND(Basisbedragen!$D$30*0.6,4)*Basisbedragen!$I$7,2))+Basisbedragen!$I$10)</f>
        <v>64.739999999999995</v>
      </c>
      <c r="F65" s="448">
        <f t="shared" si="3"/>
        <v>84.17</v>
      </c>
      <c r="H65" s="52">
        <f t="shared" si="4"/>
        <v>77.69</v>
      </c>
      <c r="J65" s="52">
        <f>MIN(MAX(ROUND(ROUND('Loonschijven_Tranches salariale'!$Q65*0.65,4)*Basisbedragen!$I$2,2),ROUND(Basisbedragen!$D$73*Basisbedragen!$I$2,2)),ROUND(ROUND(Basisbedragen!$D$31*0.65,4)*Basisbedragen!$I$2,2))</f>
        <v>70.12</v>
      </c>
      <c r="L65" s="52">
        <f>ROUND(MIN(MAX(ROUND(ROUND('Loonschijven_Tranches salariale'!$Q65*0.65,4)*Basisbedragen!$I$2,2),ROUND(Basisbedragen!$D$48*Basisbedragen!$I$2,2)),ROUND(ROUND(Basisbedragen!$D$30*0.65,4)*Basisbedragen!$I$2,2))/2,2)</f>
        <v>35.07</v>
      </c>
      <c r="N65" s="52">
        <f>ROUND(MIN(MAX(ROUND(ROUND('Loonschijven_Tranches salariale'!$Q65*0.6,4)*Basisbedragen!$I$2,2),ROUND(Basisbedragen!$D$49*Basisbedragen!$I$2,2)),ROUND(ROUND(Basisbedragen!$D$30*0.6,4)*Basisbedragen!$I$2,2))/2,2)</f>
        <v>32.369999999999997</v>
      </c>
      <c r="P65" s="52">
        <f t="shared" si="5"/>
        <v>42.08</v>
      </c>
      <c r="R65" s="52">
        <f t="shared" si="6"/>
        <v>38.840000000000003</v>
      </c>
      <c r="T65" s="52">
        <f t="shared" si="7"/>
        <v>35.06</v>
      </c>
    </row>
    <row r="66" spans="1:20" ht="15" thickBot="1">
      <c r="A66" s="47">
        <f t="shared" si="8"/>
        <v>59</v>
      </c>
      <c r="B66" s="52">
        <f>IF(MIN(MAX(ROUND(ROUND('Loonschijven_Tranches salariale'!$Q66*0.65,4)*Basisbedragen!$I$7,2),ROUND(Basisbedragen!$D$48*Basisbedragen!$I$7,2)),ROUND(ROUND(Basisbedragen!$D$30*0.65,4)*Basisbedragen!$I$7,2))&lt;= Basisbedragen!$I$8,MIN(MAX(ROUND(ROUND('Loonschijven_Tranches salariale'!$Q66*0.65,4)*Basisbedragen!$I$2,2),ROUND(Basisbedragen!$D$48*Basisbedragen!$I$2,2)),ROUND(ROUND(Basisbedragen!$D$30*0.65,4)*Basisbedragen!$I$2,2)),MIN(MAX(ROUND(ROUND('Loonschijven_Tranches salariale'!$Q66*0.65,4)*Basisbedragen!$I$7,2),ROUND(Basisbedragen!$D$48*Basisbedragen!$I$7,2)),ROUND(ROUND(Basisbedragen!$D$30*0.65,4)*Basisbedragen!$I$7,2))+Basisbedragen!$I$10)</f>
        <v>71.39</v>
      </c>
      <c r="D66" s="52">
        <f>IF(MIN(MAX(ROUND(ROUND('Loonschijven_Tranches salariale'!$Q66*0.6,4)*Basisbedragen!$I$7,2),ROUND(Basisbedragen!$D$49*Basisbedragen!$I$7,2)),ROUND(ROUND(Basisbedragen!$D$30*0.6,4)*Basisbedragen!$I$7,2))&lt;= Basisbedragen!$I$8,MIN(MAX(ROUND(ROUND('Loonschijven_Tranches salariale'!$Q66*0.6,4)*Basisbedragen!$I$2,2),ROUND(Basisbedragen!$D$49*Basisbedragen!$I$2,2)),ROUND(ROUND(Basisbedragen!$D$30*0.6,4)*Basisbedragen!$I$2,2)),MIN(MAX(ROUND(ROUND('Loonschijven_Tranches salariale'!$Q66*0.6,4)*Basisbedragen!$I$7,2),ROUND(Basisbedragen!$D$49*Basisbedragen!$I$7,2)),ROUND(ROUND(Basisbedragen!$D$30*0.6,4)*Basisbedragen!$I$7,2))+Basisbedragen!$I$10)</f>
        <v>65.900000000000006</v>
      </c>
      <c r="F66" s="448">
        <f t="shared" si="3"/>
        <v>85.67</v>
      </c>
      <c r="H66" s="52">
        <f t="shared" si="4"/>
        <v>79.08</v>
      </c>
      <c r="J66" s="52">
        <f>MIN(MAX(ROUND(ROUND('Loonschijven_Tranches salariale'!$Q66*0.65,4)*Basisbedragen!$I$2,2),ROUND(Basisbedragen!$D$73*Basisbedragen!$I$2,2)),ROUND(ROUND(Basisbedragen!$D$31*0.65,4)*Basisbedragen!$I$2,2))</f>
        <v>71.39</v>
      </c>
      <c r="L66" s="52">
        <f>ROUND(MIN(MAX(ROUND(ROUND('Loonschijven_Tranches salariale'!$Q66*0.65,4)*Basisbedragen!$I$2,2),ROUND(Basisbedragen!$D$48*Basisbedragen!$I$2,2)),ROUND(ROUND(Basisbedragen!$D$30*0.65,4)*Basisbedragen!$I$2,2))/2,2)</f>
        <v>35.700000000000003</v>
      </c>
      <c r="N66" s="52">
        <f>ROUND(MIN(MAX(ROUND(ROUND('Loonschijven_Tranches salariale'!$Q66*0.6,4)*Basisbedragen!$I$2,2),ROUND(Basisbedragen!$D$49*Basisbedragen!$I$2,2)),ROUND(ROUND(Basisbedragen!$D$30*0.6,4)*Basisbedragen!$I$2,2))/2,2)</f>
        <v>32.950000000000003</v>
      </c>
      <c r="P66" s="52">
        <f t="shared" si="5"/>
        <v>42.84</v>
      </c>
      <c r="R66" s="52">
        <f t="shared" si="6"/>
        <v>39.54</v>
      </c>
      <c r="T66" s="52">
        <f t="shared" si="7"/>
        <v>35.700000000000003</v>
      </c>
    </row>
    <row r="67" spans="1:20" ht="15" thickBot="1">
      <c r="A67" s="47">
        <f t="shared" si="8"/>
        <v>60</v>
      </c>
      <c r="B67" s="52">
        <f>IF(MIN(MAX(ROUND(ROUND('Loonschijven_Tranches salariale'!$Q67*0.65,4)*Basisbedragen!$I$7,2),ROUND(Basisbedragen!$D$48*Basisbedragen!$I$7,2)),ROUND(ROUND(Basisbedragen!$D$30*0.65,4)*Basisbedragen!$I$7,2))&lt;= Basisbedragen!$I$8,MIN(MAX(ROUND(ROUND('Loonschijven_Tranches salariale'!$Q67*0.65,4)*Basisbedragen!$I$2,2),ROUND(Basisbedragen!$D$48*Basisbedragen!$I$2,2)),ROUND(ROUND(Basisbedragen!$D$30*0.65,4)*Basisbedragen!$I$2,2)),MIN(MAX(ROUND(ROUND('Loonschijven_Tranches salariale'!$Q67*0.65,4)*Basisbedragen!$I$7,2),ROUND(Basisbedragen!$D$48*Basisbedragen!$I$7,2)),ROUND(ROUND(Basisbedragen!$D$30*0.65,4)*Basisbedragen!$I$7,2))+Basisbedragen!$I$10)</f>
        <v>72.28</v>
      </c>
      <c r="D67" s="52">
        <f>IF(MIN(MAX(ROUND(ROUND('Loonschijven_Tranches salariale'!$Q67*0.6,4)*Basisbedragen!$I$7,2),ROUND(Basisbedragen!$D$49*Basisbedragen!$I$7,2)),ROUND(ROUND(Basisbedragen!$D$30*0.6,4)*Basisbedragen!$I$7,2))&lt;= Basisbedragen!$I$8,MIN(MAX(ROUND(ROUND('Loonschijven_Tranches salariale'!$Q67*0.6,4)*Basisbedragen!$I$2,2),ROUND(Basisbedragen!$D$49*Basisbedragen!$I$2,2)),ROUND(ROUND(Basisbedragen!$D$30*0.6,4)*Basisbedragen!$I$2,2)),MIN(MAX(ROUND(ROUND('Loonschijven_Tranches salariale'!$Q67*0.6,4)*Basisbedragen!$I$7,2),ROUND(Basisbedragen!$D$49*Basisbedragen!$I$7,2)),ROUND(ROUND(Basisbedragen!$D$30*0.6,4)*Basisbedragen!$I$7,2))+Basisbedragen!$I$10)</f>
        <v>66.72</v>
      </c>
      <c r="F67" s="448">
        <f t="shared" si="3"/>
        <v>86.74</v>
      </c>
      <c r="H67" s="52">
        <f t="shared" si="4"/>
        <v>80.06</v>
      </c>
      <c r="J67" s="52">
        <f>MIN(MAX(ROUND(ROUND('Loonschijven_Tranches salariale'!$Q67*0.65,4)*Basisbedragen!$I$2,2),ROUND(Basisbedragen!$D$73*Basisbedragen!$I$2,2)),ROUND(ROUND(Basisbedragen!$D$31*0.65,4)*Basisbedragen!$I$2,2))</f>
        <v>72.28</v>
      </c>
      <c r="L67" s="52">
        <f>ROUND(MIN(MAX(ROUND(ROUND('Loonschijven_Tranches salariale'!$Q67*0.65,4)*Basisbedragen!$I$2,2),ROUND(Basisbedragen!$D$48*Basisbedragen!$I$2,2)),ROUND(ROUND(Basisbedragen!$D$30*0.65,4)*Basisbedragen!$I$2,2))/2,2)</f>
        <v>36.14</v>
      </c>
      <c r="N67" s="52">
        <f>ROUND(MIN(MAX(ROUND(ROUND('Loonschijven_Tranches salariale'!$Q67*0.6,4)*Basisbedragen!$I$2,2),ROUND(Basisbedragen!$D$49*Basisbedragen!$I$2,2)),ROUND(ROUND(Basisbedragen!$D$30*0.6,4)*Basisbedragen!$I$2,2))/2,2)</f>
        <v>33.36</v>
      </c>
      <c r="P67" s="52">
        <f t="shared" si="5"/>
        <v>43.37</v>
      </c>
      <c r="R67" s="52">
        <f t="shared" si="6"/>
        <v>40.03</v>
      </c>
      <c r="T67" s="52">
        <f t="shared" si="7"/>
        <v>36.14</v>
      </c>
    </row>
    <row r="68" spans="1:20" ht="15" thickBot="1">
      <c r="A68" s="47">
        <f t="shared" si="8"/>
        <v>61</v>
      </c>
      <c r="B68" s="52">
        <f>IF(MIN(MAX(ROUND(ROUND('Loonschijven_Tranches salariale'!$Q68*0.65,4)*Basisbedragen!$I$7,2),ROUND(Basisbedragen!$D$48*Basisbedragen!$I$7,2)),ROUND(ROUND(Basisbedragen!$D$30*0.65,4)*Basisbedragen!$I$7,2))&lt;= Basisbedragen!$I$8,MIN(MAX(ROUND(ROUND('Loonschijven_Tranches salariale'!$Q68*0.65,4)*Basisbedragen!$I$2,2),ROUND(Basisbedragen!$D$48*Basisbedragen!$I$2,2)),ROUND(ROUND(Basisbedragen!$D$30*0.65,4)*Basisbedragen!$I$2,2)),MIN(MAX(ROUND(ROUND('Loonschijven_Tranches salariale'!$Q68*0.65,4)*Basisbedragen!$I$7,2),ROUND(Basisbedragen!$D$48*Basisbedragen!$I$7,2)),ROUND(ROUND(Basisbedragen!$D$30*0.65,4)*Basisbedragen!$I$7,2))+Basisbedragen!$I$10)</f>
        <v>73.17</v>
      </c>
      <c r="D68" s="52">
        <f>IF(MIN(MAX(ROUND(ROUND('Loonschijven_Tranches salariale'!$Q68*0.6,4)*Basisbedragen!$I$7,2),ROUND(Basisbedragen!$D$49*Basisbedragen!$I$7,2)),ROUND(ROUND(Basisbedragen!$D$30*0.6,4)*Basisbedragen!$I$7,2))&lt;= Basisbedragen!$I$8,MIN(MAX(ROUND(ROUND('Loonschijven_Tranches salariale'!$Q68*0.6,4)*Basisbedragen!$I$2,2),ROUND(Basisbedragen!$D$49*Basisbedragen!$I$2,2)),ROUND(ROUND(Basisbedragen!$D$30*0.6,4)*Basisbedragen!$I$2,2)),MIN(MAX(ROUND(ROUND('Loonschijven_Tranches salariale'!$Q68*0.6,4)*Basisbedragen!$I$7,2),ROUND(Basisbedragen!$D$49*Basisbedragen!$I$7,2)),ROUND(ROUND(Basisbedragen!$D$30*0.6,4)*Basisbedragen!$I$7,2))+Basisbedragen!$I$10)</f>
        <v>67.540000000000006</v>
      </c>
      <c r="F68" s="448">
        <f t="shared" si="3"/>
        <v>87.8</v>
      </c>
      <c r="H68" s="52">
        <f t="shared" si="4"/>
        <v>81.05</v>
      </c>
      <c r="J68" s="52">
        <f>MIN(MAX(ROUND(ROUND('Loonschijven_Tranches salariale'!$Q68*0.65,4)*Basisbedragen!$I$2,2),ROUND(Basisbedragen!$D$73*Basisbedragen!$I$2,2)),ROUND(ROUND(Basisbedragen!$D$31*0.65,4)*Basisbedragen!$I$2,2))</f>
        <v>73.17</v>
      </c>
      <c r="L68" s="52">
        <f>ROUND(MIN(MAX(ROUND(ROUND('Loonschijven_Tranches salariale'!$Q68*0.65,4)*Basisbedragen!$I$2,2),ROUND(Basisbedragen!$D$48*Basisbedragen!$I$2,2)),ROUND(ROUND(Basisbedragen!$D$30*0.65,4)*Basisbedragen!$I$2,2))/2,2)</f>
        <v>36.590000000000003</v>
      </c>
      <c r="N68" s="52">
        <f>ROUND(MIN(MAX(ROUND(ROUND('Loonschijven_Tranches salariale'!$Q68*0.6,4)*Basisbedragen!$I$2,2),ROUND(Basisbedragen!$D$49*Basisbedragen!$I$2,2)),ROUND(ROUND(Basisbedragen!$D$30*0.6,4)*Basisbedragen!$I$2,2))/2,2)</f>
        <v>33.770000000000003</v>
      </c>
      <c r="P68" s="52">
        <f t="shared" si="5"/>
        <v>43.91</v>
      </c>
      <c r="R68" s="52">
        <f t="shared" si="6"/>
        <v>40.520000000000003</v>
      </c>
      <c r="T68" s="52">
        <f t="shared" si="7"/>
        <v>36.590000000000003</v>
      </c>
    </row>
    <row r="69" spans="1:20" ht="15" thickBot="1">
      <c r="A69" s="47">
        <f t="shared" si="8"/>
        <v>62</v>
      </c>
      <c r="B69" s="52">
        <f>IF(MIN(MAX(ROUND(ROUND('Loonschijven_Tranches salariale'!$Q69*0.65,4)*Basisbedragen!$I$7,2),ROUND(Basisbedragen!$D$48*Basisbedragen!$I$7,2)),ROUND(ROUND(Basisbedragen!$D$30*0.65,4)*Basisbedragen!$I$7,2))&lt;= Basisbedragen!$I$8,MIN(MAX(ROUND(ROUND('Loonschijven_Tranches salariale'!$Q69*0.65,4)*Basisbedragen!$I$2,2),ROUND(Basisbedragen!$D$48*Basisbedragen!$I$2,2)),ROUND(ROUND(Basisbedragen!$D$30*0.65,4)*Basisbedragen!$I$2,2)),MIN(MAX(ROUND(ROUND('Loonschijven_Tranches salariale'!$Q69*0.65,4)*Basisbedragen!$I$7,2),ROUND(Basisbedragen!$D$48*Basisbedragen!$I$7,2)),ROUND(ROUND(Basisbedragen!$D$30*0.65,4)*Basisbedragen!$I$7,2))+Basisbedragen!$I$10)</f>
        <v>74.19</v>
      </c>
      <c r="D69" s="52">
        <f>IF(MIN(MAX(ROUND(ROUND('Loonschijven_Tranches salariale'!$Q69*0.6,4)*Basisbedragen!$I$7,2),ROUND(Basisbedragen!$D$49*Basisbedragen!$I$7,2)),ROUND(ROUND(Basisbedragen!$D$30*0.6,4)*Basisbedragen!$I$7,2))&lt;= Basisbedragen!$I$8,MIN(MAX(ROUND(ROUND('Loonschijven_Tranches salariale'!$Q69*0.6,4)*Basisbedragen!$I$2,2),ROUND(Basisbedragen!$D$49*Basisbedragen!$I$2,2)),ROUND(ROUND(Basisbedragen!$D$30*0.6,4)*Basisbedragen!$I$2,2)),MIN(MAX(ROUND(ROUND('Loonschijven_Tranches salariale'!$Q69*0.6,4)*Basisbedragen!$I$7,2),ROUND(Basisbedragen!$D$49*Basisbedragen!$I$7,2)),ROUND(ROUND(Basisbedragen!$D$30*0.6,4)*Basisbedragen!$I$7,2))+Basisbedragen!$I$10)</f>
        <v>68.48</v>
      </c>
      <c r="F69" s="448">
        <f t="shared" si="3"/>
        <v>89.03</v>
      </c>
      <c r="H69" s="52">
        <f t="shared" si="4"/>
        <v>82.18</v>
      </c>
      <c r="J69" s="52">
        <f>MIN(MAX(ROUND(ROUND('Loonschijven_Tranches salariale'!$Q69*0.65,4)*Basisbedragen!$I$2,2),ROUND(Basisbedragen!$D$73*Basisbedragen!$I$2,2)),ROUND(ROUND(Basisbedragen!$D$31*0.65,4)*Basisbedragen!$I$2,2))</f>
        <v>74.19</v>
      </c>
      <c r="L69" s="52">
        <f>ROUND(MIN(MAX(ROUND(ROUND('Loonschijven_Tranches salariale'!$Q69*0.65,4)*Basisbedragen!$I$2,2),ROUND(Basisbedragen!$D$48*Basisbedragen!$I$2,2)),ROUND(ROUND(Basisbedragen!$D$30*0.65,4)*Basisbedragen!$I$2,2))/2,2)</f>
        <v>37.1</v>
      </c>
      <c r="N69" s="52">
        <f>ROUND(MIN(MAX(ROUND(ROUND('Loonschijven_Tranches salariale'!$Q69*0.6,4)*Basisbedragen!$I$2,2),ROUND(Basisbedragen!$D$49*Basisbedragen!$I$2,2)),ROUND(ROUND(Basisbedragen!$D$30*0.6,4)*Basisbedragen!$I$2,2))/2,2)</f>
        <v>34.24</v>
      </c>
      <c r="P69" s="52">
        <f t="shared" si="5"/>
        <v>44.52</v>
      </c>
      <c r="R69" s="52">
        <f t="shared" si="6"/>
        <v>41.09</v>
      </c>
      <c r="T69" s="52">
        <f t="shared" si="7"/>
        <v>37.1</v>
      </c>
    </row>
    <row r="70" spans="1:20" ht="15" thickBot="1">
      <c r="A70" s="47">
        <f t="shared" si="8"/>
        <v>63</v>
      </c>
      <c r="B70" s="52">
        <f>IF(MIN(MAX(ROUND(ROUND('Loonschijven_Tranches salariale'!$Q70*0.65,4)*Basisbedragen!$I$7,2),ROUND(Basisbedragen!$D$48*Basisbedragen!$I$7,2)),ROUND(ROUND(Basisbedragen!$D$30*0.65,4)*Basisbedragen!$I$7,2))&lt;= Basisbedragen!$I$8,MIN(MAX(ROUND(ROUND('Loonschijven_Tranches salariale'!$Q70*0.65,4)*Basisbedragen!$I$2,2),ROUND(Basisbedragen!$D$48*Basisbedragen!$I$2,2)),ROUND(ROUND(Basisbedragen!$D$30*0.65,4)*Basisbedragen!$I$2,2)),MIN(MAX(ROUND(ROUND('Loonschijven_Tranches salariale'!$Q70*0.65,4)*Basisbedragen!$I$7,2),ROUND(Basisbedragen!$D$48*Basisbedragen!$I$7,2)),ROUND(ROUND(Basisbedragen!$D$30*0.65,4)*Basisbedragen!$I$7,2))+Basisbedragen!$I$10)</f>
        <v>75.2</v>
      </c>
      <c r="D70" s="52">
        <f>IF(MIN(MAX(ROUND(ROUND('Loonschijven_Tranches salariale'!$Q70*0.6,4)*Basisbedragen!$I$7,2),ROUND(Basisbedragen!$D$49*Basisbedragen!$I$7,2)),ROUND(ROUND(Basisbedragen!$D$30*0.6,4)*Basisbedragen!$I$7,2))&lt;= Basisbedragen!$I$8,MIN(MAX(ROUND(ROUND('Loonschijven_Tranches salariale'!$Q70*0.6,4)*Basisbedragen!$I$2,2),ROUND(Basisbedragen!$D$49*Basisbedragen!$I$2,2)),ROUND(ROUND(Basisbedragen!$D$30*0.6,4)*Basisbedragen!$I$2,2)),MIN(MAX(ROUND(ROUND('Loonschijven_Tranches salariale'!$Q70*0.6,4)*Basisbedragen!$I$7,2),ROUND(Basisbedragen!$D$49*Basisbedragen!$I$7,2)),ROUND(ROUND(Basisbedragen!$D$30*0.6,4)*Basisbedragen!$I$7,2))+Basisbedragen!$I$10)</f>
        <v>69.42</v>
      </c>
      <c r="F70" s="448">
        <f t="shared" si="3"/>
        <v>90.24</v>
      </c>
      <c r="H70" s="52">
        <f t="shared" si="4"/>
        <v>83.3</v>
      </c>
      <c r="J70" s="52">
        <f>MIN(MAX(ROUND(ROUND('Loonschijven_Tranches salariale'!$Q70*0.65,4)*Basisbedragen!$I$2,2),ROUND(Basisbedragen!$D$73*Basisbedragen!$I$2,2)),ROUND(ROUND(Basisbedragen!$D$31*0.65,4)*Basisbedragen!$I$2,2))</f>
        <v>75.2</v>
      </c>
      <c r="L70" s="52">
        <f>ROUND(MIN(MAX(ROUND(ROUND('Loonschijven_Tranches salariale'!$Q70*0.65,4)*Basisbedragen!$I$2,2),ROUND(Basisbedragen!$D$48*Basisbedragen!$I$2,2)),ROUND(ROUND(Basisbedragen!$D$30*0.65,4)*Basisbedragen!$I$2,2))/2,2)</f>
        <v>37.6</v>
      </c>
      <c r="N70" s="52">
        <f>ROUND(MIN(MAX(ROUND(ROUND('Loonschijven_Tranches salariale'!$Q70*0.6,4)*Basisbedragen!$I$2,2),ROUND(Basisbedragen!$D$49*Basisbedragen!$I$2,2)),ROUND(ROUND(Basisbedragen!$D$30*0.6,4)*Basisbedragen!$I$2,2))/2,2)</f>
        <v>34.71</v>
      </c>
      <c r="P70" s="52">
        <f t="shared" si="5"/>
        <v>45.12</v>
      </c>
      <c r="R70" s="52">
        <f t="shared" si="6"/>
        <v>41.65</v>
      </c>
      <c r="T70" s="52">
        <f t="shared" si="7"/>
        <v>37.6</v>
      </c>
    </row>
    <row r="71" spans="1:20" ht="15" thickBot="1">
      <c r="A71" s="47">
        <f t="shared" si="8"/>
        <v>64</v>
      </c>
      <c r="B71" s="52">
        <f>IF(MIN(MAX(ROUND(ROUND('Loonschijven_Tranches salariale'!$Q71*0.65,4)*Basisbedragen!$I$7,2),ROUND(Basisbedragen!$D$48*Basisbedragen!$I$7,2)),ROUND(ROUND(Basisbedragen!$D$30*0.65,4)*Basisbedragen!$I$7,2))&lt;= Basisbedragen!$I$8,MIN(MAX(ROUND(ROUND('Loonschijven_Tranches salariale'!$Q71*0.65,4)*Basisbedragen!$I$2,2),ROUND(Basisbedragen!$D$48*Basisbedragen!$I$2,2)),ROUND(ROUND(Basisbedragen!$D$30*0.65,4)*Basisbedragen!$I$2,2)),MIN(MAX(ROUND(ROUND('Loonschijven_Tranches salariale'!$Q71*0.65,4)*Basisbedragen!$I$7,2),ROUND(Basisbedragen!$D$48*Basisbedragen!$I$7,2)),ROUND(ROUND(Basisbedragen!$D$30*0.65,4)*Basisbedragen!$I$7,2))+Basisbedragen!$I$10)</f>
        <v>76.400000000000006</v>
      </c>
      <c r="D71" s="52">
        <f>IF(MIN(MAX(ROUND(ROUND('Loonschijven_Tranches salariale'!$Q71*0.6,4)*Basisbedragen!$I$7,2),ROUND(Basisbedragen!$D$49*Basisbedragen!$I$7,2)),ROUND(ROUND(Basisbedragen!$D$30*0.6,4)*Basisbedragen!$I$7,2))&lt;= Basisbedragen!$I$8,MIN(MAX(ROUND(ROUND('Loonschijven_Tranches salariale'!$Q71*0.6,4)*Basisbedragen!$I$2,2),ROUND(Basisbedragen!$D$49*Basisbedragen!$I$2,2)),ROUND(ROUND(Basisbedragen!$D$30*0.6,4)*Basisbedragen!$I$2,2)),MIN(MAX(ROUND(ROUND('Loonschijven_Tranches salariale'!$Q71*0.6,4)*Basisbedragen!$I$7,2),ROUND(Basisbedragen!$D$49*Basisbedragen!$I$7,2)),ROUND(ROUND(Basisbedragen!$D$30*0.6,4)*Basisbedragen!$I$7,2))+Basisbedragen!$I$10)</f>
        <v>70.52</v>
      </c>
      <c r="F71" s="448">
        <f t="shared" si="3"/>
        <v>91.68</v>
      </c>
      <c r="H71" s="52">
        <f t="shared" si="4"/>
        <v>84.62</v>
      </c>
      <c r="J71" s="52">
        <f>MIN(MAX(ROUND(ROUND('Loonschijven_Tranches salariale'!$Q71*0.65,4)*Basisbedragen!$I$2,2),ROUND(Basisbedragen!$D$73*Basisbedragen!$I$2,2)),ROUND(ROUND(Basisbedragen!$D$31*0.65,4)*Basisbedragen!$I$2,2))</f>
        <v>76.400000000000006</v>
      </c>
      <c r="L71" s="52">
        <f>ROUND(MIN(MAX(ROUND(ROUND('Loonschijven_Tranches salariale'!$Q71*0.65,4)*Basisbedragen!$I$2,2),ROUND(Basisbedragen!$D$48*Basisbedragen!$I$2,2)),ROUND(ROUND(Basisbedragen!$D$30*0.65,4)*Basisbedragen!$I$2,2))/2,2)</f>
        <v>38.200000000000003</v>
      </c>
      <c r="N71" s="52">
        <f>ROUND(MIN(MAX(ROUND(ROUND('Loonschijven_Tranches salariale'!$Q71*0.6,4)*Basisbedragen!$I$2,2),ROUND(Basisbedragen!$D$49*Basisbedragen!$I$2,2)),ROUND(ROUND(Basisbedragen!$D$30*0.6,4)*Basisbedragen!$I$2,2))/2,2)</f>
        <v>35.26</v>
      </c>
      <c r="P71" s="52">
        <f t="shared" si="5"/>
        <v>45.84</v>
      </c>
      <c r="R71" s="52">
        <f t="shared" si="6"/>
        <v>42.31</v>
      </c>
      <c r="T71" s="52">
        <f t="shared" si="7"/>
        <v>38.200000000000003</v>
      </c>
    </row>
    <row r="72" spans="1:20" ht="15" thickBot="1">
      <c r="A72" s="47">
        <f t="shared" si="8"/>
        <v>65</v>
      </c>
      <c r="B72" s="52">
        <f>IF(MIN(MAX(ROUND(ROUND('Loonschijven_Tranches salariale'!$Q72*0.65,4)*Basisbedragen!$I$7,2),ROUND(Basisbedragen!$D$48*Basisbedragen!$I$7,2)),ROUND(ROUND(Basisbedragen!$D$30*0.65,4)*Basisbedragen!$I$7,2))&lt;= Basisbedragen!$I$8,MIN(MAX(ROUND(ROUND('Loonschijven_Tranches salariale'!$Q72*0.65,4)*Basisbedragen!$I$2,2),ROUND(Basisbedragen!$D$48*Basisbedragen!$I$2,2)),ROUND(ROUND(Basisbedragen!$D$30*0.65,4)*Basisbedragen!$I$2,2)),MIN(MAX(ROUND(ROUND('Loonschijven_Tranches salariale'!$Q72*0.65,4)*Basisbedragen!$I$7,2),ROUND(Basisbedragen!$D$48*Basisbedragen!$I$7,2)),ROUND(ROUND(Basisbedragen!$D$30*0.65,4)*Basisbedragen!$I$7,2))+Basisbedragen!$I$10)</f>
        <v>77.349999999999994</v>
      </c>
      <c r="D72" s="52">
        <f>IF(MIN(MAX(ROUND(ROUND('Loonschijven_Tranches salariale'!$Q72*0.6,4)*Basisbedragen!$I$7,2),ROUND(Basisbedragen!$D$49*Basisbedragen!$I$7,2)),ROUND(ROUND(Basisbedragen!$D$30*0.6,4)*Basisbedragen!$I$7,2))&lt;= Basisbedragen!$I$8,MIN(MAX(ROUND(ROUND('Loonschijven_Tranches salariale'!$Q72*0.6,4)*Basisbedragen!$I$2,2),ROUND(Basisbedragen!$D$49*Basisbedragen!$I$2,2)),ROUND(ROUND(Basisbedragen!$D$30*0.6,4)*Basisbedragen!$I$2,2)),MIN(MAX(ROUND(ROUND('Loonschijven_Tranches salariale'!$Q72*0.6,4)*Basisbedragen!$I$7,2),ROUND(Basisbedragen!$D$49*Basisbedragen!$I$7,2)),ROUND(ROUND(Basisbedragen!$D$30*0.6,4)*Basisbedragen!$I$7,2))+Basisbedragen!$I$10)</f>
        <v>71.400000000000006</v>
      </c>
      <c r="F72" s="448">
        <f t="shared" si="3"/>
        <v>92.82</v>
      </c>
      <c r="H72" s="52">
        <f t="shared" si="4"/>
        <v>85.68</v>
      </c>
      <c r="J72" s="52">
        <f>MIN(MAX(ROUND(ROUND('Loonschijven_Tranches salariale'!$Q72*0.65,4)*Basisbedragen!$I$2,2),ROUND(Basisbedragen!$D$73*Basisbedragen!$I$2,2)),ROUND(ROUND(Basisbedragen!$D$31*0.65,4)*Basisbedragen!$I$2,2))</f>
        <v>76.8</v>
      </c>
      <c r="L72" s="52">
        <f>ROUND(MIN(MAX(ROUND(ROUND('Loonschijven_Tranches salariale'!$Q72*0.65,4)*Basisbedragen!$I$2,2),ROUND(Basisbedragen!$D$48*Basisbedragen!$I$2,2)),ROUND(ROUND(Basisbedragen!$D$30*0.65,4)*Basisbedragen!$I$2,2))/2,2)</f>
        <v>38.68</v>
      </c>
      <c r="N72" s="52">
        <f>ROUND(MIN(MAX(ROUND(ROUND('Loonschijven_Tranches salariale'!$Q72*0.6,4)*Basisbedragen!$I$2,2),ROUND(Basisbedragen!$D$49*Basisbedragen!$I$2,2)),ROUND(ROUND(Basisbedragen!$D$30*0.6,4)*Basisbedragen!$I$2,2))/2,2)</f>
        <v>35.700000000000003</v>
      </c>
      <c r="P72" s="52">
        <f t="shared" si="5"/>
        <v>46.42</v>
      </c>
      <c r="R72" s="52">
        <f t="shared" si="6"/>
        <v>42.84</v>
      </c>
      <c r="T72" s="52">
        <f t="shared" si="7"/>
        <v>38.4</v>
      </c>
    </row>
    <row r="73" spans="1:20" ht="15" thickBot="1">
      <c r="A73" s="47">
        <f t="shared" si="8"/>
        <v>66</v>
      </c>
      <c r="B73" s="52">
        <f>IF(MIN(MAX(ROUND(ROUND('Loonschijven_Tranches salariale'!$Q73*0.65,4)*Basisbedragen!$I$7,2),ROUND(Basisbedragen!$D$48*Basisbedragen!$I$7,2)),ROUND(ROUND(Basisbedragen!$D$30*0.65,4)*Basisbedragen!$I$7,2))&lt;= Basisbedragen!$I$8,MIN(MAX(ROUND(ROUND('Loonschijven_Tranches salariale'!$Q73*0.65,4)*Basisbedragen!$I$2,2),ROUND(Basisbedragen!$D$48*Basisbedragen!$I$2,2)),ROUND(ROUND(Basisbedragen!$D$30*0.65,4)*Basisbedragen!$I$2,2)),MIN(MAX(ROUND(ROUND('Loonschijven_Tranches salariale'!$Q73*0.65,4)*Basisbedragen!$I$7,2),ROUND(Basisbedragen!$D$48*Basisbedragen!$I$7,2)),ROUND(ROUND(Basisbedragen!$D$30*0.65,4)*Basisbedragen!$I$7,2))+Basisbedragen!$I$10)</f>
        <v>78.25</v>
      </c>
      <c r="D73" s="52">
        <f>IF(MIN(MAX(ROUND(ROUND('Loonschijven_Tranches salariale'!$Q73*0.6,4)*Basisbedragen!$I$7,2),ROUND(Basisbedragen!$D$49*Basisbedragen!$I$7,2)),ROUND(ROUND(Basisbedragen!$D$30*0.6,4)*Basisbedragen!$I$7,2))&lt;= Basisbedragen!$I$8,MIN(MAX(ROUND(ROUND('Loonschijven_Tranches salariale'!$Q73*0.6,4)*Basisbedragen!$I$2,2),ROUND(Basisbedragen!$D$49*Basisbedragen!$I$2,2)),ROUND(ROUND(Basisbedragen!$D$30*0.6,4)*Basisbedragen!$I$2,2)),MIN(MAX(ROUND(ROUND('Loonschijven_Tranches salariale'!$Q73*0.6,4)*Basisbedragen!$I$7,2),ROUND(Basisbedragen!$D$49*Basisbedragen!$I$7,2)),ROUND(ROUND(Basisbedragen!$D$30*0.6,4)*Basisbedragen!$I$7,2))+Basisbedragen!$I$10)</f>
        <v>72.23</v>
      </c>
      <c r="F73" s="448">
        <f t="shared" ref="F73:F106" si="9">ROUND(B73*1.2,2)</f>
        <v>93.9</v>
      </c>
      <c r="H73" s="52">
        <f t="shared" ref="H73:H86" si="10">ROUND(D73*1.2,2)</f>
        <v>86.68</v>
      </c>
      <c r="J73" s="52">
        <f>MIN(MAX(ROUND(ROUND('Loonschijven_Tranches salariale'!$Q73*0.65,4)*Basisbedragen!$I$2,2),ROUND(Basisbedragen!$D$73*Basisbedragen!$I$2,2)),ROUND(ROUND(Basisbedragen!$D$31*0.65,4)*Basisbedragen!$I$2,2))</f>
        <v>76.8</v>
      </c>
      <c r="L73" s="52">
        <f>ROUND(MIN(MAX(ROUND(ROUND('Loonschijven_Tranches salariale'!$Q73*0.65,4)*Basisbedragen!$I$2,2),ROUND(Basisbedragen!$D$48*Basisbedragen!$I$2,2)),ROUND(ROUND(Basisbedragen!$D$30*0.65,4)*Basisbedragen!$I$2,2))/2,2)</f>
        <v>39.130000000000003</v>
      </c>
      <c r="N73" s="52">
        <f>ROUND(MIN(MAX(ROUND(ROUND('Loonschijven_Tranches salariale'!$Q73*0.6,4)*Basisbedragen!$I$2,2),ROUND(Basisbedragen!$D$49*Basisbedragen!$I$2,2)),ROUND(ROUND(Basisbedragen!$D$30*0.6,4)*Basisbedragen!$I$2,2))/2,2)</f>
        <v>36.119999999999997</v>
      </c>
      <c r="P73" s="52">
        <f t="shared" ref="P73:P106" si="11">ROUND(L73*1.2,2)</f>
        <v>46.96</v>
      </c>
      <c r="R73" s="52">
        <f t="shared" ref="R73:R106" si="12">ROUND(N73*1.2,2)</f>
        <v>43.34</v>
      </c>
      <c r="T73" s="52">
        <f t="shared" ref="T73:T82" si="13">ROUND(J73/2,2)</f>
        <v>38.4</v>
      </c>
    </row>
    <row r="74" spans="1:20" ht="15" thickBot="1">
      <c r="A74" s="47">
        <f t="shared" ref="A74:A81" si="14">A73+1</f>
        <v>67</v>
      </c>
      <c r="B74" s="52">
        <f>IF(MIN(MAX(ROUND(ROUND('Loonschijven_Tranches salariale'!$Q74*0.65,4)*Basisbedragen!$I$7,2),ROUND(Basisbedragen!$D$48*Basisbedragen!$I$7,2)),ROUND(ROUND(Basisbedragen!$D$30*0.65,4)*Basisbedragen!$I$7,2))&lt;= Basisbedragen!$I$8,MIN(MAX(ROUND(ROUND('Loonschijven_Tranches salariale'!$Q74*0.65,4)*Basisbedragen!$I$2,2),ROUND(Basisbedragen!$D$48*Basisbedragen!$I$2,2)),ROUND(ROUND(Basisbedragen!$D$30*0.65,4)*Basisbedragen!$I$2,2)),MIN(MAX(ROUND(ROUND('Loonschijven_Tranches salariale'!$Q74*0.65,4)*Basisbedragen!$I$7,2),ROUND(Basisbedragen!$D$48*Basisbedragen!$I$7,2)),ROUND(ROUND(Basisbedragen!$D$30*0.65,4)*Basisbedragen!$I$7,2))+Basisbedragen!$I$10)</f>
        <v>79.25</v>
      </c>
      <c r="D74" s="52">
        <f>IF(MIN(MAX(ROUND(ROUND('Loonschijven_Tranches salariale'!$Q74*0.6,4)*Basisbedragen!$I$7,2),ROUND(Basisbedragen!$D$49*Basisbedragen!$I$7,2)),ROUND(ROUND(Basisbedragen!$D$30*0.6,4)*Basisbedragen!$I$7,2))&lt;= Basisbedragen!$I$8,MIN(MAX(ROUND(ROUND('Loonschijven_Tranches salariale'!$Q74*0.6,4)*Basisbedragen!$I$2,2),ROUND(Basisbedragen!$D$49*Basisbedragen!$I$2,2)),ROUND(ROUND(Basisbedragen!$D$30*0.6,4)*Basisbedragen!$I$2,2)),MIN(MAX(ROUND(ROUND('Loonschijven_Tranches salariale'!$Q74*0.6,4)*Basisbedragen!$I$7,2),ROUND(Basisbedragen!$D$49*Basisbedragen!$I$7,2)),ROUND(ROUND(Basisbedragen!$D$30*0.6,4)*Basisbedragen!$I$7,2))+Basisbedragen!$I$10)</f>
        <v>73.17</v>
      </c>
      <c r="F74" s="448">
        <f t="shared" si="9"/>
        <v>95.1</v>
      </c>
      <c r="H74" s="52">
        <f t="shared" si="10"/>
        <v>87.8</v>
      </c>
      <c r="J74" s="52">
        <f>MIN(MAX(ROUND(ROUND('Loonschijven_Tranches salariale'!$Q74*0.65,4)*Basisbedragen!$I$2,2),ROUND(Basisbedragen!$D$73*Basisbedragen!$I$2,2)),ROUND(ROUND(Basisbedragen!$D$31*0.65,4)*Basisbedragen!$I$2,2))</f>
        <v>76.8</v>
      </c>
      <c r="L74" s="52">
        <f>ROUND(MIN(MAX(ROUND(ROUND('Loonschijven_Tranches salariale'!$Q74*0.65,4)*Basisbedragen!$I$2,2),ROUND(Basisbedragen!$D$48*Basisbedragen!$I$2,2)),ROUND(ROUND(Basisbedragen!$D$30*0.65,4)*Basisbedragen!$I$2,2))/2,2)</f>
        <v>39.64</v>
      </c>
      <c r="N74" s="52">
        <f>ROUND(MIN(MAX(ROUND(ROUND('Loonschijven_Tranches salariale'!$Q74*0.6,4)*Basisbedragen!$I$2,2),ROUND(Basisbedragen!$D$49*Basisbedragen!$I$2,2)),ROUND(ROUND(Basisbedragen!$D$30*0.6,4)*Basisbedragen!$I$2,2))/2,2)</f>
        <v>36.590000000000003</v>
      </c>
      <c r="P74" s="52">
        <f t="shared" si="11"/>
        <v>47.57</v>
      </c>
      <c r="R74" s="52">
        <f t="shared" si="12"/>
        <v>43.91</v>
      </c>
      <c r="T74" s="52">
        <f t="shared" si="13"/>
        <v>38.4</v>
      </c>
    </row>
    <row r="75" spans="1:20" ht="15" thickBot="1">
      <c r="A75" s="47">
        <f t="shared" si="14"/>
        <v>68</v>
      </c>
      <c r="B75" s="52">
        <f>IF(MIN(MAX(ROUND(ROUND('Loonschijven_Tranches salariale'!$Q75*0.65,4)*Basisbedragen!$I$7,2),ROUND(Basisbedragen!$D$48*Basisbedragen!$I$7,2)),ROUND(ROUND(Basisbedragen!$D$30*0.65,4)*Basisbedragen!$I$7,2))&lt;= Basisbedragen!$I$8,MIN(MAX(ROUND(ROUND('Loonschijven_Tranches salariale'!$Q75*0.65,4)*Basisbedragen!$I$2,2),ROUND(Basisbedragen!$D$48*Basisbedragen!$I$2,2)),ROUND(ROUND(Basisbedragen!$D$30*0.65,4)*Basisbedragen!$I$2,2)),MIN(MAX(ROUND(ROUND('Loonschijven_Tranches salariale'!$Q75*0.65,4)*Basisbedragen!$I$7,2),ROUND(Basisbedragen!$D$48*Basisbedragen!$I$7,2)),ROUND(ROUND(Basisbedragen!$D$30*0.65,4)*Basisbedragen!$I$7,2))+Basisbedragen!$I$10)</f>
        <v>80.25</v>
      </c>
      <c r="D75" s="52">
        <f>IF(MIN(MAX(ROUND(ROUND('Loonschijven_Tranches salariale'!$Q75*0.6,4)*Basisbedragen!$I$7,2),ROUND(Basisbedragen!$D$49*Basisbedragen!$I$7,2)),ROUND(ROUND(Basisbedragen!$D$30*0.6,4)*Basisbedragen!$I$7,2))&lt;= Basisbedragen!$I$8,MIN(MAX(ROUND(ROUND('Loonschijven_Tranches salariale'!$Q75*0.6,4)*Basisbedragen!$I$2,2),ROUND(Basisbedragen!$D$49*Basisbedragen!$I$2,2)),ROUND(ROUND(Basisbedragen!$D$30*0.6,4)*Basisbedragen!$I$2,2)),MIN(MAX(ROUND(ROUND('Loonschijven_Tranches salariale'!$Q75*0.6,4)*Basisbedragen!$I$7,2),ROUND(Basisbedragen!$D$49*Basisbedragen!$I$7,2)),ROUND(ROUND(Basisbedragen!$D$30*0.6,4)*Basisbedragen!$I$7,2))+Basisbedragen!$I$10)</f>
        <v>74.11</v>
      </c>
      <c r="F75" s="448">
        <f t="shared" si="9"/>
        <v>96.3</v>
      </c>
      <c r="H75" s="52">
        <f t="shared" si="10"/>
        <v>88.93</v>
      </c>
      <c r="J75" s="52">
        <f>MIN(MAX(ROUND(ROUND('Loonschijven_Tranches salariale'!$Q75*0.65,4)*Basisbedragen!$I$2,2),ROUND(Basisbedragen!$D$73*Basisbedragen!$I$2,2)),ROUND(ROUND(Basisbedragen!$D$31*0.65,4)*Basisbedragen!$I$2,2))</f>
        <v>76.8</v>
      </c>
      <c r="L75" s="52">
        <f>ROUND(MIN(MAX(ROUND(ROUND('Loonschijven_Tranches salariale'!$Q75*0.65,4)*Basisbedragen!$I$2,2),ROUND(Basisbedragen!$D$48*Basisbedragen!$I$2,2)),ROUND(ROUND(Basisbedragen!$D$30*0.65,4)*Basisbedragen!$I$2,2))/2,2)</f>
        <v>40.14</v>
      </c>
      <c r="N75" s="52">
        <f>ROUND(MIN(MAX(ROUND(ROUND('Loonschijven_Tranches salariale'!$Q75*0.6,4)*Basisbedragen!$I$2,2),ROUND(Basisbedragen!$D$49*Basisbedragen!$I$2,2)),ROUND(ROUND(Basisbedragen!$D$30*0.6,4)*Basisbedragen!$I$2,2))/2,2)</f>
        <v>37.06</v>
      </c>
      <c r="P75" s="52">
        <f t="shared" si="11"/>
        <v>48.17</v>
      </c>
      <c r="R75" s="52">
        <f t="shared" si="12"/>
        <v>44.47</v>
      </c>
      <c r="T75" s="52">
        <f t="shared" si="13"/>
        <v>38.4</v>
      </c>
    </row>
    <row r="76" spans="1:20" ht="15" thickBot="1">
      <c r="A76" s="47">
        <f t="shared" si="14"/>
        <v>69</v>
      </c>
      <c r="B76" s="52">
        <f>IF(MIN(MAX(ROUND(ROUND('Loonschijven_Tranches salariale'!$Q76*0.65,4)*Basisbedragen!$I$7,2),ROUND(Basisbedragen!$D$48*Basisbedragen!$I$7,2)),ROUND(ROUND(Basisbedragen!$D$30*0.65,4)*Basisbedragen!$I$7,2))&lt;= Basisbedragen!$I$8,MIN(MAX(ROUND(ROUND('Loonschijven_Tranches salariale'!$Q76*0.65,4)*Basisbedragen!$I$2,2),ROUND(Basisbedragen!$D$48*Basisbedragen!$I$2,2)),ROUND(ROUND(Basisbedragen!$D$30*0.65,4)*Basisbedragen!$I$2,2)),MIN(MAX(ROUND(ROUND('Loonschijven_Tranches salariale'!$Q76*0.65,4)*Basisbedragen!$I$7,2),ROUND(Basisbedragen!$D$48*Basisbedragen!$I$7,2)),ROUND(ROUND(Basisbedragen!$D$30*0.65,4)*Basisbedragen!$I$7,2))+Basisbedragen!$I$10)</f>
        <v>81.240000000000009</v>
      </c>
      <c r="D76" s="52">
        <f>IF(MIN(MAX(ROUND(ROUND('Loonschijven_Tranches salariale'!$Q76*0.6,4)*Basisbedragen!$I$7,2),ROUND(Basisbedragen!$D$49*Basisbedragen!$I$7,2)),ROUND(ROUND(Basisbedragen!$D$30*0.6,4)*Basisbedragen!$I$7,2))&lt;= Basisbedragen!$I$8,MIN(MAX(ROUND(ROUND('Loonschijven_Tranches salariale'!$Q76*0.6,4)*Basisbedragen!$I$2,2),ROUND(Basisbedragen!$D$49*Basisbedragen!$I$2,2)),ROUND(ROUND(Basisbedragen!$D$30*0.6,4)*Basisbedragen!$I$2,2)),MIN(MAX(ROUND(ROUND('Loonschijven_Tranches salariale'!$Q76*0.6,4)*Basisbedragen!$I$7,2),ROUND(Basisbedragen!$D$49*Basisbedragen!$I$7,2)),ROUND(ROUND(Basisbedragen!$D$30*0.6,4)*Basisbedragen!$I$7,2))+Basisbedragen!$I$10)</f>
        <v>75.05</v>
      </c>
      <c r="F76" s="448">
        <f t="shared" si="9"/>
        <v>97.49</v>
      </c>
      <c r="H76" s="52">
        <f t="shared" si="10"/>
        <v>90.06</v>
      </c>
      <c r="J76" s="52">
        <f>MIN(MAX(ROUND(ROUND('Loonschijven_Tranches salariale'!$Q76*0.65,4)*Basisbedragen!$I$2,2),ROUND(Basisbedragen!$D$73*Basisbedragen!$I$2,2)),ROUND(ROUND(Basisbedragen!$D$31*0.65,4)*Basisbedragen!$I$2,2))</f>
        <v>76.8</v>
      </c>
      <c r="L76" s="52">
        <f>ROUND(MIN(MAX(ROUND(ROUND('Loonschijven_Tranches salariale'!$Q76*0.65,4)*Basisbedragen!$I$2,2),ROUND(Basisbedragen!$D$48*Basisbedragen!$I$2,2)),ROUND(ROUND(Basisbedragen!$D$30*0.65,4)*Basisbedragen!$I$2,2))/2,2)</f>
        <v>40.65</v>
      </c>
      <c r="N76" s="52">
        <f>ROUND(MIN(MAX(ROUND(ROUND('Loonschijven_Tranches salariale'!$Q76*0.6,4)*Basisbedragen!$I$2,2),ROUND(Basisbedragen!$D$49*Basisbedragen!$I$2,2)),ROUND(ROUND(Basisbedragen!$D$30*0.6,4)*Basisbedragen!$I$2,2))/2,2)</f>
        <v>37.53</v>
      </c>
      <c r="P76" s="52">
        <f t="shared" si="11"/>
        <v>48.78</v>
      </c>
      <c r="R76" s="52">
        <f t="shared" si="12"/>
        <v>45.04</v>
      </c>
      <c r="T76" s="52">
        <f t="shared" si="13"/>
        <v>38.4</v>
      </c>
    </row>
    <row r="77" spans="1:20" ht="15" thickBot="1">
      <c r="A77" s="47">
        <f t="shared" si="14"/>
        <v>70</v>
      </c>
      <c r="B77" s="52">
        <f>IF(MIN(MAX(ROUND(ROUND('Loonschijven_Tranches salariale'!$Q77*0.65,4)*Basisbedragen!$I$7,2),ROUND(Basisbedragen!$D$48*Basisbedragen!$I$7,2)),ROUND(ROUND(Basisbedragen!$D$30*0.65,4)*Basisbedragen!$I$7,2))&lt;= Basisbedragen!$I$8,MIN(MAX(ROUND(ROUND('Loonschijven_Tranches salariale'!$Q77*0.65,4)*Basisbedragen!$I$2,2),ROUND(Basisbedragen!$D$48*Basisbedragen!$I$2,2)),ROUND(ROUND(Basisbedragen!$D$30*0.65,4)*Basisbedragen!$I$2,2)),MIN(MAX(ROUND(ROUND('Loonschijven_Tranches salariale'!$Q77*0.65,4)*Basisbedragen!$I$7,2),ROUND(Basisbedragen!$D$48*Basisbedragen!$I$7,2)),ROUND(ROUND(Basisbedragen!$D$30*0.65,4)*Basisbedragen!$I$7,2))+Basisbedragen!$I$10)</f>
        <v>81.900000000000006</v>
      </c>
      <c r="D77" s="52">
        <f>IF(MIN(MAX(ROUND(ROUND('Loonschijven_Tranches salariale'!$Q77*0.6,4)*Basisbedragen!$I$7,2),ROUND(Basisbedragen!$D$49*Basisbedragen!$I$7,2)),ROUND(ROUND(Basisbedragen!$D$30*0.6,4)*Basisbedragen!$I$7,2))&lt;= Basisbedragen!$I$8,MIN(MAX(ROUND(ROUND('Loonschijven_Tranches salariale'!$Q77*0.6,4)*Basisbedragen!$I$2,2),ROUND(Basisbedragen!$D$49*Basisbedragen!$I$2,2)),ROUND(ROUND(Basisbedragen!$D$30*0.6,4)*Basisbedragen!$I$2,2)),MIN(MAX(ROUND(ROUND('Loonschijven_Tranches salariale'!$Q77*0.6,4)*Basisbedragen!$I$7,2),ROUND(Basisbedragen!$D$49*Basisbedragen!$I$7,2)),ROUND(ROUND(Basisbedragen!$D$30*0.6,4)*Basisbedragen!$I$7,2))+Basisbedragen!$I$10)</f>
        <v>75.66</v>
      </c>
      <c r="F77" s="448">
        <f t="shared" si="9"/>
        <v>98.28</v>
      </c>
      <c r="H77" s="52">
        <f t="shared" si="10"/>
        <v>90.79</v>
      </c>
      <c r="J77" s="52">
        <f>MIN(MAX(ROUND(ROUND('Loonschijven_Tranches salariale'!$Q77*0.65,4)*Basisbedragen!$I$2,2),ROUND(Basisbedragen!$D$73*Basisbedragen!$I$2,2)),ROUND(ROUND(Basisbedragen!$D$31*0.65,4)*Basisbedragen!$I$2,2))</f>
        <v>76.8</v>
      </c>
      <c r="L77" s="52">
        <f>ROUND(MIN(MAX(ROUND(ROUND('Loonschijven_Tranches salariale'!$Q77*0.65,4)*Basisbedragen!$I$2,2),ROUND(Basisbedragen!$D$48*Basisbedragen!$I$2,2)),ROUND(ROUND(Basisbedragen!$D$30*0.65,4)*Basisbedragen!$I$2,2))/2,2)</f>
        <v>40.99</v>
      </c>
      <c r="N77" s="52">
        <f>ROUND(MIN(MAX(ROUND(ROUND('Loonschijven_Tranches salariale'!$Q77*0.6,4)*Basisbedragen!$I$2,2),ROUND(Basisbedragen!$D$49*Basisbedragen!$I$2,2)),ROUND(ROUND(Basisbedragen!$D$30*0.6,4)*Basisbedragen!$I$2,2))/2,2)</f>
        <v>37.83</v>
      </c>
      <c r="P77" s="52">
        <f t="shared" si="11"/>
        <v>49.19</v>
      </c>
      <c r="R77" s="52">
        <f t="shared" si="12"/>
        <v>45.4</v>
      </c>
      <c r="T77" s="52">
        <f t="shared" si="13"/>
        <v>38.4</v>
      </c>
    </row>
    <row r="78" spans="1:20" ht="15" thickBot="1">
      <c r="A78" s="47">
        <f t="shared" si="14"/>
        <v>71</v>
      </c>
      <c r="B78" s="52">
        <f>IF(MIN(MAX(ROUND(ROUND('Loonschijven_Tranches salariale'!$Q78*0.65,4)*Basisbedragen!$I$7,2),ROUND(Basisbedragen!$D$48*Basisbedragen!$I$7,2)),ROUND(ROUND(Basisbedragen!$D$30*0.65,4)*Basisbedragen!$I$7,2))&lt;= Basisbedragen!$I$8,MIN(MAX(ROUND(ROUND('Loonschijven_Tranches salariale'!$Q78*0.65,4)*Basisbedragen!$I$2,2),ROUND(Basisbedragen!$D$48*Basisbedragen!$I$2,2)),ROUND(ROUND(Basisbedragen!$D$30*0.65,4)*Basisbedragen!$I$2,2)),MIN(MAX(ROUND(ROUND('Loonschijven_Tranches salariale'!$Q78*0.65,4)*Basisbedragen!$I$7,2),ROUND(Basisbedragen!$D$48*Basisbedragen!$I$7,2)),ROUND(ROUND(Basisbedragen!$D$30*0.65,4)*Basisbedragen!$I$7,2))+Basisbedragen!$I$10)</f>
        <v>82.4</v>
      </c>
      <c r="D78" s="52">
        <f>IF(MIN(MAX(ROUND(ROUND('Loonschijven_Tranches salariale'!$Q78*0.6,4)*Basisbedragen!$I$7,2),ROUND(Basisbedragen!$D$49*Basisbedragen!$I$7,2)),ROUND(ROUND(Basisbedragen!$D$30*0.6,4)*Basisbedragen!$I$7,2))&lt;= Basisbedragen!$I$8,MIN(MAX(ROUND(ROUND('Loonschijven_Tranches salariale'!$Q78*0.6,4)*Basisbedragen!$I$2,2),ROUND(Basisbedragen!$D$49*Basisbedragen!$I$2,2)),ROUND(ROUND(Basisbedragen!$D$30*0.6,4)*Basisbedragen!$I$2,2)),MIN(MAX(ROUND(ROUND('Loonschijven_Tranches salariale'!$Q78*0.6,4)*Basisbedragen!$I$7,2),ROUND(Basisbedragen!$D$49*Basisbedragen!$I$7,2)),ROUND(ROUND(Basisbedragen!$D$30*0.6,4)*Basisbedragen!$I$7,2))+Basisbedragen!$I$10)</f>
        <v>76.14</v>
      </c>
      <c r="F78" s="448">
        <f t="shared" si="9"/>
        <v>98.88</v>
      </c>
      <c r="H78" s="52">
        <f t="shared" si="10"/>
        <v>91.37</v>
      </c>
      <c r="J78" s="52">
        <f>MIN(MAX(ROUND(ROUND('Loonschijven_Tranches salariale'!$Q78*0.65,4)*Basisbedragen!$I$2,2),ROUND(Basisbedragen!$D$73*Basisbedragen!$I$2,2)),ROUND(ROUND(Basisbedragen!$D$31*0.65,4)*Basisbedragen!$I$2,2))</f>
        <v>76.8</v>
      </c>
      <c r="L78" s="52">
        <f>ROUND(MIN(MAX(ROUND(ROUND('Loonschijven_Tranches salariale'!$Q78*0.65,4)*Basisbedragen!$I$2,2),ROUND(Basisbedragen!$D$48*Basisbedragen!$I$2,2)),ROUND(ROUND(Basisbedragen!$D$30*0.65,4)*Basisbedragen!$I$2,2))/2,2)</f>
        <v>41.24</v>
      </c>
      <c r="N78" s="52">
        <f>ROUND(MIN(MAX(ROUND(ROUND('Loonschijven_Tranches salariale'!$Q78*0.6,4)*Basisbedragen!$I$2,2),ROUND(Basisbedragen!$D$49*Basisbedragen!$I$2,2)),ROUND(ROUND(Basisbedragen!$D$30*0.6,4)*Basisbedragen!$I$2,2))/2,2)</f>
        <v>38.07</v>
      </c>
      <c r="P78" s="52">
        <f t="shared" si="11"/>
        <v>49.49</v>
      </c>
      <c r="R78" s="52">
        <f t="shared" si="12"/>
        <v>45.68</v>
      </c>
      <c r="T78" s="52">
        <f t="shared" si="13"/>
        <v>38.4</v>
      </c>
    </row>
    <row r="79" spans="1:20" ht="15" thickBot="1">
      <c r="A79" s="47">
        <f t="shared" si="14"/>
        <v>72</v>
      </c>
      <c r="B79" s="52">
        <f>IF(MIN(MAX(ROUND(ROUND('Loonschijven_Tranches salariale'!$Q79*0.65,4)*Basisbedragen!$I$7,2),ROUND(Basisbedragen!$D$48*Basisbedragen!$I$7,2)),ROUND(ROUND(Basisbedragen!$D$30*0.65,4)*Basisbedragen!$I$7,2))&lt;= Basisbedragen!$I$8,MIN(MAX(ROUND(ROUND('Loonschijven_Tranches salariale'!$Q79*0.65,4)*Basisbedragen!$I$2,2),ROUND(Basisbedragen!$D$48*Basisbedragen!$I$2,2)),ROUND(ROUND(Basisbedragen!$D$30*0.65,4)*Basisbedragen!$I$2,2)),MIN(MAX(ROUND(ROUND('Loonschijven_Tranches salariale'!$Q79*0.65,4)*Basisbedragen!$I$7,2),ROUND(Basisbedragen!$D$48*Basisbedragen!$I$7,2)),ROUND(ROUND(Basisbedragen!$D$30*0.65,4)*Basisbedragen!$I$7,2))+Basisbedragen!$I$10)</f>
        <v>82.9</v>
      </c>
      <c r="D79" s="52">
        <f>IF(MIN(MAX(ROUND(ROUND('Loonschijven_Tranches salariale'!$Q79*0.6,4)*Basisbedragen!$I$7,2),ROUND(Basisbedragen!$D$49*Basisbedragen!$I$7,2)),ROUND(ROUND(Basisbedragen!$D$30*0.6,4)*Basisbedragen!$I$7,2))&lt;= Basisbedragen!$I$8,MIN(MAX(ROUND(ROUND('Loonschijven_Tranches salariale'!$Q79*0.6,4)*Basisbedragen!$I$2,2),ROUND(Basisbedragen!$D$49*Basisbedragen!$I$2,2)),ROUND(ROUND(Basisbedragen!$D$30*0.6,4)*Basisbedragen!$I$2,2)),MIN(MAX(ROUND(ROUND('Loonschijven_Tranches salariale'!$Q79*0.6,4)*Basisbedragen!$I$7,2),ROUND(Basisbedragen!$D$49*Basisbedragen!$I$7,2)),ROUND(ROUND(Basisbedragen!$D$30*0.6,4)*Basisbedragen!$I$7,2))+Basisbedragen!$I$10)</f>
        <v>76.61</v>
      </c>
      <c r="F79" s="448">
        <f t="shared" si="9"/>
        <v>99.48</v>
      </c>
      <c r="H79" s="52">
        <f t="shared" si="10"/>
        <v>91.93</v>
      </c>
      <c r="J79" s="52">
        <f>MIN(MAX(ROUND(ROUND('Loonschijven_Tranches salariale'!$Q79*0.65,4)*Basisbedragen!$I$2,2),ROUND(Basisbedragen!$D$73*Basisbedragen!$I$2,2)),ROUND(ROUND(Basisbedragen!$D$31*0.65,4)*Basisbedragen!$I$2,2))</f>
        <v>76.8</v>
      </c>
      <c r="L79" s="52">
        <f>ROUND(MIN(MAX(ROUND(ROUND('Loonschijven_Tranches salariale'!$Q79*0.65,4)*Basisbedragen!$I$2,2),ROUND(Basisbedragen!$D$48*Basisbedragen!$I$2,2)),ROUND(ROUND(Basisbedragen!$D$30*0.65,4)*Basisbedragen!$I$2,2))/2,2)</f>
        <v>41.5</v>
      </c>
      <c r="N79" s="52">
        <f>ROUND(MIN(MAX(ROUND(ROUND('Loonschijven_Tranches salariale'!$Q79*0.6,4)*Basisbedragen!$I$2,2),ROUND(Basisbedragen!$D$49*Basisbedragen!$I$2,2)),ROUND(ROUND(Basisbedragen!$D$30*0.6,4)*Basisbedragen!$I$2,2))/2,2)</f>
        <v>38.31</v>
      </c>
      <c r="P79" s="52">
        <f t="shared" si="11"/>
        <v>49.8</v>
      </c>
      <c r="R79" s="52">
        <f t="shared" si="12"/>
        <v>45.97</v>
      </c>
      <c r="T79" s="52">
        <f t="shared" si="13"/>
        <v>38.4</v>
      </c>
    </row>
    <row r="80" spans="1:20" ht="15" thickBot="1">
      <c r="A80" s="47">
        <f t="shared" si="14"/>
        <v>73</v>
      </c>
      <c r="B80" s="52">
        <f>IF(MIN(MAX(ROUND(ROUND('Loonschijven_Tranches salariale'!$Q80*0.65,4)*Basisbedragen!$I$7,2),ROUND(Basisbedragen!$D$48*Basisbedragen!$I$7,2)),ROUND(ROUND(Basisbedragen!$D$30*0.65,4)*Basisbedragen!$I$7,2))&lt;= Basisbedragen!$I$8,MIN(MAX(ROUND(ROUND('Loonschijven_Tranches salariale'!$Q80*0.65,4)*Basisbedragen!$I$2,2),ROUND(Basisbedragen!$D$48*Basisbedragen!$I$2,2)),ROUND(ROUND(Basisbedragen!$D$30*0.65,4)*Basisbedragen!$I$2,2)),MIN(MAX(ROUND(ROUND('Loonschijven_Tranches salariale'!$Q80*0.65,4)*Basisbedragen!$I$7,2),ROUND(Basisbedragen!$D$48*Basisbedragen!$I$7,2)),ROUND(ROUND(Basisbedragen!$D$30*0.65,4)*Basisbedragen!$I$7,2))+Basisbedragen!$I$10)</f>
        <v>84.03</v>
      </c>
      <c r="D80" s="52">
        <f>IF(MIN(MAX(ROUND(ROUND('Loonschijven_Tranches salariale'!$Q80*0.6,4)*Basisbedragen!$I$7,2),ROUND(Basisbedragen!$D$49*Basisbedragen!$I$7,2)),ROUND(ROUND(Basisbedragen!$D$30*0.6,4)*Basisbedragen!$I$7,2))&lt;= Basisbedragen!$I$8,MIN(MAX(ROUND(ROUND('Loonschijven_Tranches salariale'!$Q80*0.6,4)*Basisbedragen!$I$2,2),ROUND(Basisbedragen!$D$49*Basisbedragen!$I$2,2)),ROUND(ROUND(Basisbedragen!$D$30*0.6,4)*Basisbedragen!$I$2,2)),MIN(MAX(ROUND(ROUND('Loonschijven_Tranches salariale'!$Q80*0.6,4)*Basisbedragen!$I$7,2),ROUND(Basisbedragen!$D$49*Basisbedragen!$I$7,2)),ROUND(ROUND(Basisbedragen!$D$30*0.6,4)*Basisbedragen!$I$7,2))+Basisbedragen!$I$10)</f>
        <v>77.67</v>
      </c>
      <c r="F80" s="448">
        <f t="shared" si="9"/>
        <v>100.84</v>
      </c>
      <c r="H80" s="52">
        <f t="shared" si="10"/>
        <v>93.2</v>
      </c>
      <c r="J80" s="52">
        <f>MIN(MAX(ROUND(ROUND('Loonschijven_Tranches salariale'!$Q80*0.65,4)*Basisbedragen!$I$2,2),ROUND(Basisbedragen!$D$73*Basisbedragen!$I$2,2)),ROUND(ROUND(Basisbedragen!$D$31*0.65,4)*Basisbedragen!$I$2,2))</f>
        <v>76.8</v>
      </c>
      <c r="L80" s="52">
        <f>ROUND(MIN(MAX(ROUND(ROUND('Loonschijven_Tranches salariale'!$Q80*0.65,4)*Basisbedragen!$I$2,2),ROUND(Basisbedragen!$D$48*Basisbedragen!$I$2,2)),ROUND(ROUND(Basisbedragen!$D$30*0.65,4)*Basisbedragen!$I$2,2))/2,2)</f>
        <v>42.07</v>
      </c>
      <c r="N80" s="52">
        <f>ROUND(MIN(MAX(ROUND(ROUND('Loonschijven_Tranches salariale'!$Q80*0.6,4)*Basisbedragen!$I$2,2),ROUND(Basisbedragen!$D$49*Basisbedragen!$I$2,2)),ROUND(ROUND(Basisbedragen!$D$30*0.6,4)*Basisbedragen!$I$2,2))/2,2)</f>
        <v>38.840000000000003</v>
      </c>
      <c r="P80" s="52">
        <f t="shared" si="11"/>
        <v>50.48</v>
      </c>
      <c r="R80" s="52">
        <f t="shared" si="12"/>
        <v>46.61</v>
      </c>
      <c r="T80" s="52">
        <f t="shared" si="13"/>
        <v>38.4</v>
      </c>
    </row>
    <row r="81" spans="1:20" ht="15" thickBot="1">
      <c r="A81" s="47">
        <f t="shared" si="14"/>
        <v>74</v>
      </c>
      <c r="B81" s="52">
        <f>IF(MIN(MAX(ROUND(ROUND('Loonschijven_Tranches salariale'!$Q81*0.65,4)*Basisbedragen!$I$7,2),ROUND(Basisbedragen!$D$48*Basisbedragen!$I$7,2)),ROUND(ROUND(Basisbedragen!$D$30*0.65,4)*Basisbedragen!$I$7,2))&lt;= Basisbedragen!$I$8,MIN(MAX(ROUND(ROUND('Loonschijven_Tranches salariale'!$Q81*0.65,4)*Basisbedragen!$I$2,2),ROUND(Basisbedragen!$D$48*Basisbedragen!$I$2,2)),ROUND(ROUND(Basisbedragen!$D$30*0.65,4)*Basisbedragen!$I$2,2)),MIN(MAX(ROUND(ROUND('Loonschijven_Tranches salariale'!$Q81*0.65,4)*Basisbedragen!$I$7,2),ROUND(Basisbedragen!$D$48*Basisbedragen!$I$7,2)),ROUND(ROUND(Basisbedragen!$D$30*0.65,4)*Basisbedragen!$I$7,2))+Basisbedragen!$I$10)</f>
        <v>84.53</v>
      </c>
      <c r="D81" s="52">
        <f>IF(MIN(MAX(ROUND(ROUND('Loonschijven_Tranches salariale'!$Q81*0.6,4)*Basisbedragen!$I$7,2),ROUND(Basisbedragen!$D$49*Basisbedragen!$I$7,2)),ROUND(ROUND(Basisbedragen!$D$30*0.6,4)*Basisbedragen!$I$7,2))&lt;= Basisbedragen!$I$8,MIN(MAX(ROUND(ROUND('Loonschijven_Tranches salariale'!$Q81*0.6,4)*Basisbedragen!$I$2,2),ROUND(Basisbedragen!$D$49*Basisbedragen!$I$2,2)),ROUND(ROUND(Basisbedragen!$D$30*0.6,4)*Basisbedragen!$I$2,2)),MIN(MAX(ROUND(ROUND('Loonschijven_Tranches salariale'!$Q81*0.6,4)*Basisbedragen!$I$7,2),ROUND(Basisbedragen!$D$49*Basisbedragen!$I$7,2)),ROUND(ROUND(Basisbedragen!$D$30*0.6,4)*Basisbedragen!$I$7,2))+Basisbedragen!$I$10)</f>
        <v>78.14</v>
      </c>
      <c r="F81" s="448">
        <f t="shared" si="9"/>
        <v>101.44</v>
      </c>
      <c r="H81" s="52">
        <f t="shared" si="10"/>
        <v>93.77</v>
      </c>
      <c r="J81" s="52">
        <f>MIN(MAX(ROUND(ROUND('Loonschijven_Tranches salariale'!$Q81*0.65,4)*Basisbedragen!$I$2,2),ROUND(Basisbedragen!$D$73*Basisbedragen!$I$2,2)),ROUND(ROUND(Basisbedragen!$D$31*0.65,4)*Basisbedragen!$I$2,2))</f>
        <v>76.8</v>
      </c>
      <c r="L81" s="52">
        <f>ROUND(MIN(MAX(ROUND(ROUND('Loonschijven_Tranches salariale'!$Q81*0.65,4)*Basisbedragen!$I$2,2),ROUND(Basisbedragen!$D$48*Basisbedragen!$I$2,2)),ROUND(ROUND(Basisbedragen!$D$30*0.65,4)*Basisbedragen!$I$2,2))/2,2)</f>
        <v>42.33</v>
      </c>
      <c r="N81" s="52">
        <f>ROUND(MIN(MAX(ROUND(ROUND('Loonschijven_Tranches salariale'!$Q81*0.6,4)*Basisbedragen!$I$2,2),ROUND(Basisbedragen!$D$49*Basisbedragen!$I$2,2)),ROUND(ROUND(Basisbedragen!$D$30*0.6,4)*Basisbedragen!$I$2,2))/2,2)</f>
        <v>39.07</v>
      </c>
      <c r="P81" s="52">
        <f t="shared" si="11"/>
        <v>50.8</v>
      </c>
      <c r="R81" s="52">
        <f t="shared" si="12"/>
        <v>46.88</v>
      </c>
      <c r="T81" s="52">
        <f t="shared" si="13"/>
        <v>38.4</v>
      </c>
    </row>
    <row r="82" spans="1:20" ht="15" thickBot="1">
      <c r="A82" s="47">
        <f>A81+1</f>
        <v>75</v>
      </c>
      <c r="B82" s="52">
        <f>IF(MIN(MAX(ROUND(ROUND('Loonschijven_Tranches salariale'!$Q82*0.65,4)*Basisbedragen!$I$7,2),ROUND(Basisbedragen!$D$48*Basisbedragen!$I$7,2)),ROUND(ROUND(Basisbedragen!$D$30*0.65,4)*Basisbedragen!$I$7,2))&lt;= Basisbedragen!$I$8,MIN(MAX(ROUND(ROUND('Loonschijven_Tranches salariale'!$Q82*0.65,4)*Basisbedragen!$I$2,2),ROUND(Basisbedragen!$D$48*Basisbedragen!$I$2,2)),ROUND(ROUND(Basisbedragen!$D$30*0.65,4)*Basisbedragen!$I$2,2)),MIN(MAX(ROUND(ROUND('Loonschijven_Tranches salariale'!$Q82*0.65,4)*Basisbedragen!$I$7,2),ROUND(Basisbedragen!$D$48*Basisbedragen!$I$7,2)),ROUND(ROUND(Basisbedragen!$D$30*0.65,4)*Basisbedragen!$I$7,2))+Basisbedragen!$I$10)</f>
        <v>85.570000000000007</v>
      </c>
      <c r="D82" s="52">
        <f>IF(MIN(MAX(ROUND(ROUND('Loonschijven_Tranches salariale'!$Q82*0.6,4)*Basisbedragen!$I$7,2),ROUND(Basisbedragen!$D$49*Basisbedragen!$I$7,2)),ROUND(ROUND(Basisbedragen!$D$30*0.6,4)*Basisbedragen!$I$7,2))&lt;= Basisbedragen!$I$8,MIN(MAX(ROUND(ROUND('Loonschijven_Tranches salariale'!$Q82*0.6,4)*Basisbedragen!$I$2,2),ROUND(Basisbedragen!$D$49*Basisbedragen!$I$2,2)),ROUND(ROUND(Basisbedragen!$D$30*0.6,4)*Basisbedragen!$I$2,2)),MIN(MAX(ROUND(ROUND('Loonschijven_Tranches salariale'!$Q82*0.6,4)*Basisbedragen!$I$7,2),ROUND(Basisbedragen!$D$49*Basisbedragen!$I$7,2)),ROUND(ROUND(Basisbedragen!$D$30*0.6,4)*Basisbedragen!$I$7,2))+Basisbedragen!$I$10)</f>
        <v>79.100000000000009</v>
      </c>
      <c r="F82" s="448">
        <f t="shared" si="9"/>
        <v>102.68</v>
      </c>
      <c r="H82" s="52">
        <f t="shared" si="10"/>
        <v>94.92</v>
      </c>
      <c r="J82" s="52">
        <f>MIN(MAX(ROUND(ROUND('Loonschijven_Tranches salariale'!$Q82*0.65,4)*Basisbedragen!$I$2,2),ROUND(Basisbedragen!$D$73*Basisbedragen!$I$2,2)),ROUND(ROUND(Basisbedragen!$D$31*0.65,4)*Basisbedragen!$I$2,2))</f>
        <v>76.8</v>
      </c>
      <c r="L82" s="52">
        <f>ROUND(MIN(MAX(ROUND(ROUND('Loonschijven_Tranches salariale'!$Q82*0.65,4)*Basisbedragen!$I$2,2),ROUND(Basisbedragen!$D$48*Basisbedragen!$I$2,2)),ROUND(ROUND(Basisbedragen!$D$30*0.65,4)*Basisbedragen!$I$2,2))/2,2)</f>
        <v>42.86</v>
      </c>
      <c r="N82" s="52">
        <f>ROUND(MIN(MAX(ROUND(ROUND('Loonschijven_Tranches salariale'!$Q82*0.6,4)*Basisbedragen!$I$2,2),ROUND(Basisbedragen!$D$49*Basisbedragen!$I$2,2)),ROUND(ROUND(Basisbedragen!$D$30*0.6,4)*Basisbedragen!$I$2,2))/2,2)</f>
        <v>39.56</v>
      </c>
      <c r="P82" s="52">
        <f t="shared" si="11"/>
        <v>51.43</v>
      </c>
      <c r="R82" s="52">
        <f t="shared" si="12"/>
        <v>47.47</v>
      </c>
      <c r="T82" s="52">
        <f t="shared" si="13"/>
        <v>38.4</v>
      </c>
    </row>
    <row r="83" spans="1:20" ht="15" thickBot="1">
      <c r="A83" s="47">
        <f>A82+1</f>
        <v>76</v>
      </c>
      <c r="B83" s="52">
        <f>IF(MIN(MAX(ROUND(ROUND('Loonschijven_Tranches salariale'!$Q83*0.65,4)*Basisbedragen!$I$7,2),ROUND(Basisbedragen!$D$48*Basisbedragen!$I$7,2)),ROUND(ROUND(Basisbedragen!$D$30*0.65,4)*Basisbedragen!$I$7,2))&lt;= Basisbedragen!$I$8,MIN(MAX(ROUND(ROUND('Loonschijven_Tranches salariale'!$Q83*0.65,4)*Basisbedragen!$I$2,2),ROUND(Basisbedragen!$D$48*Basisbedragen!$I$2,2)),ROUND(ROUND(Basisbedragen!$D$30*0.65,4)*Basisbedragen!$I$2,2)),MIN(MAX(ROUND(ROUND('Loonschijven_Tranches salariale'!$Q83*0.65,4)*Basisbedragen!$I$7,2),ROUND(Basisbedragen!$D$48*Basisbedragen!$I$7,2)),ROUND(ROUND(Basisbedragen!$D$30*0.65,4)*Basisbedragen!$I$7,2))+Basisbedragen!$I$10)</f>
        <v>86.240000000000009</v>
      </c>
      <c r="D83" s="52">
        <f>IF(MIN(MAX(ROUND(ROUND('Loonschijven_Tranches salariale'!$Q83*0.6,4)*Basisbedragen!$I$7,2),ROUND(Basisbedragen!$D$49*Basisbedragen!$I$7,2)),ROUND(ROUND(Basisbedragen!$D$30*0.6,4)*Basisbedragen!$I$7,2))&lt;= Basisbedragen!$I$8,MIN(MAX(ROUND(ROUND('Loonschijven_Tranches salariale'!$Q83*0.6,4)*Basisbedragen!$I$2,2),ROUND(Basisbedragen!$D$49*Basisbedragen!$I$2,2)),ROUND(ROUND(Basisbedragen!$D$30*0.6,4)*Basisbedragen!$I$2,2)),MIN(MAX(ROUND(ROUND('Loonschijven_Tranches salariale'!$Q83*0.6,4)*Basisbedragen!$I$7,2),ROUND(Basisbedragen!$D$49*Basisbedragen!$I$7,2)),ROUND(ROUND(Basisbedragen!$D$30*0.6,4)*Basisbedragen!$I$7,2))+Basisbedragen!$I$10)</f>
        <v>79.720000000000013</v>
      </c>
      <c r="F83" s="448">
        <f t="shared" si="9"/>
        <v>103.49</v>
      </c>
      <c r="H83" s="52">
        <f t="shared" si="10"/>
        <v>95.66</v>
      </c>
      <c r="J83" s="52">
        <f>MIN(MAX(ROUND(ROUND('Loonschijven_Tranches salariale'!$Q83*0.65,4)*Basisbedragen!$I$2,2),ROUND(Basisbedragen!$D$73*Basisbedragen!$I$2,2)),ROUND(ROUND(Basisbedragen!$D$31*0.65,4)*Basisbedragen!$I$2,2))</f>
        <v>76.8</v>
      </c>
      <c r="L83" s="52">
        <f>ROUND(MIN(MAX(ROUND(ROUND('Loonschijven_Tranches salariale'!$Q83*0.65,4)*Basisbedragen!$I$2,2),ROUND(Basisbedragen!$D$48*Basisbedragen!$I$2,2)),ROUND(ROUND(Basisbedragen!$D$30*0.65,4)*Basisbedragen!$I$2,2))/2,2)</f>
        <v>43.2</v>
      </c>
      <c r="N83" s="52">
        <f>ROUND(MIN(MAX(ROUND(ROUND('Loonschijven_Tranches salariale'!$Q83*0.6,4)*Basisbedragen!$I$2,2),ROUND(Basisbedragen!$D$49*Basisbedragen!$I$2,2)),ROUND(ROUND(Basisbedragen!$D$30*0.6,4)*Basisbedragen!$I$2,2))/2,2)</f>
        <v>39.880000000000003</v>
      </c>
      <c r="P83" s="52">
        <f t="shared" si="11"/>
        <v>51.84</v>
      </c>
      <c r="R83" s="52">
        <f t="shared" si="12"/>
        <v>47.86</v>
      </c>
      <c r="T83" s="52">
        <f>ROUND(J83/2,2)</f>
        <v>38.4</v>
      </c>
    </row>
    <row r="84" spans="1:20" ht="15" thickBot="1">
      <c r="A84" s="47">
        <f>A83+1</f>
        <v>77</v>
      </c>
      <c r="B84" s="52">
        <f>IF(MIN(MAX(ROUND(ROUND('Loonschijven_Tranches salariale'!$Q84*0.65,4)*Basisbedragen!$I$7,2),ROUND(Basisbedragen!$D$48*Basisbedragen!$I$7,2)),ROUND(ROUND(Basisbedragen!$D$30*0.65,4)*Basisbedragen!$I$7,2))&lt;= Basisbedragen!$I$8,MIN(MAX(ROUND(ROUND('Loonschijven_Tranches salariale'!$Q84*0.65,4)*Basisbedragen!$I$2,2),ROUND(Basisbedragen!$D$48*Basisbedragen!$I$2,2)),ROUND(ROUND(Basisbedragen!$D$30*0.65,4)*Basisbedragen!$I$2,2)),MIN(MAX(ROUND(ROUND('Loonschijven_Tranches salariale'!$Q84*0.65,4)*Basisbedragen!$I$7,2),ROUND(Basisbedragen!$D$48*Basisbedragen!$I$7,2)),ROUND(ROUND(Basisbedragen!$D$30*0.65,4)*Basisbedragen!$I$7,2))+Basisbedragen!$I$10)</f>
        <v>87.17</v>
      </c>
      <c r="D84" s="52">
        <f>IF(MIN(MAX(ROUND(ROUND('Loonschijven_Tranches salariale'!$Q84*0.6,4)*Basisbedragen!$I$7,2),ROUND(Basisbedragen!$D$49*Basisbedragen!$I$7,2)),ROUND(ROUND(Basisbedragen!$D$30*0.6,4)*Basisbedragen!$I$7,2))&lt;= Basisbedragen!$I$8,MIN(MAX(ROUND(ROUND('Loonschijven_Tranches salariale'!$Q84*0.6,4)*Basisbedragen!$I$2,2),ROUND(Basisbedragen!$D$49*Basisbedragen!$I$2,2)),ROUND(ROUND(Basisbedragen!$D$30*0.6,4)*Basisbedragen!$I$2,2)),MIN(MAX(ROUND(ROUND('Loonschijven_Tranches salariale'!$Q84*0.6,4)*Basisbedragen!$I$7,2),ROUND(Basisbedragen!$D$49*Basisbedragen!$I$7,2)),ROUND(ROUND(Basisbedragen!$D$30*0.6,4)*Basisbedragen!$I$7,2))+Basisbedragen!$I$10)</f>
        <v>80.580000000000013</v>
      </c>
      <c r="F84" s="448">
        <f t="shared" si="9"/>
        <v>104.6</v>
      </c>
      <c r="H84" s="52">
        <f t="shared" si="10"/>
        <v>96.7</v>
      </c>
      <c r="J84" s="52">
        <f>MIN(MAX(ROUND(ROUND('Loonschijven_Tranches salariale'!$Q84*0.65,4)*Basisbedragen!$I$2,2),ROUND(Basisbedragen!$D$73*Basisbedragen!$I$2,2)),ROUND(ROUND(Basisbedragen!$D$31*0.65,4)*Basisbedragen!$I$2,2))</f>
        <v>76.8</v>
      </c>
      <c r="L84" s="52">
        <f>ROUND(MIN(MAX(ROUND(ROUND('Loonschijven_Tranches salariale'!$Q84*0.65,4)*Basisbedragen!$I$2,2),ROUND(Basisbedragen!$D$48*Basisbedragen!$I$2,2)),ROUND(ROUND(Basisbedragen!$D$30*0.65,4)*Basisbedragen!$I$2,2))/2,2)</f>
        <v>43.68</v>
      </c>
      <c r="N84" s="52">
        <f>ROUND(MIN(MAX(ROUND(ROUND('Loonschijven_Tranches salariale'!$Q84*0.6,4)*Basisbedragen!$I$2,2),ROUND(Basisbedragen!$D$49*Basisbedragen!$I$2,2)),ROUND(ROUND(Basisbedragen!$D$30*0.6,4)*Basisbedragen!$I$2,2))/2,2)</f>
        <v>40.32</v>
      </c>
      <c r="P84" s="52">
        <f t="shared" si="11"/>
        <v>52.42</v>
      </c>
      <c r="R84" s="52">
        <f t="shared" si="12"/>
        <v>48.38</v>
      </c>
      <c r="T84" s="52">
        <f>ROUND(J84/2,2)</f>
        <v>38.4</v>
      </c>
    </row>
    <row r="85" spans="1:20" ht="15" thickBot="1">
      <c r="A85" s="47">
        <f>A84+1</f>
        <v>78</v>
      </c>
      <c r="B85" s="52">
        <f>IF(MIN(MAX(ROUND(ROUND('Loonschijven_Tranches salariale'!$Q85*0.65,4)*Basisbedragen!$I$7,2),ROUND(Basisbedragen!$D$48*Basisbedragen!$I$7,2)),ROUND(ROUND(Basisbedragen!$D$30*0.65,4)*Basisbedragen!$I$7,2))&lt;= Basisbedragen!$I$8,MIN(MAX(ROUND(ROUND('Loonschijven_Tranches salariale'!$Q85*0.65,4)*Basisbedragen!$I$2,2),ROUND(Basisbedragen!$D$48*Basisbedragen!$I$2,2)),ROUND(ROUND(Basisbedragen!$D$30*0.65,4)*Basisbedragen!$I$2,2)),MIN(MAX(ROUND(ROUND('Loonschijven_Tranches salariale'!$Q85*0.65,4)*Basisbedragen!$I$7,2),ROUND(Basisbedragen!$D$48*Basisbedragen!$I$7,2)),ROUND(ROUND(Basisbedragen!$D$30*0.65,4)*Basisbedragen!$I$7,2))+Basisbedragen!$I$10)</f>
        <v>88.11</v>
      </c>
      <c r="D85" s="52">
        <f>IF(MIN(MAX(ROUND(ROUND('Loonschijven_Tranches salariale'!$Q85*0.6,4)*Basisbedragen!$I$7,2),ROUND(Basisbedragen!$D$49*Basisbedragen!$I$7,2)),ROUND(ROUND(Basisbedragen!$D$30*0.6,4)*Basisbedragen!$I$7,2))&lt;= Basisbedragen!$I$8,MIN(MAX(ROUND(ROUND('Loonschijven_Tranches salariale'!$Q85*0.6,4)*Basisbedragen!$I$2,2),ROUND(Basisbedragen!$D$49*Basisbedragen!$I$2,2)),ROUND(ROUND(Basisbedragen!$D$30*0.6,4)*Basisbedragen!$I$2,2)),MIN(MAX(ROUND(ROUND('Loonschijven_Tranches salariale'!$Q85*0.6,4)*Basisbedragen!$I$7,2),ROUND(Basisbedragen!$D$49*Basisbedragen!$I$7,2)),ROUND(ROUND(Basisbedragen!$D$30*0.6,4)*Basisbedragen!$I$7,2))+Basisbedragen!$I$10)</f>
        <v>81.45</v>
      </c>
      <c r="F85" s="448">
        <f t="shared" si="9"/>
        <v>105.73</v>
      </c>
      <c r="H85" s="52">
        <f t="shared" si="10"/>
        <v>97.74</v>
      </c>
      <c r="J85" s="52">
        <f>MIN(MAX(ROUND(ROUND('Loonschijven_Tranches salariale'!$Q85*0.65,4)*Basisbedragen!$I$2,2),ROUND(Basisbedragen!$D$73*Basisbedragen!$I$2,2)),ROUND(ROUND(Basisbedragen!$D$31*0.65,4)*Basisbedragen!$I$2,2))</f>
        <v>76.8</v>
      </c>
      <c r="L85" s="52">
        <f>ROUND(MIN(MAX(ROUND(ROUND('Loonschijven_Tranches salariale'!$Q85*0.65,4)*Basisbedragen!$I$2,2),ROUND(Basisbedragen!$D$48*Basisbedragen!$I$2,2)),ROUND(ROUND(Basisbedragen!$D$30*0.65,4)*Basisbedragen!$I$2,2))/2,2)</f>
        <v>44.16</v>
      </c>
      <c r="N85" s="52">
        <f>ROUND(MIN(MAX(ROUND(ROUND('Loonschijven_Tranches salariale'!$Q85*0.6,4)*Basisbedragen!$I$2,2),ROUND(Basisbedragen!$D$49*Basisbedragen!$I$2,2)),ROUND(ROUND(Basisbedragen!$D$30*0.6,4)*Basisbedragen!$I$2,2))/2,2)</f>
        <v>40.76</v>
      </c>
      <c r="P85" s="52">
        <f t="shared" si="11"/>
        <v>52.99</v>
      </c>
      <c r="R85" s="52">
        <f t="shared" si="12"/>
        <v>48.91</v>
      </c>
      <c r="T85" s="52">
        <f>ROUND(J85/2,2)</f>
        <v>38.4</v>
      </c>
    </row>
    <row r="86" spans="1:20" ht="15" thickBot="1">
      <c r="A86" s="47">
        <f>A85+1</f>
        <v>79</v>
      </c>
      <c r="B86" s="52">
        <f>IF(MIN(MAX(ROUND(ROUND('Loonschijven_Tranches salariale'!$Q86*0.65,4)*Basisbedragen!$I$7,2),ROUND(Basisbedragen!$D$48*Basisbedragen!$I$7,2)),ROUND(ROUND(Basisbedragen!$D$30*0.65,4)*Basisbedragen!$I$7,2))&lt;= Basisbedragen!$I$8,MIN(MAX(ROUND(ROUND('Loonschijven_Tranches salariale'!$Q86*0.65,4)*Basisbedragen!$I$2,2),ROUND(Basisbedragen!$D$48*Basisbedragen!$I$2,2)),ROUND(ROUND(Basisbedragen!$D$30*0.65,4)*Basisbedragen!$I$2,2)),MIN(MAX(ROUND(ROUND('Loonschijven_Tranches salariale'!$Q86*0.65,4)*Basisbedragen!$I$7,2),ROUND(Basisbedragen!$D$48*Basisbedragen!$I$7,2)),ROUND(ROUND(Basisbedragen!$D$30*0.65,4)*Basisbedragen!$I$7,2))+Basisbedragen!$I$10)</f>
        <v>89.06</v>
      </c>
      <c r="D86" s="52">
        <f>IF(MIN(MAX(ROUND(ROUND('Loonschijven_Tranches salariale'!$Q86*0.6,4)*Basisbedragen!$I$7,2),ROUND(Basisbedragen!$D$49*Basisbedragen!$I$7,2)),ROUND(ROUND(Basisbedragen!$D$30*0.6,4)*Basisbedragen!$I$7,2))&lt;= Basisbedragen!$I$8,MIN(MAX(ROUND(ROUND('Loonschijven_Tranches salariale'!$Q86*0.6,4)*Basisbedragen!$I$2,2),ROUND(Basisbedragen!$D$49*Basisbedragen!$I$2,2)),ROUND(ROUND(Basisbedragen!$D$30*0.6,4)*Basisbedragen!$I$2,2)),MIN(MAX(ROUND(ROUND('Loonschijven_Tranches salariale'!$Q86*0.6,4)*Basisbedragen!$I$7,2),ROUND(Basisbedragen!$D$49*Basisbedragen!$I$7,2)),ROUND(ROUND(Basisbedragen!$D$30*0.6,4)*Basisbedragen!$I$7,2))+Basisbedragen!$I$10)</f>
        <v>82.330000000000013</v>
      </c>
      <c r="F86" s="448">
        <f t="shared" si="9"/>
        <v>106.87</v>
      </c>
      <c r="H86" s="52">
        <f t="shared" si="10"/>
        <v>98.8</v>
      </c>
      <c r="J86" s="52">
        <f>MIN(MAX(ROUND(ROUND('Loonschijven_Tranches salariale'!$Q86*0.65,4)*Basisbedragen!$I$2,2),ROUND(Basisbedragen!$D$73*Basisbedragen!$I$2,2)),ROUND(ROUND(Basisbedragen!$D$31*0.65,4)*Basisbedragen!$I$2,2))</f>
        <v>76.8</v>
      </c>
      <c r="L86" s="52">
        <f>ROUND(MIN(MAX(ROUND(ROUND('Loonschijven_Tranches salariale'!$Q86*0.65,4)*Basisbedragen!$I$2,2),ROUND(Basisbedragen!$D$48*Basisbedragen!$I$2,2)),ROUND(ROUND(Basisbedragen!$D$30*0.65,4)*Basisbedragen!$I$2,2))/2,2)</f>
        <v>44.64</v>
      </c>
      <c r="N86" s="52">
        <f>ROUND(MIN(MAX(ROUND(ROUND('Loonschijven_Tranches salariale'!$Q86*0.6,4)*Basisbedragen!$I$2,2),ROUND(Basisbedragen!$D$49*Basisbedragen!$I$2,2)),ROUND(ROUND(Basisbedragen!$D$30*0.6,4)*Basisbedragen!$I$2,2))/2,2)</f>
        <v>41.21</v>
      </c>
      <c r="P86" s="52">
        <f t="shared" si="11"/>
        <v>53.57</v>
      </c>
      <c r="R86" s="52">
        <f t="shared" si="12"/>
        <v>49.45</v>
      </c>
      <c r="T86" s="52">
        <f>ROUND(J86/2,2)</f>
        <v>38.4</v>
      </c>
    </row>
    <row r="87" spans="1:20" ht="15" thickBot="1">
      <c r="A87" s="47">
        <f t="shared" ref="A87:A101" si="15">A86+1</f>
        <v>80</v>
      </c>
      <c r="B87" s="52">
        <f>IF(MIN(MAX(ROUND(ROUND('Loonschijven_Tranches salariale'!$Q87*0.65,4)*Basisbedragen!$I$7,2),ROUND(Basisbedragen!$D$48*Basisbedragen!$I$7,2)),ROUND(ROUND(Basisbedragen!$D$30*0.65,4)*Basisbedragen!$I$7,2))&lt;= Basisbedragen!$I$8,MIN(MAX(ROUND(ROUND('Loonschijven_Tranches salariale'!$Q87*0.65,4)*Basisbedragen!$I$2,2),ROUND(Basisbedragen!$D$48*Basisbedragen!$I$2,2)),ROUND(ROUND(Basisbedragen!$D$30*0.65,4)*Basisbedragen!$I$2,2)),MIN(MAX(ROUND(ROUND('Loonschijven_Tranches salariale'!$Q87*0.65,4)*Basisbedragen!$I$7,2),ROUND(Basisbedragen!$D$48*Basisbedragen!$I$7,2)),ROUND(ROUND(Basisbedragen!$D$30*0.65,4)*Basisbedragen!$I$7,2))+Basisbedragen!$I$10)</f>
        <v>89.06</v>
      </c>
      <c r="D87" s="52">
        <f>IF(MIN(MAX(ROUND(ROUND('Loonschijven_Tranches salariale'!$Q87*0.6,4)*Basisbedragen!$I$7,2),ROUND(Basisbedragen!$D$49*Basisbedragen!$I$7,2)),ROUND(ROUND(Basisbedragen!$D$30*0.6,4)*Basisbedragen!$I$7,2))&lt;= Basisbedragen!$I$8,MIN(MAX(ROUND(ROUND('Loonschijven_Tranches salariale'!$Q87*0.6,4)*Basisbedragen!$I$2,2),ROUND(Basisbedragen!$D$49*Basisbedragen!$I$2,2)),ROUND(ROUND(Basisbedragen!$D$30*0.6,4)*Basisbedragen!$I$2,2)),MIN(MAX(ROUND(ROUND('Loonschijven_Tranches salariale'!$Q87*0.6,4)*Basisbedragen!$I$7,2),ROUND(Basisbedragen!$D$49*Basisbedragen!$I$7,2)),ROUND(ROUND(Basisbedragen!$D$30*0.6,4)*Basisbedragen!$I$7,2))+Basisbedragen!$I$10)</f>
        <v>82.330000000000013</v>
      </c>
      <c r="F87" s="448">
        <f t="shared" si="9"/>
        <v>106.87</v>
      </c>
      <c r="H87" s="52">
        <f t="shared" ref="H87:H106" si="16">ROUND(D87*1.2,2)</f>
        <v>98.8</v>
      </c>
      <c r="J87" s="52">
        <f>MIN(MAX(ROUND(ROUND('Loonschijven_Tranches salariale'!$Q87*0.65,4)*Basisbedragen!$I$2,2),ROUND(Basisbedragen!$D$73*Basisbedragen!$I$2,2)),ROUND(ROUND(Basisbedragen!$D$31*0.65,4)*Basisbedragen!$I$2,2))</f>
        <v>76.8</v>
      </c>
      <c r="L87" s="52">
        <f>ROUND(MIN(MAX(ROUND(ROUND('Loonschijven_Tranches salariale'!$Q87*0.65,4)*Basisbedragen!$I$2,2),ROUND(Basisbedragen!$D$48*Basisbedragen!$I$2,2)),ROUND(ROUND(Basisbedragen!$D$30*0.65,4)*Basisbedragen!$I$2,2))/2,2)</f>
        <v>44.64</v>
      </c>
      <c r="N87" s="52">
        <f>ROUND(MIN(MAX(ROUND(ROUND('Loonschijven_Tranches salariale'!$Q87*0.6,4)*Basisbedragen!$I$2,2),ROUND(Basisbedragen!$D$49*Basisbedragen!$I$2,2)),ROUND(ROUND(Basisbedragen!$D$30*0.6,4)*Basisbedragen!$I$2,2))/2,2)</f>
        <v>41.21</v>
      </c>
      <c r="P87" s="52">
        <f t="shared" si="11"/>
        <v>53.57</v>
      </c>
      <c r="R87" s="52">
        <f t="shared" si="12"/>
        <v>49.45</v>
      </c>
      <c r="T87" s="52">
        <f t="shared" ref="T87:T106" si="17">ROUND(J87/2,2)</f>
        <v>38.4</v>
      </c>
    </row>
    <row r="88" spans="1:20" ht="15" thickBot="1">
      <c r="A88" s="47">
        <f t="shared" si="15"/>
        <v>81</v>
      </c>
      <c r="B88" s="52">
        <f>IF(MIN(MAX(ROUND(ROUND('Loonschijven_Tranches salariale'!$Q88*0.65,4)*Basisbedragen!$I$7,2),ROUND(Basisbedragen!$D$48*Basisbedragen!$I$7,2)),ROUND(ROUND(Basisbedragen!$D$30*0.65,4)*Basisbedragen!$I$7,2))&lt;= Basisbedragen!$I$8,MIN(MAX(ROUND(ROUND('Loonschijven_Tranches salariale'!$Q88*0.65,4)*Basisbedragen!$I$2,2),ROUND(Basisbedragen!$D$48*Basisbedragen!$I$2,2)),ROUND(ROUND(Basisbedragen!$D$30*0.65,4)*Basisbedragen!$I$2,2)),MIN(MAX(ROUND(ROUND('Loonschijven_Tranches salariale'!$Q88*0.65,4)*Basisbedragen!$I$7,2),ROUND(Basisbedragen!$D$48*Basisbedragen!$I$7,2)),ROUND(ROUND(Basisbedragen!$D$30*0.65,4)*Basisbedragen!$I$7,2))+Basisbedragen!$I$10)</f>
        <v>89.06</v>
      </c>
      <c r="D88" s="52">
        <f>IF(MIN(MAX(ROUND(ROUND('Loonschijven_Tranches salariale'!$Q88*0.6,4)*Basisbedragen!$I$7,2),ROUND(Basisbedragen!$D$49*Basisbedragen!$I$7,2)),ROUND(ROUND(Basisbedragen!$D$30*0.6,4)*Basisbedragen!$I$7,2))&lt;= Basisbedragen!$I$8,MIN(MAX(ROUND(ROUND('Loonschijven_Tranches salariale'!$Q88*0.6,4)*Basisbedragen!$I$2,2),ROUND(Basisbedragen!$D$49*Basisbedragen!$I$2,2)),ROUND(ROUND(Basisbedragen!$D$30*0.6,4)*Basisbedragen!$I$2,2)),MIN(MAX(ROUND(ROUND('Loonschijven_Tranches salariale'!$Q88*0.6,4)*Basisbedragen!$I$7,2),ROUND(Basisbedragen!$D$49*Basisbedragen!$I$7,2)),ROUND(ROUND(Basisbedragen!$D$30*0.6,4)*Basisbedragen!$I$7,2))+Basisbedragen!$I$10)</f>
        <v>82.330000000000013</v>
      </c>
      <c r="F88" s="448">
        <f t="shared" si="9"/>
        <v>106.87</v>
      </c>
      <c r="H88" s="52">
        <f t="shared" si="16"/>
        <v>98.8</v>
      </c>
      <c r="J88" s="52">
        <f>MIN(MAX(ROUND(ROUND('Loonschijven_Tranches salariale'!$Q88*0.65,4)*Basisbedragen!$I$2,2),ROUND(Basisbedragen!$D$73*Basisbedragen!$I$2,2)),ROUND(ROUND(Basisbedragen!$D$31*0.65,4)*Basisbedragen!$I$2,2))</f>
        <v>76.8</v>
      </c>
      <c r="L88" s="52">
        <f>ROUND(MIN(MAX(ROUND(ROUND('Loonschijven_Tranches salariale'!$Q88*0.65,4)*Basisbedragen!$I$2,2),ROUND(Basisbedragen!$D$48*Basisbedragen!$I$2,2)),ROUND(ROUND(Basisbedragen!$D$30*0.65,4)*Basisbedragen!$I$2,2))/2,2)</f>
        <v>44.64</v>
      </c>
      <c r="N88" s="52">
        <f>ROUND(MIN(MAX(ROUND(ROUND('Loonschijven_Tranches salariale'!$Q88*0.6,4)*Basisbedragen!$I$2,2),ROUND(Basisbedragen!$D$49*Basisbedragen!$I$2,2)),ROUND(ROUND(Basisbedragen!$D$30*0.6,4)*Basisbedragen!$I$2,2))/2,2)</f>
        <v>41.21</v>
      </c>
      <c r="P88" s="52">
        <f t="shared" si="11"/>
        <v>53.57</v>
      </c>
      <c r="R88" s="52">
        <f t="shared" si="12"/>
        <v>49.45</v>
      </c>
      <c r="T88" s="52">
        <f t="shared" si="17"/>
        <v>38.4</v>
      </c>
    </row>
    <row r="89" spans="1:20" ht="15" thickBot="1">
      <c r="A89" s="47">
        <f t="shared" si="15"/>
        <v>82</v>
      </c>
      <c r="B89" s="52">
        <f>IF(MIN(MAX(ROUND(ROUND('Loonschijven_Tranches salariale'!$Q89*0.65,4)*Basisbedragen!$I$7,2),ROUND(Basisbedragen!$D$48*Basisbedragen!$I$7,2)),ROUND(ROUND(Basisbedragen!$D$30*0.65,4)*Basisbedragen!$I$7,2))&lt;= Basisbedragen!$I$8,MIN(MAX(ROUND(ROUND('Loonschijven_Tranches salariale'!$Q89*0.65,4)*Basisbedragen!$I$2,2),ROUND(Basisbedragen!$D$48*Basisbedragen!$I$2,2)),ROUND(ROUND(Basisbedragen!$D$30*0.65,4)*Basisbedragen!$I$2,2)),MIN(MAX(ROUND(ROUND('Loonschijven_Tranches salariale'!$Q89*0.65,4)*Basisbedragen!$I$7,2),ROUND(Basisbedragen!$D$48*Basisbedragen!$I$7,2)),ROUND(ROUND(Basisbedragen!$D$30*0.65,4)*Basisbedragen!$I$7,2))+Basisbedragen!$I$10)</f>
        <v>89.06</v>
      </c>
      <c r="D89" s="52">
        <f>IF(MIN(MAX(ROUND(ROUND('Loonschijven_Tranches salariale'!$Q89*0.6,4)*Basisbedragen!$I$7,2),ROUND(Basisbedragen!$D$49*Basisbedragen!$I$7,2)),ROUND(ROUND(Basisbedragen!$D$30*0.6,4)*Basisbedragen!$I$7,2))&lt;= Basisbedragen!$I$8,MIN(MAX(ROUND(ROUND('Loonschijven_Tranches salariale'!$Q89*0.6,4)*Basisbedragen!$I$2,2),ROUND(Basisbedragen!$D$49*Basisbedragen!$I$2,2)),ROUND(ROUND(Basisbedragen!$D$30*0.6,4)*Basisbedragen!$I$2,2)),MIN(MAX(ROUND(ROUND('Loonschijven_Tranches salariale'!$Q89*0.6,4)*Basisbedragen!$I$7,2),ROUND(Basisbedragen!$D$49*Basisbedragen!$I$7,2)),ROUND(ROUND(Basisbedragen!$D$30*0.6,4)*Basisbedragen!$I$7,2))+Basisbedragen!$I$10)</f>
        <v>82.330000000000013</v>
      </c>
      <c r="F89" s="448">
        <f t="shared" si="9"/>
        <v>106.87</v>
      </c>
      <c r="H89" s="52">
        <f t="shared" si="16"/>
        <v>98.8</v>
      </c>
      <c r="J89" s="52">
        <f>MIN(MAX(ROUND(ROUND('Loonschijven_Tranches salariale'!$Q89*0.65,4)*Basisbedragen!$I$2,2),ROUND(Basisbedragen!$D$73*Basisbedragen!$I$2,2)),ROUND(ROUND(Basisbedragen!$D$31*0.65,4)*Basisbedragen!$I$2,2))</f>
        <v>76.8</v>
      </c>
      <c r="L89" s="52">
        <f>ROUND(MIN(MAX(ROUND(ROUND('Loonschijven_Tranches salariale'!$Q89*0.65,4)*Basisbedragen!$I$2,2),ROUND(Basisbedragen!$D$48*Basisbedragen!$I$2,2)),ROUND(ROUND(Basisbedragen!$D$30*0.65,4)*Basisbedragen!$I$2,2))/2,2)</f>
        <v>44.64</v>
      </c>
      <c r="N89" s="52">
        <f>ROUND(MIN(MAX(ROUND(ROUND('Loonschijven_Tranches salariale'!$Q89*0.6,4)*Basisbedragen!$I$2,2),ROUND(Basisbedragen!$D$49*Basisbedragen!$I$2,2)),ROUND(ROUND(Basisbedragen!$D$30*0.6,4)*Basisbedragen!$I$2,2))/2,2)</f>
        <v>41.21</v>
      </c>
      <c r="P89" s="52">
        <f t="shared" si="11"/>
        <v>53.57</v>
      </c>
      <c r="R89" s="52">
        <f t="shared" si="12"/>
        <v>49.45</v>
      </c>
      <c r="T89" s="52">
        <f t="shared" si="17"/>
        <v>38.4</v>
      </c>
    </row>
    <row r="90" spans="1:20" ht="15" thickBot="1">
      <c r="A90" s="47">
        <f t="shared" si="15"/>
        <v>83</v>
      </c>
      <c r="B90" s="52">
        <f>IF(MIN(MAX(ROUND(ROUND('Loonschijven_Tranches salariale'!$Q90*0.65,4)*Basisbedragen!$I$7,2),ROUND(Basisbedragen!$D$48*Basisbedragen!$I$7,2)),ROUND(ROUND(Basisbedragen!$D$30*0.65,4)*Basisbedragen!$I$7,2))&lt;= Basisbedragen!$I$8,MIN(MAX(ROUND(ROUND('Loonschijven_Tranches salariale'!$Q90*0.65,4)*Basisbedragen!$I$2,2),ROUND(Basisbedragen!$D$48*Basisbedragen!$I$2,2)),ROUND(ROUND(Basisbedragen!$D$30*0.65,4)*Basisbedragen!$I$2,2)),MIN(MAX(ROUND(ROUND('Loonschijven_Tranches salariale'!$Q90*0.65,4)*Basisbedragen!$I$7,2),ROUND(Basisbedragen!$D$48*Basisbedragen!$I$7,2)),ROUND(ROUND(Basisbedragen!$D$30*0.65,4)*Basisbedragen!$I$7,2))+Basisbedragen!$I$10)</f>
        <v>89.06</v>
      </c>
      <c r="D90" s="52">
        <f>IF(MIN(MAX(ROUND(ROUND('Loonschijven_Tranches salariale'!$Q90*0.6,4)*Basisbedragen!$I$7,2),ROUND(Basisbedragen!$D$49*Basisbedragen!$I$7,2)),ROUND(ROUND(Basisbedragen!$D$30*0.6,4)*Basisbedragen!$I$7,2))&lt;= Basisbedragen!$I$8,MIN(MAX(ROUND(ROUND('Loonschijven_Tranches salariale'!$Q90*0.6,4)*Basisbedragen!$I$2,2),ROUND(Basisbedragen!$D$49*Basisbedragen!$I$2,2)),ROUND(ROUND(Basisbedragen!$D$30*0.6,4)*Basisbedragen!$I$2,2)),MIN(MAX(ROUND(ROUND('Loonschijven_Tranches salariale'!$Q90*0.6,4)*Basisbedragen!$I$7,2),ROUND(Basisbedragen!$D$49*Basisbedragen!$I$7,2)),ROUND(ROUND(Basisbedragen!$D$30*0.6,4)*Basisbedragen!$I$7,2))+Basisbedragen!$I$10)</f>
        <v>82.330000000000013</v>
      </c>
      <c r="F90" s="448">
        <f t="shared" si="9"/>
        <v>106.87</v>
      </c>
      <c r="H90" s="52">
        <f t="shared" si="16"/>
        <v>98.8</v>
      </c>
      <c r="J90" s="52">
        <f>MIN(MAX(ROUND(ROUND('Loonschijven_Tranches salariale'!$Q90*0.65,4)*Basisbedragen!$I$2,2),ROUND(Basisbedragen!$D$73*Basisbedragen!$I$2,2)),ROUND(ROUND(Basisbedragen!$D$31*0.65,4)*Basisbedragen!$I$2,2))</f>
        <v>76.8</v>
      </c>
      <c r="L90" s="52">
        <f>ROUND(MIN(MAX(ROUND(ROUND('Loonschijven_Tranches salariale'!$Q90*0.65,4)*Basisbedragen!$I$2,2),ROUND(Basisbedragen!$D$48*Basisbedragen!$I$2,2)),ROUND(ROUND(Basisbedragen!$D$30*0.65,4)*Basisbedragen!$I$2,2))/2,2)</f>
        <v>44.64</v>
      </c>
      <c r="N90" s="52">
        <f>ROUND(MIN(MAX(ROUND(ROUND('Loonschijven_Tranches salariale'!$Q90*0.6,4)*Basisbedragen!$I$2,2),ROUND(Basisbedragen!$D$49*Basisbedragen!$I$2,2)),ROUND(ROUND(Basisbedragen!$D$30*0.6,4)*Basisbedragen!$I$2,2))/2,2)</f>
        <v>41.21</v>
      </c>
      <c r="P90" s="52">
        <f t="shared" si="11"/>
        <v>53.57</v>
      </c>
      <c r="R90" s="52">
        <f t="shared" si="12"/>
        <v>49.45</v>
      </c>
      <c r="T90" s="52">
        <f t="shared" si="17"/>
        <v>38.4</v>
      </c>
    </row>
    <row r="91" spans="1:20" ht="15" thickBot="1">
      <c r="A91" s="47">
        <f t="shared" si="15"/>
        <v>84</v>
      </c>
      <c r="B91" s="52">
        <f>IF(MIN(MAX(ROUND(ROUND('Loonschijven_Tranches salariale'!$Q91*0.65,4)*Basisbedragen!$I$7,2),ROUND(Basisbedragen!$D$48*Basisbedragen!$I$7,2)),ROUND(ROUND(Basisbedragen!$D$30*0.65,4)*Basisbedragen!$I$7,2))&lt;= Basisbedragen!$I$8,MIN(MAX(ROUND(ROUND('Loonschijven_Tranches salariale'!$Q91*0.65,4)*Basisbedragen!$I$2,2),ROUND(Basisbedragen!$D$48*Basisbedragen!$I$2,2)),ROUND(ROUND(Basisbedragen!$D$30*0.65,4)*Basisbedragen!$I$2,2)),MIN(MAX(ROUND(ROUND('Loonschijven_Tranches salariale'!$Q91*0.65,4)*Basisbedragen!$I$7,2),ROUND(Basisbedragen!$D$48*Basisbedragen!$I$7,2)),ROUND(ROUND(Basisbedragen!$D$30*0.65,4)*Basisbedragen!$I$7,2))+Basisbedragen!$I$10)</f>
        <v>89.06</v>
      </c>
      <c r="D91" s="52">
        <f>IF(MIN(MAX(ROUND(ROUND('Loonschijven_Tranches salariale'!$Q91*0.6,4)*Basisbedragen!$I$7,2),ROUND(Basisbedragen!$D$49*Basisbedragen!$I$7,2)),ROUND(ROUND(Basisbedragen!$D$30*0.6,4)*Basisbedragen!$I$7,2))&lt;= Basisbedragen!$I$8,MIN(MAX(ROUND(ROUND('Loonschijven_Tranches salariale'!$Q91*0.6,4)*Basisbedragen!$I$2,2),ROUND(Basisbedragen!$D$49*Basisbedragen!$I$2,2)),ROUND(ROUND(Basisbedragen!$D$30*0.6,4)*Basisbedragen!$I$2,2)),MIN(MAX(ROUND(ROUND('Loonschijven_Tranches salariale'!$Q91*0.6,4)*Basisbedragen!$I$7,2),ROUND(Basisbedragen!$D$49*Basisbedragen!$I$7,2)),ROUND(ROUND(Basisbedragen!$D$30*0.6,4)*Basisbedragen!$I$7,2))+Basisbedragen!$I$10)</f>
        <v>82.330000000000013</v>
      </c>
      <c r="F91" s="448">
        <f t="shared" si="9"/>
        <v>106.87</v>
      </c>
      <c r="H91" s="52">
        <f t="shared" si="16"/>
        <v>98.8</v>
      </c>
      <c r="J91" s="52">
        <f>MIN(MAX(ROUND(ROUND('Loonschijven_Tranches salariale'!$Q91*0.65,4)*Basisbedragen!$I$2,2),ROUND(Basisbedragen!$D$73*Basisbedragen!$I$2,2)),ROUND(ROUND(Basisbedragen!$D$31*0.65,4)*Basisbedragen!$I$2,2))</f>
        <v>76.8</v>
      </c>
      <c r="L91" s="52">
        <f>ROUND(MIN(MAX(ROUND(ROUND('Loonschijven_Tranches salariale'!$Q91*0.65,4)*Basisbedragen!$I$2,2),ROUND(Basisbedragen!$D$48*Basisbedragen!$I$2,2)),ROUND(ROUND(Basisbedragen!$D$30*0.65,4)*Basisbedragen!$I$2,2))/2,2)</f>
        <v>44.64</v>
      </c>
      <c r="N91" s="52">
        <f>ROUND(MIN(MAX(ROUND(ROUND('Loonschijven_Tranches salariale'!$Q91*0.6,4)*Basisbedragen!$I$2,2),ROUND(Basisbedragen!$D$49*Basisbedragen!$I$2,2)),ROUND(ROUND(Basisbedragen!$D$30*0.6,4)*Basisbedragen!$I$2,2))/2,2)</f>
        <v>41.21</v>
      </c>
      <c r="P91" s="52">
        <f t="shared" si="11"/>
        <v>53.57</v>
      </c>
      <c r="R91" s="52">
        <f t="shared" si="12"/>
        <v>49.45</v>
      </c>
      <c r="T91" s="52">
        <f t="shared" si="17"/>
        <v>38.4</v>
      </c>
    </row>
    <row r="92" spans="1:20" ht="15" thickBot="1">
      <c r="A92" s="47">
        <f t="shared" si="15"/>
        <v>85</v>
      </c>
      <c r="B92" s="52">
        <f>IF(MIN(MAX(ROUND(ROUND('Loonschijven_Tranches salariale'!$Q92*0.65,4)*Basisbedragen!$I$7,2),ROUND(Basisbedragen!$D$48*Basisbedragen!$I$7,2)),ROUND(ROUND(Basisbedragen!$D$30*0.65,4)*Basisbedragen!$I$7,2))&lt;= Basisbedragen!$I$8,MIN(MAX(ROUND(ROUND('Loonschijven_Tranches salariale'!$Q92*0.65,4)*Basisbedragen!$I$2,2),ROUND(Basisbedragen!$D$48*Basisbedragen!$I$2,2)),ROUND(ROUND(Basisbedragen!$D$30*0.65,4)*Basisbedragen!$I$2,2)),MIN(MAX(ROUND(ROUND('Loonschijven_Tranches salariale'!$Q92*0.65,4)*Basisbedragen!$I$7,2),ROUND(Basisbedragen!$D$48*Basisbedragen!$I$7,2)),ROUND(ROUND(Basisbedragen!$D$30*0.65,4)*Basisbedragen!$I$7,2))+Basisbedragen!$I$10)</f>
        <v>89.06</v>
      </c>
      <c r="D92" s="52">
        <f>IF(MIN(MAX(ROUND(ROUND('Loonschijven_Tranches salariale'!$Q92*0.6,4)*Basisbedragen!$I$7,2),ROUND(Basisbedragen!$D$49*Basisbedragen!$I$7,2)),ROUND(ROUND(Basisbedragen!$D$30*0.6,4)*Basisbedragen!$I$7,2))&lt;= Basisbedragen!$I$8,MIN(MAX(ROUND(ROUND('Loonschijven_Tranches salariale'!$Q92*0.6,4)*Basisbedragen!$I$2,2),ROUND(Basisbedragen!$D$49*Basisbedragen!$I$2,2)),ROUND(ROUND(Basisbedragen!$D$30*0.6,4)*Basisbedragen!$I$2,2)),MIN(MAX(ROUND(ROUND('Loonschijven_Tranches salariale'!$Q92*0.6,4)*Basisbedragen!$I$7,2),ROUND(Basisbedragen!$D$49*Basisbedragen!$I$7,2)),ROUND(ROUND(Basisbedragen!$D$30*0.6,4)*Basisbedragen!$I$7,2))+Basisbedragen!$I$10)</f>
        <v>82.330000000000013</v>
      </c>
      <c r="F92" s="448">
        <f t="shared" si="9"/>
        <v>106.87</v>
      </c>
      <c r="H92" s="52">
        <f t="shared" si="16"/>
        <v>98.8</v>
      </c>
      <c r="J92" s="52">
        <f>MIN(MAX(ROUND(ROUND('Loonschijven_Tranches salariale'!$Q92*0.65,4)*Basisbedragen!$I$2,2),ROUND(Basisbedragen!$D$73*Basisbedragen!$I$2,2)),ROUND(ROUND(Basisbedragen!$D$31*0.65,4)*Basisbedragen!$I$2,2))</f>
        <v>76.8</v>
      </c>
      <c r="L92" s="52">
        <f>ROUND(MIN(MAX(ROUND(ROUND('Loonschijven_Tranches salariale'!$Q92*0.65,4)*Basisbedragen!$I$2,2),ROUND(Basisbedragen!$D$48*Basisbedragen!$I$2,2)),ROUND(ROUND(Basisbedragen!$D$30*0.65,4)*Basisbedragen!$I$2,2))/2,2)</f>
        <v>44.64</v>
      </c>
      <c r="N92" s="52">
        <f>ROUND(MIN(MAX(ROUND(ROUND('Loonschijven_Tranches salariale'!$Q92*0.6,4)*Basisbedragen!$I$2,2),ROUND(Basisbedragen!$D$49*Basisbedragen!$I$2,2)),ROUND(ROUND(Basisbedragen!$D$30*0.6,4)*Basisbedragen!$I$2,2))/2,2)</f>
        <v>41.21</v>
      </c>
      <c r="P92" s="52">
        <f t="shared" si="11"/>
        <v>53.57</v>
      </c>
      <c r="R92" s="52">
        <f t="shared" si="12"/>
        <v>49.45</v>
      </c>
      <c r="T92" s="52">
        <f t="shared" si="17"/>
        <v>38.4</v>
      </c>
    </row>
    <row r="93" spans="1:20" ht="15" thickBot="1">
      <c r="A93" s="47">
        <f t="shared" si="15"/>
        <v>86</v>
      </c>
      <c r="B93" s="52">
        <f>IF(MIN(MAX(ROUND(ROUND('Loonschijven_Tranches salariale'!$Q93*0.65,4)*Basisbedragen!$I$7,2),ROUND(Basisbedragen!$D$48*Basisbedragen!$I$7,2)),ROUND(ROUND(Basisbedragen!$D$30*0.65,4)*Basisbedragen!$I$7,2))&lt;= Basisbedragen!$I$8,MIN(MAX(ROUND(ROUND('Loonschijven_Tranches salariale'!$Q93*0.65,4)*Basisbedragen!$I$2,2),ROUND(Basisbedragen!$D$48*Basisbedragen!$I$2,2)),ROUND(ROUND(Basisbedragen!$D$30*0.65,4)*Basisbedragen!$I$2,2)),MIN(MAX(ROUND(ROUND('Loonschijven_Tranches salariale'!$Q93*0.65,4)*Basisbedragen!$I$7,2),ROUND(Basisbedragen!$D$48*Basisbedragen!$I$7,2)),ROUND(ROUND(Basisbedragen!$D$30*0.65,4)*Basisbedragen!$I$7,2))+Basisbedragen!$I$10)</f>
        <v>89.06</v>
      </c>
      <c r="D93" s="52">
        <f>IF(MIN(MAX(ROUND(ROUND('Loonschijven_Tranches salariale'!$Q93*0.6,4)*Basisbedragen!$I$7,2),ROUND(Basisbedragen!$D$49*Basisbedragen!$I$7,2)),ROUND(ROUND(Basisbedragen!$D$30*0.6,4)*Basisbedragen!$I$7,2))&lt;= Basisbedragen!$I$8,MIN(MAX(ROUND(ROUND('Loonschijven_Tranches salariale'!$Q93*0.6,4)*Basisbedragen!$I$2,2),ROUND(Basisbedragen!$D$49*Basisbedragen!$I$2,2)),ROUND(ROUND(Basisbedragen!$D$30*0.6,4)*Basisbedragen!$I$2,2)),MIN(MAX(ROUND(ROUND('Loonschijven_Tranches salariale'!$Q93*0.6,4)*Basisbedragen!$I$7,2),ROUND(Basisbedragen!$D$49*Basisbedragen!$I$7,2)),ROUND(ROUND(Basisbedragen!$D$30*0.6,4)*Basisbedragen!$I$7,2))+Basisbedragen!$I$10)</f>
        <v>82.330000000000013</v>
      </c>
      <c r="F93" s="448">
        <f t="shared" si="9"/>
        <v>106.87</v>
      </c>
      <c r="H93" s="52">
        <f t="shared" si="16"/>
        <v>98.8</v>
      </c>
      <c r="J93" s="52">
        <f>MIN(MAX(ROUND(ROUND('Loonschijven_Tranches salariale'!$Q93*0.65,4)*Basisbedragen!$I$2,2),ROUND(Basisbedragen!$D$73*Basisbedragen!$I$2,2)),ROUND(ROUND(Basisbedragen!$D$31*0.65,4)*Basisbedragen!$I$2,2))</f>
        <v>76.8</v>
      </c>
      <c r="L93" s="52">
        <f>ROUND(MIN(MAX(ROUND(ROUND('Loonschijven_Tranches salariale'!$Q93*0.65,4)*Basisbedragen!$I$2,2),ROUND(Basisbedragen!$D$48*Basisbedragen!$I$2,2)),ROUND(ROUND(Basisbedragen!$D$30*0.65,4)*Basisbedragen!$I$2,2))/2,2)</f>
        <v>44.64</v>
      </c>
      <c r="N93" s="52">
        <f>ROUND(MIN(MAX(ROUND(ROUND('Loonschijven_Tranches salariale'!$Q93*0.6,4)*Basisbedragen!$I$2,2),ROUND(Basisbedragen!$D$49*Basisbedragen!$I$2,2)),ROUND(ROUND(Basisbedragen!$D$30*0.6,4)*Basisbedragen!$I$2,2))/2,2)</f>
        <v>41.21</v>
      </c>
      <c r="P93" s="52">
        <f t="shared" si="11"/>
        <v>53.57</v>
      </c>
      <c r="R93" s="52">
        <f t="shared" si="12"/>
        <v>49.45</v>
      </c>
      <c r="T93" s="52">
        <f t="shared" si="17"/>
        <v>38.4</v>
      </c>
    </row>
    <row r="94" spans="1:20" ht="15" thickBot="1">
      <c r="A94" s="47">
        <f t="shared" si="15"/>
        <v>87</v>
      </c>
      <c r="B94" s="52">
        <f>IF(MIN(MAX(ROUND(ROUND('Loonschijven_Tranches salariale'!$Q94*0.65,4)*Basisbedragen!$I$7,2),ROUND(Basisbedragen!$D$48*Basisbedragen!$I$7,2)),ROUND(ROUND(Basisbedragen!$D$30*0.65,4)*Basisbedragen!$I$7,2))&lt;= Basisbedragen!$I$8,MIN(MAX(ROUND(ROUND('Loonschijven_Tranches salariale'!$Q94*0.65,4)*Basisbedragen!$I$2,2),ROUND(Basisbedragen!$D$48*Basisbedragen!$I$2,2)),ROUND(ROUND(Basisbedragen!$D$30*0.65,4)*Basisbedragen!$I$2,2)),MIN(MAX(ROUND(ROUND('Loonschijven_Tranches salariale'!$Q94*0.65,4)*Basisbedragen!$I$7,2),ROUND(Basisbedragen!$D$48*Basisbedragen!$I$7,2)),ROUND(ROUND(Basisbedragen!$D$30*0.65,4)*Basisbedragen!$I$7,2))+Basisbedragen!$I$10)</f>
        <v>89.06</v>
      </c>
      <c r="D94" s="52">
        <f>IF(MIN(MAX(ROUND(ROUND('Loonschijven_Tranches salariale'!$Q94*0.6,4)*Basisbedragen!$I$7,2),ROUND(Basisbedragen!$D$49*Basisbedragen!$I$7,2)),ROUND(ROUND(Basisbedragen!$D$30*0.6,4)*Basisbedragen!$I$7,2))&lt;= Basisbedragen!$I$8,MIN(MAX(ROUND(ROUND('Loonschijven_Tranches salariale'!$Q94*0.6,4)*Basisbedragen!$I$2,2),ROUND(Basisbedragen!$D$49*Basisbedragen!$I$2,2)),ROUND(ROUND(Basisbedragen!$D$30*0.6,4)*Basisbedragen!$I$2,2)),MIN(MAX(ROUND(ROUND('Loonschijven_Tranches salariale'!$Q94*0.6,4)*Basisbedragen!$I$7,2),ROUND(Basisbedragen!$D$49*Basisbedragen!$I$7,2)),ROUND(ROUND(Basisbedragen!$D$30*0.6,4)*Basisbedragen!$I$7,2))+Basisbedragen!$I$10)</f>
        <v>82.330000000000013</v>
      </c>
      <c r="F94" s="448">
        <f t="shared" si="9"/>
        <v>106.87</v>
      </c>
      <c r="H94" s="52">
        <f t="shared" si="16"/>
        <v>98.8</v>
      </c>
      <c r="J94" s="52">
        <f>MIN(MAX(ROUND(ROUND('Loonschijven_Tranches salariale'!$Q94*0.65,4)*Basisbedragen!$I$2,2),ROUND(Basisbedragen!$D$73*Basisbedragen!$I$2,2)),ROUND(ROUND(Basisbedragen!$D$31*0.65,4)*Basisbedragen!$I$2,2))</f>
        <v>76.8</v>
      </c>
      <c r="L94" s="52">
        <f>ROUND(MIN(MAX(ROUND(ROUND('Loonschijven_Tranches salariale'!$Q94*0.65,4)*Basisbedragen!$I$2,2),ROUND(Basisbedragen!$D$48*Basisbedragen!$I$2,2)),ROUND(ROUND(Basisbedragen!$D$30*0.65,4)*Basisbedragen!$I$2,2))/2,2)</f>
        <v>44.64</v>
      </c>
      <c r="N94" s="52">
        <f>ROUND(MIN(MAX(ROUND(ROUND('Loonschijven_Tranches salariale'!$Q94*0.6,4)*Basisbedragen!$I$2,2),ROUND(Basisbedragen!$D$49*Basisbedragen!$I$2,2)),ROUND(ROUND(Basisbedragen!$D$30*0.6,4)*Basisbedragen!$I$2,2))/2,2)</f>
        <v>41.21</v>
      </c>
      <c r="P94" s="52">
        <f t="shared" si="11"/>
        <v>53.57</v>
      </c>
      <c r="R94" s="52">
        <f t="shared" si="12"/>
        <v>49.45</v>
      </c>
      <c r="T94" s="52">
        <f t="shared" si="17"/>
        <v>38.4</v>
      </c>
    </row>
    <row r="95" spans="1:20" ht="15" thickBot="1">
      <c r="A95" s="47">
        <f t="shared" si="15"/>
        <v>88</v>
      </c>
      <c r="B95" s="52">
        <f>IF(MIN(MAX(ROUND(ROUND('Loonschijven_Tranches salariale'!$Q95*0.65,4)*Basisbedragen!$I$7,2),ROUND(Basisbedragen!$D$48*Basisbedragen!$I$7,2)),ROUND(ROUND(Basisbedragen!$D$30*0.65,4)*Basisbedragen!$I$7,2))&lt;= Basisbedragen!$I$8,MIN(MAX(ROUND(ROUND('Loonschijven_Tranches salariale'!$Q95*0.65,4)*Basisbedragen!$I$2,2),ROUND(Basisbedragen!$D$48*Basisbedragen!$I$2,2)),ROUND(ROUND(Basisbedragen!$D$30*0.65,4)*Basisbedragen!$I$2,2)),MIN(MAX(ROUND(ROUND('Loonschijven_Tranches salariale'!$Q95*0.65,4)*Basisbedragen!$I$7,2),ROUND(Basisbedragen!$D$48*Basisbedragen!$I$7,2)),ROUND(ROUND(Basisbedragen!$D$30*0.65,4)*Basisbedragen!$I$7,2))+Basisbedragen!$I$10)</f>
        <v>89.06</v>
      </c>
      <c r="D95" s="52">
        <f>IF(MIN(MAX(ROUND(ROUND('Loonschijven_Tranches salariale'!$Q95*0.6,4)*Basisbedragen!$I$7,2),ROUND(Basisbedragen!$D$49*Basisbedragen!$I$7,2)),ROUND(ROUND(Basisbedragen!$D$30*0.6,4)*Basisbedragen!$I$7,2))&lt;= Basisbedragen!$I$8,MIN(MAX(ROUND(ROUND('Loonschijven_Tranches salariale'!$Q95*0.6,4)*Basisbedragen!$I$2,2),ROUND(Basisbedragen!$D$49*Basisbedragen!$I$2,2)),ROUND(ROUND(Basisbedragen!$D$30*0.6,4)*Basisbedragen!$I$2,2)),MIN(MAX(ROUND(ROUND('Loonschijven_Tranches salariale'!$Q95*0.6,4)*Basisbedragen!$I$7,2),ROUND(Basisbedragen!$D$49*Basisbedragen!$I$7,2)),ROUND(ROUND(Basisbedragen!$D$30*0.6,4)*Basisbedragen!$I$7,2))+Basisbedragen!$I$10)</f>
        <v>82.330000000000013</v>
      </c>
      <c r="F95" s="448">
        <f t="shared" si="9"/>
        <v>106.87</v>
      </c>
      <c r="H95" s="52">
        <f t="shared" si="16"/>
        <v>98.8</v>
      </c>
      <c r="J95" s="52">
        <f>MIN(MAX(ROUND(ROUND('Loonschijven_Tranches salariale'!$Q95*0.65,4)*Basisbedragen!$I$2,2),ROUND(Basisbedragen!$D$73*Basisbedragen!$I$2,2)),ROUND(ROUND(Basisbedragen!$D$31*0.65,4)*Basisbedragen!$I$2,2))</f>
        <v>76.8</v>
      </c>
      <c r="L95" s="52">
        <f>ROUND(MIN(MAX(ROUND(ROUND('Loonschijven_Tranches salariale'!$Q95*0.65,4)*Basisbedragen!$I$2,2),ROUND(Basisbedragen!$D$48*Basisbedragen!$I$2,2)),ROUND(ROUND(Basisbedragen!$D$30*0.65,4)*Basisbedragen!$I$2,2))/2,2)</f>
        <v>44.64</v>
      </c>
      <c r="N95" s="52">
        <f>ROUND(MIN(MAX(ROUND(ROUND('Loonschijven_Tranches salariale'!$Q95*0.6,4)*Basisbedragen!$I$2,2),ROUND(Basisbedragen!$D$49*Basisbedragen!$I$2,2)),ROUND(ROUND(Basisbedragen!$D$30*0.6,4)*Basisbedragen!$I$2,2))/2,2)</f>
        <v>41.21</v>
      </c>
      <c r="P95" s="52">
        <f t="shared" si="11"/>
        <v>53.57</v>
      </c>
      <c r="R95" s="52">
        <f t="shared" si="12"/>
        <v>49.45</v>
      </c>
      <c r="T95" s="52">
        <f t="shared" si="17"/>
        <v>38.4</v>
      </c>
    </row>
    <row r="96" spans="1:20" ht="15" thickBot="1">
      <c r="A96" s="47">
        <f t="shared" si="15"/>
        <v>89</v>
      </c>
      <c r="B96" s="52">
        <f>IF(MIN(MAX(ROUND(ROUND('Loonschijven_Tranches salariale'!$Q96*0.65,4)*Basisbedragen!$I$7,2),ROUND(Basisbedragen!$D$48*Basisbedragen!$I$7,2)),ROUND(ROUND(Basisbedragen!$D$30*0.65,4)*Basisbedragen!$I$7,2))&lt;= Basisbedragen!$I$8,MIN(MAX(ROUND(ROUND('Loonschijven_Tranches salariale'!$Q96*0.65,4)*Basisbedragen!$I$2,2),ROUND(Basisbedragen!$D$48*Basisbedragen!$I$2,2)),ROUND(ROUND(Basisbedragen!$D$30*0.65,4)*Basisbedragen!$I$2,2)),MIN(MAX(ROUND(ROUND('Loonschijven_Tranches salariale'!$Q96*0.65,4)*Basisbedragen!$I$7,2),ROUND(Basisbedragen!$D$48*Basisbedragen!$I$7,2)),ROUND(ROUND(Basisbedragen!$D$30*0.65,4)*Basisbedragen!$I$7,2))+Basisbedragen!$I$10)</f>
        <v>89.06</v>
      </c>
      <c r="D96" s="52">
        <f>IF(MIN(MAX(ROUND(ROUND('Loonschijven_Tranches salariale'!$Q96*0.6,4)*Basisbedragen!$I$7,2),ROUND(Basisbedragen!$D$49*Basisbedragen!$I$7,2)),ROUND(ROUND(Basisbedragen!$D$30*0.6,4)*Basisbedragen!$I$7,2))&lt;= Basisbedragen!$I$8,MIN(MAX(ROUND(ROUND('Loonschijven_Tranches salariale'!$Q96*0.6,4)*Basisbedragen!$I$2,2),ROUND(Basisbedragen!$D$49*Basisbedragen!$I$2,2)),ROUND(ROUND(Basisbedragen!$D$30*0.6,4)*Basisbedragen!$I$2,2)),MIN(MAX(ROUND(ROUND('Loonschijven_Tranches salariale'!$Q96*0.6,4)*Basisbedragen!$I$7,2),ROUND(Basisbedragen!$D$49*Basisbedragen!$I$7,2)),ROUND(ROUND(Basisbedragen!$D$30*0.6,4)*Basisbedragen!$I$7,2))+Basisbedragen!$I$10)</f>
        <v>82.330000000000013</v>
      </c>
      <c r="F96" s="448">
        <f t="shared" si="9"/>
        <v>106.87</v>
      </c>
      <c r="H96" s="52">
        <f t="shared" si="16"/>
        <v>98.8</v>
      </c>
      <c r="J96" s="52">
        <f>MIN(MAX(ROUND(ROUND('Loonschijven_Tranches salariale'!$Q96*0.65,4)*Basisbedragen!$I$2,2),ROUND(Basisbedragen!$D$73*Basisbedragen!$I$2,2)),ROUND(ROUND(Basisbedragen!$D$31*0.65,4)*Basisbedragen!$I$2,2))</f>
        <v>76.8</v>
      </c>
      <c r="L96" s="52">
        <f>ROUND(MIN(MAX(ROUND(ROUND('Loonschijven_Tranches salariale'!$Q96*0.65,4)*Basisbedragen!$I$2,2),ROUND(Basisbedragen!$D$48*Basisbedragen!$I$2,2)),ROUND(ROUND(Basisbedragen!$D$30*0.65,4)*Basisbedragen!$I$2,2))/2,2)</f>
        <v>44.64</v>
      </c>
      <c r="N96" s="52">
        <f>ROUND(MIN(MAX(ROUND(ROUND('Loonschijven_Tranches salariale'!$Q96*0.6,4)*Basisbedragen!$I$2,2),ROUND(Basisbedragen!$D$49*Basisbedragen!$I$2,2)),ROUND(ROUND(Basisbedragen!$D$30*0.6,4)*Basisbedragen!$I$2,2))/2,2)</f>
        <v>41.21</v>
      </c>
      <c r="P96" s="52">
        <f t="shared" si="11"/>
        <v>53.57</v>
      </c>
      <c r="R96" s="52">
        <f t="shared" si="12"/>
        <v>49.45</v>
      </c>
      <c r="T96" s="52">
        <f t="shared" si="17"/>
        <v>38.4</v>
      </c>
    </row>
    <row r="97" spans="1:20" ht="15" thickBot="1">
      <c r="A97" s="47">
        <f t="shared" si="15"/>
        <v>90</v>
      </c>
      <c r="B97" s="52">
        <f>IF(MIN(MAX(ROUND(ROUND('Loonschijven_Tranches salariale'!$Q97*0.65,4)*Basisbedragen!$I$7,2),ROUND(Basisbedragen!$D$48*Basisbedragen!$I$7,2)),ROUND(ROUND(Basisbedragen!$D$30*0.65,4)*Basisbedragen!$I$7,2))&lt;= Basisbedragen!$I$8,MIN(MAX(ROUND(ROUND('Loonschijven_Tranches salariale'!$Q97*0.65,4)*Basisbedragen!$I$2,2),ROUND(Basisbedragen!$D$48*Basisbedragen!$I$2,2)),ROUND(ROUND(Basisbedragen!$D$30*0.65,4)*Basisbedragen!$I$2,2)),MIN(MAX(ROUND(ROUND('Loonschijven_Tranches salariale'!$Q97*0.65,4)*Basisbedragen!$I$7,2),ROUND(Basisbedragen!$D$48*Basisbedragen!$I$7,2)),ROUND(ROUND(Basisbedragen!$D$30*0.65,4)*Basisbedragen!$I$7,2))+Basisbedragen!$I$10)</f>
        <v>89.06</v>
      </c>
      <c r="D97" s="52">
        <f>IF(MIN(MAX(ROUND(ROUND('Loonschijven_Tranches salariale'!$Q97*0.6,4)*Basisbedragen!$I$7,2),ROUND(Basisbedragen!$D$49*Basisbedragen!$I$7,2)),ROUND(ROUND(Basisbedragen!$D$30*0.6,4)*Basisbedragen!$I$7,2))&lt;= Basisbedragen!$I$8,MIN(MAX(ROUND(ROUND('Loonschijven_Tranches salariale'!$Q97*0.6,4)*Basisbedragen!$I$2,2),ROUND(Basisbedragen!$D$49*Basisbedragen!$I$2,2)),ROUND(ROUND(Basisbedragen!$D$30*0.6,4)*Basisbedragen!$I$2,2)),MIN(MAX(ROUND(ROUND('Loonschijven_Tranches salariale'!$Q97*0.6,4)*Basisbedragen!$I$7,2),ROUND(Basisbedragen!$D$49*Basisbedragen!$I$7,2)),ROUND(ROUND(Basisbedragen!$D$30*0.6,4)*Basisbedragen!$I$7,2))+Basisbedragen!$I$10)</f>
        <v>82.330000000000013</v>
      </c>
      <c r="F97" s="448">
        <f t="shared" si="9"/>
        <v>106.87</v>
      </c>
      <c r="H97" s="52">
        <f t="shared" si="16"/>
        <v>98.8</v>
      </c>
      <c r="J97" s="52">
        <f>MIN(MAX(ROUND(ROUND('Loonschijven_Tranches salariale'!$Q97*0.65,4)*Basisbedragen!$I$2,2),ROUND(Basisbedragen!$D$73*Basisbedragen!$I$2,2)),ROUND(ROUND(Basisbedragen!$D$31*0.65,4)*Basisbedragen!$I$2,2))</f>
        <v>76.8</v>
      </c>
      <c r="L97" s="52">
        <f>ROUND(MIN(MAX(ROUND(ROUND('Loonschijven_Tranches salariale'!$Q97*0.65,4)*Basisbedragen!$I$2,2),ROUND(Basisbedragen!$D$48*Basisbedragen!$I$2,2)),ROUND(ROUND(Basisbedragen!$D$30*0.65,4)*Basisbedragen!$I$2,2))/2,2)</f>
        <v>44.64</v>
      </c>
      <c r="N97" s="52">
        <f>ROUND(MIN(MAX(ROUND(ROUND('Loonschijven_Tranches salariale'!$Q97*0.6,4)*Basisbedragen!$I$2,2),ROUND(Basisbedragen!$D$49*Basisbedragen!$I$2,2)),ROUND(ROUND(Basisbedragen!$D$30*0.6,4)*Basisbedragen!$I$2,2))/2,2)</f>
        <v>41.21</v>
      </c>
      <c r="P97" s="52">
        <f t="shared" si="11"/>
        <v>53.57</v>
      </c>
      <c r="R97" s="52">
        <f t="shared" si="12"/>
        <v>49.45</v>
      </c>
      <c r="T97" s="52">
        <f t="shared" si="17"/>
        <v>38.4</v>
      </c>
    </row>
    <row r="98" spans="1:20" ht="15" thickBot="1">
      <c r="A98" s="47">
        <f t="shared" si="15"/>
        <v>91</v>
      </c>
      <c r="B98" s="52">
        <f>IF(MIN(MAX(ROUND(ROUND('Loonschijven_Tranches salariale'!$Q98*0.65,4)*Basisbedragen!$I$7,2),ROUND(Basisbedragen!$D$48*Basisbedragen!$I$7,2)),ROUND(ROUND(Basisbedragen!$D$30*0.65,4)*Basisbedragen!$I$7,2))&lt;= Basisbedragen!$I$8,MIN(MAX(ROUND(ROUND('Loonschijven_Tranches salariale'!$Q98*0.65,4)*Basisbedragen!$I$2,2),ROUND(Basisbedragen!$D$48*Basisbedragen!$I$2,2)),ROUND(ROUND(Basisbedragen!$D$30*0.65,4)*Basisbedragen!$I$2,2)),MIN(MAX(ROUND(ROUND('Loonschijven_Tranches salariale'!$Q98*0.65,4)*Basisbedragen!$I$7,2),ROUND(Basisbedragen!$D$48*Basisbedragen!$I$7,2)),ROUND(ROUND(Basisbedragen!$D$30*0.65,4)*Basisbedragen!$I$7,2))+Basisbedragen!$I$10)</f>
        <v>89.06</v>
      </c>
      <c r="D98" s="52">
        <f>IF(MIN(MAX(ROUND(ROUND('Loonschijven_Tranches salariale'!$Q98*0.6,4)*Basisbedragen!$I$7,2),ROUND(Basisbedragen!$D$49*Basisbedragen!$I$7,2)),ROUND(ROUND(Basisbedragen!$D$30*0.6,4)*Basisbedragen!$I$7,2))&lt;= Basisbedragen!$I$8,MIN(MAX(ROUND(ROUND('Loonschijven_Tranches salariale'!$Q98*0.6,4)*Basisbedragen!$I$2,2),ROUND(Basisbedragen!$D$49*Basisbedragen!$I$2,2)),ROUND(ROUND(Basisbedragen!$D$30*0.6,4)*Basisbedragen!$I$2,2)),MIN(MAX(ROUND(ROUND('Loonschijven_Tranches salariale'!$Q98*0.6,4)*Basisbedragen!$I$7,2),ROUND(Basisbedragen!$D$49*Basisbedragen!$I$7,2)),ROUND(ROUND(Basisbedragen!$D$30*0.6,4)*Basisbedragen!$I$7,2))+Basisbedragen!$I$10)</f>
        <v>82.330000000000013</v>
      </c>
      <c r="F98" s="448">
        <f t="shared" si="9"/>
        <v>106.87</v>
      </c>
      <c r="H98" s="52">
        <f t="shared" si="16"/>
        <v>98.8</v>
      </c>
      <c r="J98" s="52">
        <f>MIN(MAX(ROUND(ROUND('Loonschijven_Tranches salariale'!$Q98*0.65,4)*Basisbedragen!$I$2,2),ROUND(Basisbedragen!$D$73*Basisbedragen!$I$2,2)),ROUND(ROUND(Basisbedragen!$D$31*0.65,4)*Basisbedragen!$I$2,2))</f>
        <v>76.8</v>
      </c>
      <c r="L98" s="52">
        <f>ROUND(MIN(MAX(ROUND(ROUND('Loonschijven_Tranches salariale'!$Q98*0.65,4)*Basisbedragen!$I$2,2),ROUND(Basisbedragen!$D$48*Basisbedragen!$I$2,2)),ROUND(ROUND(Basisbedragen!$D$30*0.65,4)*Basisbedragen!$I$2,2))/2,2)</f>
        <v>44.64</v>
      </c>
      <c r="N98" s="52">
        <f>ROUND(MIN(MAX(ROUND(ROUND('Loonschijven_Tranches salariale'!$Q98*0.6,4)*Basisbedragen!$I$2,2),ROUND(Basisbedragen!$D$49*Basisbedragen!$I$2,2)),ROUND(ROUND(Basisbedragen!$D$30*0.6,4)*Basisbedragen!$I$2,2))/2,2)</f>
        <v>41.21</v>
      </c>
      <c r="P98" s="52">
        <f t="shared" si="11"/>
        <v>53.57</v>
      </c>
      <c r="R98" s="52">
        <f t="shared" si="12"/>
        <v>49.45</v>
      </c>
      <c r="T98" s="52">
        <f t="shared" si="17"/>
        <v>38.4</v>
      </c>
    </row>
    <row r="99" spans="1:20" ht="15" thickBot="1">
      <c r="A99" s="47">
        <f t="shared" si="15"/>
        <v>92</v>
      </c>
      <c r="B99" s="52">
        <f>IF(MIN(MAX(ROUND(ROUND('Loonschijven_Tranches salariale'!$Q99*0.65,4)*Basisbedragen!$I$7,2),ROUND(Basisbedragen!$D$48*Basisbedragen!$I$7,2)),ROUND(ROUND(Basisbedragen!$D$30*0.65,4)*Basisbedragen!$I$7,2))&lt;= Basisbedragen!$I$8,MIN(MAX(ROUND(ROUND('Loonschijven_Tranches salariale'!$Q99*0.65,4)*Basisbedragen!$I$2,2),ROUND(Basisbedragen!$D$48*Basisbedragen!$I$2,2)),ROUND(ROUND(Basisbedragen!$D$30*0.65,4)*Basisbedragen!$I$2,2)),MIN(MAX(ROUND(ROUND('Loonschijven_Tranches salariale'!$Q99*0.65,4)*Basisbedragen!$I$7,2),ROUND(Basisbedragen!$D$48*Basisbedragen!$I$7,2)),ROUND(ROUND(Basisbedragen!$D$30*0.65,4)*Basisbedragen!$I$7,2))+Basisbedragen!$I$10)</f>
        <v>89.06</v>
      </c>
      <c r="D99" s="52">
        <f>IF(MIN(MAX(ROUND(ROUND('Loonschijven_Tranches salariale'!$Q99*0.6,4)*Basisbedragen!$I$7,2),ROUND(Basisbedragen!$D$49*Basisbedragen!$I$7,2)),ROUND(ROUND(Basisbedragen!$D$30*0.6,4)*Basisbedragen!$I$7,2))&lt;= Basisbedragen!$I$8,MIN(MAX(ROUND(ROUND('Loonschijven_Tranches salariale'!$Q99*0.6,4)*Basisbedragen!$I$2,2),ROUND(Basisbedragen!$D$49*Basisbedragen!$I$2,2)),ROUND(ROUND(Basisbedragen!$D$30*0.6,4)*Basisbedragen!$I$2,2)),MIN(MAX(ROUND(ROUND('Loonschijven_Tranches salariale'!$Q99*0.6,4)*Basisbedragen!$I$7,2),ROUND(Basisbedragen!$D$49*Basisbedragen!$I$7,2)),ROUND(ROUND(Basisbedragen!$D$30*0.6,4)*Basisbedragen!$I$7,2))+Basisbedragen!$I$10)</f>
        <v>82.330000000000013</v>
      </c>
      <c r="F99" s="448">
        <f t="shared" si="9"/>
        <v>106.87</v>
      </c>
      <c r="H99" s="52">
        <f t="shared" si="16"/>
        <v>98.8</v>
      </c>
      <c r="J99" s="52">
        <f>MIN(MAX(ROUND(ROUND('Loonschijven_Tranches salariale'!$Q99*0.65,4)*Basisbedragen!$I$2,2),ROUND(Basisbedragen!$D$73*Basisbedragen!$I$2,2)),ROUND(ROUND(Basisbedragen!$D$31*0.65,4)*Basisbedragen!$I$2,2))</f>
        <v>76.8</v>
      </c>
      <c r="L99" s="52">
        <f>ROUND(MIN(MAX(ROUND(ROUND('Loonschijven_Tranches salariale'!$Q99*0.65,4)*Basisbedragen!$I$2,2),ROUND(Basisbedragen!$D$48*Basisbedragen!$I$2,2)),ROUND(ROUND(Basisbedragen!$D$30*0.65,4)*Basisbedragen!$I$2,2))/2,2)</f>
        <v>44.64</v>
      </c>
      <c r="N99" s="52">
        <f>ROUND(MIN(MAX(ROUND(ROUND('Loonschijven_Tranches salariale'!$Q99*0.6,4)*Basisbedragen!$I$2,2),ROUND(Basisbedragen!$D$49*Basisbedragen!$I$2,2)),ROUND(ROUND(Basisbedragen!$D$30*0.6,4)*Basisbedragen!$I$2,2))/2,2)</f>
        <v>41.21</v>
      </c>
      <c r="P99" s="52">
        <f t="shared" si="11"/>
        <v>53.57</v>
      </c>
      <c r="R99" s="52">
        <f t="shared" si="12"/>
        <v>49.45</v>
      </c>
      <c r="T99" s="52">
        <f t="shared" si="17"/>
        <v>38.4</v>
      </c>
    </row>
    <row r="100" spans="1:20" ht="15" thickBot="1">
      <c r="A100" s="47">
        <f t="shared" si="15"/>
        <v>93</v>
      </c>
      <c r="B100" s="52">
        <f>IF(MIN(MAX(ROUND(ROUND('Loonschijven_Tranches salariale'!$Q100*0.65,4)*Basisbedragen!$I$7,2),ROUND(Basisbedragen!$D$48*Basisbedragen!$I$7,2)),ROUND(ROUND(Basisbedragen!$D$30*0.65,4)*Basisbedragen!$I$7,2))&lt;= Basisbedragen!$I$8,MIN(MAX(ROUND(ROUND('Loonschijven_Tranches salariale'!$Q100*0.65,4)*Basisbedragen!$I$2,2),ROUND(Basisbedragen!$D$48*Basisbedragen!$I$2,2)),ROUND(ROUND(Basisbedragen!$D$30*0.65,4)*Basisbedragen!$I$2,2)),MIN(MAX(ROUND(ROUND('Loonschijven_Tranches salariale'!$Q100*0.65,4)*Basisbedragen!$I$7,2),ROUND(Basisbedragen!$D$48*Basisbedragen!$I$7,2)),ROUND(ROUND(Basisbedragen!$D$30*0.65,4)*Basisbedragen!$I$7,2))+Basisbedragen!$I$10)</f>
        <v>89.06</v>
      </c>
      <c r="D100" s="52">
        <f>IF(MIN(MAX(ROUND(ROUND('Loonschijven_Tranches salariale'!$Q100*0.6,4)*Basisbedragen!$I$7,2),ROUND(Basisbedragen!$D$49*Basisbedragen!$I$7,2)),ROUND(ROUND(Basisbedragen!$D$30*0.6,4)*Basisbedragen!$I$7,2))&lt;= Basisbedragen!$I$8,MIN(MAX(ROUND(ROUND('Loonschijven_Tranches salariale'!$Q100*0.6,4)*Basisbedragen!$I$2,2),ROUND(Basisbedragen!$D$49*Basisbedragen!$I$2,2)),ROUND(ROUND(Basisbedragen!$D$30*0.6,4)*Basisbedragen!$I$2,2)),MIN(MAX(ROUND(ROUND('Loonschijven_Tranches salariale'!$Q100*0.6,4)*Basisbedragen!$I$7,2),ROUND(Basisbedragen!$D$49*Basisbedragen!$I$7,2)),ROUND(ROUND(Basisbedragen!$D$30*0.6,4)*Basisbedragen!$I$7,2))+Basisbedragen!$I$10)</f>
        <v>82.330000000000013</v>
      </c>
      <c r="F100" s="448">
        <f t="shared" si="9"/>
        <v>106.87</v>
      </c>
      <c r="H100" s="52">
        <f t="shared" si="16"/>
        <v>98.8</v>
      </c>
      <c r="J100" s="52">
        <f>MIN(MAX(ROUND(ROUND('Loonschijven_Tranches salariale'!$Q100*0.65,4)*Basisbedragen!$I$2,2),ROUND(Basisbedragen!$D$73*Basisbedragen!$I$2,2)),ROUND(ROUND(Basisbedragen!$D$31*0.65,4)*Basisbedragen!$I$2,2))</f>
        <v>76.8</v>
      </c>
      <c r="L100" s="52">
        <f>ROUND(MIN(MAX(ROUND(ROUND('Loonschijven_Tranches salariale'!$Q100*0.65,4)*Basisbedragen!$I$2,2),ROUND(Basisbedragen!$D$48*Basisbedragen!$I$2,2)),ROUND(ROUND(Basisbedragen!$D$30*0.65,4)*Basisbedragen!$I$2,2))/2,2)</f>
        <v>44.64</v>
      </c>
      <c r="N100" s="52">
        <f>ROUND(MIN(MAX(ROUND(ROUND('Loonschijven_Tranches salariale'!$Q100*0.6,4)*Basisbedragen!$I$2,2),ROUND(Basisbedragen!$D$49*Basisbedragen!$I$2,2)),ROUND(ROUND(Basisbedragen!$D$30*0.6,4)*Basisbedragen!$I$2,2))/2,2)</f>
        <v>41.21</v>
      </c>
      <c r="P100" s="52">
        <f t="shared" si="11"/>
        <v>53.57</v>
      </c>
      <c r="R100" s="52">
        <f t="shared" si="12"/>
        <v>49.45</v>
      </c>
      <c r="T100" s="52">
        <f t="shared" si="17"/>
        <v>38.4</v>
      </c>
    </row>
    <row r="101" spans="1:20" ht="15" thickBot="1">
      <c r="A101" s="47">
        <f t="shared" si="15"/>
        <v>94</v>
      </c>
      <c r="B101" s="52">
        <f>IF(MIN(MAX(ROUND(ROUND('Loonschijven_Tranches salariale'!$Q101*0.65,4)*Basisbedragen!$I$7,2),ROUND(Basisbedragen!$D$48*Basisbedragen!$I$7,2)),ROUND(ROUND(Basisbedragen!$D$30*0.65,4)*Basisbedragen!$I$7,2))&lt;= Basisbedragen!$I$8,MIN(MAX(ROUND(ROUND('Loonschijven_Tranches salariale'!$Q101*0.65,4)*Basisbedragen!$I$2,2),ROUND(Basisbedragen!$D$48*Basisbedragen!$I$2,2)),ROUND(ROUND(Basisbedragen!$D$30*0.65,4)*Basisbedragen!$I$2,2)),MIN(MAX(ROUND(ROUND('Loonschijven_Tranches salariale'!$Q101*0.65,4)*Basisbedragen!$I$7,2),ROUND(Basisbedragen!$D$48*Basisbedragen!$I$7,2)),ROUND(ROUND(Basisbedragen!$D$30*0.65,4)*Basisbedragen!$I$7,2))+Basisbedragen!$I$10)</f>
        <v>89.06</v>
      </c>
      <c r="D101" s="52">
        <f>IF(MIN(MAX(ROUND(ROUND('Loonschijven_Tranches salariale'!$Q101*0.6,4)*Basisbedragen!$I$7,2),ROUND(Basisbedragen!$D$49*Basisbedragen!$I$7,2)),ROUND(ROUND(Basisbedragen!$D$30*0.6,4)*Basisbedragen!$I$7,2))&lt;= Basisbedragen!$I$8,MIN(MAX(ROUND(ROUND('Loonschijven_Tranches salariale'!$Q101*0.6,4)*Basisbedragen!$I$2,2),ROUND(Basisbedragen!$D$49*Basisbedragen!$I$2,2)),ROUND(ROUND(Basisbedragen!$D$30*0.6,4)*Basisbedragen!$I$2,2)),MIN(MAX(ROUND(ROUND('Loonschijven_Tranches salariale'!$Q101*0.6,4)*Basisbedragen!$I$7,2),ROUND(Basisbedragen!$D$49*Basisbedragen!$I$7,2)),ROUND(ROUND(Basisbedragen!$D$30*0.6,4)*Basisbedragen!$I$7,2))+Basisbedragen!$I$10)</f>
        <v>82.330000000000013</v>
      </c>
      <c r="F101" s="448">
        <f t="shared" si="9"/>
        <v>106.87</v>
      </c>
      <c r="H101" s="52">
        <f t="shared" si="16"/>
        <v>98.8</v>
      </c>
      <c r="J101" s="52">
        <f>MIN(MAX(ROUND(ROUND('Loonschijven_Tranches salariale'!$Q101*0.65,4)*Basisbedragen!$I$2,2),ROUND(Basisbedragen!$D$73*Basisbedragen!$I$2,2)),ROUND(ROUND(Basisbedragen!$D$31*0.65,4)*Basisbedragen!$I$2,2))</f>
        <v>76.8</v>
      </c>
      <c r="L101" s="52">
        <f>ROUND(MIN(MAX(ROUND(ROUND('Loonschijven_Tranches salariale'!$Q101*0.65,4)*Basisbedragen!$I$2,2),ROUND(Basisbedragen!$D$48*Basisbedragen!$I$2,2)),ROUND(ROUND(Basisbedragen!$D$30*0.65,4)*Basisbedragen!$I$2,2))/2,2)</f>
        <v>44.64</v>
      </c>
      <c r="N101" s="52">
        <f>ROUND(MIN(MAX(ROUND(ROUND('Loonschijven_Tranches salariale'!$Q101*0.6,4)*Basisbedragen!$I$2,2),ROUND(Basisbedragen!$D$49*Basisbedragen!$I$2,2)),ROUND(ROUND(Basisbedragen!$D$30*0.6,4)*Basisbedragen!$I$2,2))/2,2)</f>
        <v>41.21</v>
      </c>
      <c r="P101" s="52">
        <f t="shared" si="11"/>
        <v>53.57</v>
      </c>
      <c r="R101" s="52">
        <f t="shared" si="12"/>
        <v>49.45</v>
      </c>
      <c r="T101" s="52">
        <f t="shared" si="17"/>
        <v>38.4</v>
      </c>
    </row>
    <row r="102" spans="1:20" ht="15" thickBot="1">
      <c r="A102" s="47">
        <f>A101+1</f>
        <v>95</v>
      </c>
      <c r="B102" s="52">
        <f>IF(MIN(MAX(ROUND(ROUND('Loonschijven_Tranches salariale'!$Q102*0.65,4)*Basisbedragen!$I$7,2),ROUND(Basisbedragen!$D$48*Basisbedragen!$I$7,2)),ROUND(ROUND(Basisbedragen!$D$30*0.65,4)*Basisbedragen!$I$7,2))&lt;= Basisbedragen!$I$8,MIN(MAX(ROUND(ROUND('Loonschijven_Tranches salariale'!$Q102*0.65,4)*Basisbedragen!$I$2,2),ROUND(Basisbedragen!$D$48*Basisbedragen!$I$2,2)),ROUND(ROUND(Basisbedragen!$D$30*0.65,4)*Basisbedragen!$I$2,2)),MIN(MAX(ROUND(ROUND('Loonschijven_Tranches salariale'!$Q102*0.65,4)*Basisbedragen!$I$7,2),ROUND(Basisbedragen!$D$48*Basisbedragen!$I$7,2)),ROUND(ROUND(Basisbedragen!$D$30*0.65,4)*Basisbedragen!$I$7,2))+Basisbedragen!$I$10)</f>
        <v>89.06</v>
      </c>
      <c r="D102" s="52">
        <f>IF(MIN(MAX(ROUND(ROUND('Loonschijven_Tranches salariale'!$Q102*0.6,4)*Basisbedragen!$I$7,2),ROUND(Basisbedragen!$D$49*Basisbedragen!$I$7,2)),ROUND(ROUND(Basisbedragen!$D$30*0.6,4)*Basisbedragen!$I$7,2))&lt;= Basisbedragen!$I$8,MIN(MAX(ROUND(ROUND('Loonschijven_Tranches salariale'!$Q102*0.6,4)*Basisbedragen!$I$2,2),ROUND(Basisbedragen!$D$49*Basisbedragen!$I$2,2)),ROUND(ROUND(Basisbedragen!$D$30*0.6,4)*Basisbedragen!$I$2,2)),MIN(MAX(ROUND(ROUND('Loonschijven_Tranches salariale'!$Q102*0.6,4)*Basisbedragen!$I$7,2),ROUND(Basisbedragen!$D$49*Basisbedragen!$I$7,2)),ROUND(ROUND(Basisbedragen!$D$30*0.6,4)*Basisbedragen!$I$7,2))+Basisbedragen!$I$10)</f>
        <v>82.330000000000013</v>
      </c>
      <c r="F102" s="448">
        <f t="shared" si="9"/>
        <v>106.87</v>
      </c>
      <c r="H102" s="52">
        <f t="shared" si="16"/>
        <v>98.8</v>
      </c>
      <c r="J102" s="52">
        <f>MIN(MAX(ROUND(ROUND('Loonschijven_Tranches salariale'!$Q102*0.65,4)*Basisbedragen!$I$2,2),ROUND(Basisbedragen!$D$73*Basisbedragen!$I$2,2)),ROUND(ROUND(Basisbedragen!$D$31*0.65,4)*Basisbedragen!$I$2,2))</f>
        <v>76.8</v>
      </c>
      <c r="L102" s="52">
        <f>ROUND(MIN(MAX(ROUND(ROUND('Loonschijven_Tranches salariale'!$Q102*0.65,4)*Basisbedragen!$I$2,2),ROUND(Basisbedragen!$D$48*Basisbedragen!$I$2,2)),ROUND(ROUND(Basisbedragen!$D$30*0.65,4)*Basisbedragen!$I$2,2))/2,2)</f>
        <v>44.64</v>
      </c>
      <c r="N102" s="52">
        <f>ROUND(MIN(MAX(ROUND(ROUND('Loonschijven_Tranches salariale'!$Q102*0.6,4)*Basisbedragen!$I$2,2),ROUND(Basisbedragen!$D$49*Basisbedragen!$I$2,2)),ROUND(ROUND(Basisbedragen!$D$30*0.6,4)*Basisbedragen!$I$2,2))/2,2)</f>
        <v>41.21</v>
      </c>
      <c r="P102" s="52">
        <f t="shared" si="11"/>
        <v>53.57</v>
      </c>
      <c r="R102" s="52">
        <f t="shared" si="12"/>
        <v>49.45</v>
      </c>
      <c r="T102" s="52">
        <f t="shared" si="17"/>
        <v>38.4</v>
      </c>
    </row>
    <row r="103" spans="1:20" ht="15" thickBot="1">
      <c r="A103" s="47">
        <f>A102+1</f>
        <v>96</v>
      </c>
      <c r="B103" s="52">
        <f>IF(MIN(MAX(ROUND(ROUND('Loonschijven_Tranches salariale'!$Q103*0.65,4)*Basisbedragen!$I$7,2),ROUND(Basisbedragen!$D$48*Basisbedragen!$I$7,2)),ROUND(ROUND(Basisbedragen!$D$30*0.65,4)*Basisbedragen!$I$7,2))&lt;= Basisbedragen!$I$8,MIN(MAX(ROUND(ROUND('Loonschijven_Tranches salariale'!$Q103*0.65,4)*Basisbedragen!$I$2,2),ROUND(Basisbedragen!$D$48*Basisbedragen!$I$2,2)),ROUND(ROUND(Basisbedragen!$D$30*0.65,4)*Basisbedragen!$I$2,2)),MIN(MAX(ROUND(ROUND('Loonschijven_Tranches salariale'!$Q103*0.65,4)*Basisbedragen!$I$7,2),ROUND(Basisbedragen!$D$48*Basisbedragen!$I$7,2)),ROUND(ROUND(Basisbedragen!$D$30*0.65,4)*Basisbedragen!$I$7,2))+Basisbedragen!$I$10)</f>
        <v>89.06</v>
      </c>
      <c r="D103" s="52">
        <f>IF(MIN(MAX(ROUND(ROUND('Loonschijven_Tranches salariale'!$Q103*0.6,4)*Basisbedragen!$I$7,2),ROUND(Basisbedragen!$D$49*Basisbedragen!$I$7,2)),ROUND(ROUND(Basisbedragen!$D$30*0.6,4)*Basisbedragen!$I$7,2))&lt;= Basisbedragen!$I$8,MIN(MAX(ROUND(ROUND('Loonschijven_Tranches salariale'!$Q103*0.6,4)*Basisbedragen!$I$2,2),ROUND(Basisbedragen!$D$49*Basisbedragen!$I$2,2)),ROUND(ROUND(Basisbedragen!$D$30*0.6,4)*Basisbedragen!$I$2,2)),MIN(MAX(ROUND(ROUND('Loonschijven_Tranches salariale'!$Q103*0.6,4)*Basisbedragen!$I$7,2),ROUND(Basisbedragen!$D$49*Basisbedragen!$I$7,2)),ROUND(ROUND(Basisbedragen!$D$30*0.6,4)*Basisbedragen!$I$7,2))+Basisbedragen!$I$10)</f>
        <v>82.330000000000013</v>
      </c>
      <c r="F103" s="448">
        <f t="shared" si="9"/>
        <v>106.87</v>
      </c>
      <c r="H103" s="52">
        <f t="shared" si="16"/>
        <v>98.8</v>
      </c>
      <c r="J103" s="52">
        <f>MIN(MAX(ROUND(ROUND('Loonschijven_Tranches salariale'!$Q103*0.65,4)*Basisbedragen!$I$2,2),ROUND(Basisbedragen!$D$73*Basisbedragen!$I$2,2)),ROUND(ROUND(Basisbedragen!$D$31*0.65,4)*Basisbedragen!$I$2,2))</f>
        <v>76.8</v>
      </c>
      <c r="L103" s="52">
        <f>ROUND(MIN(MAX(ROUND(ROUND('Loonschijven_Tranches salariale'!$Q103*0.65,4)*Basisbedragen!$I$2,2),ROUND(Basisbedragen!$D$48*Basisbedragen!$I$2,2)),ROUND(ROUND(Basisbedragen!$D$30*0.65,4)*Basisbedragen!$I$2,2))/2,2)</f>
        <v>44.64</v>
      </c>
      <c r="N103" s="52">
        <f>ROUND(MIN(MAX(ROUND(ROUND('Loonschijven_Tranches salariale'!$Q103*0.6,4)*Basisbedragen!$I$2,2),ROUND(Basisbedragen!$D$49*Basisbedragen!$I$2,2)),ROUND(ROUND(Basisbedragen!$D$30*0.6,4)*Basisbedragen!$I$2,2))/2,2)</f>
        <v>41.21</v>
      </c>
      <c r="P103" s="52">
        <f t="shared" si="11"/>
        <v>53.57</v>
      </c>
      <c r="R103" s="52">
        <f t="shared" si="12"/>
        <v>49.45</v>
      </c>
      <c r="T103" s="52">
        <f t="shared" si="17"/>
        <v>38.4</v>
      </c>
    </row>
    <row r="104" spans="1:20" ht="15" thickBot="1">
      <c r="A104" s="47">
        <f t="shared" ref="A104:A105" si="18">A103+1</f>
        <v>97</v>
      </c>
      <c r="B104" s="52">
        <f>IF(MIN(MAX(ROUND(ROUND('Loonschijven_Tranches salariale'!$Q104*0.65,4)*Basisbedragen!$I$7,2),ROUND(Basisbedragen!$D$48*Basisbedragen!$I$7,2)),ROUND(ROUND(Basisbedragen!$D$30*0.65,4)*Basisbedragen!$I$7,2))&lt;= Basisbedragen!$I$8,MIN(MAX(ROUND(ROUND('Loonschijven_Tranches salariale'!$Q104*0.65,4)*Basisbedragen!$I$2,2),ROUND(Basisbedragen!$D$48*Basisbedragen!$I$2,2)),ROUND(ROUND(Basisbedragen!$D$30*0.65,4)*Basisbedragen!$I$2,2)),MIN(MAX(ROUND(ROUND('Loonschijven_Tranches salariale'!$Q104*0.65,4)*Basisbedragen!$I$7,2),ROUND(Basisbedragen!$D$48*Basisbedragen!$I$7,2)),ROUND(ROUND(Basisbedragen!$D$30*0.65,4)*Basisbedragen!$I$7,2))+Basisbedragen!$I$10)</f>
        <v>89.06</v>
      </c>
      <c r="D104" s="52">
        <f>IF(MIN(MAX(ROUND(ROUND('Loonschijven_Tranches salariale'!$Q104*0.6,4)*Basisbedragen!$I$7,2),ROUND(Basisbedragen!$D$49*Basisbedragen!$I$7,2)),ROUND(ROUND(Basisbedragen!$D$30*0.6,4)*Basisbedragen!$I$7,2))&lt;= Basisbedragen!$I$8,MIN(MAX(ROUND(ROUND('Loonschijven_Tranches salariale'!$Q104*0.6,4)*Basisbedragen!$I$2,2),ROUND(Basisbedragen!$D$49*Basisbedragen!$I$2,2)),ROUND(ROUND(Basisbedragen!$D$30*0.6,4)*Basisbedragen!$I$2,2)),MIN(MAX(ROUND(ROUND('Loonschijven_Tranches salariale'!$Q104*0.6,4)*Basisbedragen!$I$7,2),ROUND(Basisbedragen!$D$49*Basisbedragen!$I$7,2)),ROUND(ROUND(Basisbedragen!$D$30*0.6,4)*Basisbedragen!$I$7,2))+Basisbedragen!$I$10)</f>
        <v>82.330000000000013</v>
      </c>
      <c r="F104" s="448">
        <f t="shared" si="9"/>
        <v>106.87</v>
      </c>
      <c r="H104" s="52">
        <f t="shared" si="16"/>
        <v>98.8</v>
      </c>
      <c r="J104" s="52">
        <f>MIN(MAX(ROUND(ROUND('Loonschijven_Tranches salariale'!$Q104*0.65,4)*Basisbedragen!$I$2,2),ROUND(Basisbedragen!$D$73*Basisbedragen!$I$2,2)),ROUND(ROUND(Basisbedragen!$D$31*0.65,4)*Basisbedragen!$I$2,2))</f>
        <v>76.8</v>
      </c>
      <c r="L104" s="52">
        <f>ROUND(MIN(MAX(ROUND(ROUND('Loonschijven_Tranches salariale'!$Q104*0.65,4)*Basisbedragen!$I$2,2),ROUND(Basisbedragen!$D$48*Basisbedragen!$I$2,2)),ROUND(ROUND(Basisbedragen!$D$30*0.65,4)*Basisbedragen!$I$2,2))/2,2)</f>
        <v>44.64</v>
      </c>
      <c r="N104" s="52">
        <f>ROUND(MIN(MAX(ROUND(ROUND('Loonschijven_Tranches salariale'!$Q104*0.6,4)*Basisbedragen!$I$2,2),ROUND(Basisbedragen!$D$49*Basisbedragen!$I$2,2)),ROUND(ROUND(Basisbedragen!$D$30*0.6,4)*Basisbedragen!$I$2,2))/2,2)</f>
        <v>41.21</v>
      </c>
      <c r="P104" s="52">
        <f t="shared" si="11"/>
        <v>53.57</v>
      </c>
      <c r="R104" s="52">
        <f t="shared" si="12"/>
        <v>49.45</v>
      </c>
      <c r="T104" s="52">
        <f t="shared" si="17"/>
        <v>38.4</v>
      </c>
    </row>
    <row r="105" spans="1:20" ht="15" thickBot="1">
      <c r="A105" s="47">
        <f t="shared" si="18"/>
        <v>98</v>
      </c>
      <c r="B105" s="52">
        <f>IF(MIN(MAX(ROUND(ROUND('Loonschijven_Tranches salariale'!$Q105*0.65,4)*Basisbedragen!$I$7,2),ROUND(Basisbedragen!$D$48*Basisbedragen!$I$7,2)),ROUND(ROUND(Basisbedragen!$D$30*0.65,4)*Basisbedragen!$I$7,2))&lt;= Basisbedragen!$I$8,MIN(MAX(ROUND(ROUND('Loonschijven_Tranches salariale'!$Q105*0.65,4)*Basisbedragen!$I$2,2),ROUND(Basisbedragen!$D$48*Basisbedragen!$I$2,2)),ROUND(ROUND(Basisbedragen!$D$30*0.65,4)*Basisbedragen!$I$2,2)),MIN(MAX(ROUND(ROUND('Loonschijven_Tranches salariale'!$Q105*0.65,4)*Basisbedragen!$I$7,2),ROUND(Basisbedragen!$D$48*Basisbedragen!$I$7,2)),ROUND(ROUND(Basisbedragen!$D$30*0.65,4)*Basisbedragen!$I$7,2))+Basisbedragen!$I$10)</f>
        <v>89.06</v>
      </c>
      <c r="D105" s="52">
        <f>IF(MIN(MAX(ROUND(ROUND('Loonschijven_Tranches salariale'!$Q105*0.6,4)*Basisbedragen!$I$7,2),ROUND(Basisbedragen!$D$49*Basisbedragen!$I$7,2)),ROUND(ROUND(Basisbedragen!$D$30*0.6,4)*Basisbedragen!$I$7,2))&lt;= Basisbedragen!$I$8,MIN(MAX(ROUND(ROUND('Loonschijven_Tranches salariale'!$Q105*0.6,4)*Basisbedragen!$I$2,2),ROUND(Basisbedragen!$D$49*Basisbedragen!$I$2,2)),ROUND(ROUND(Basisbedragen!$D$30*0.6,4)*Basisbedragen!$I$2,2)),MIN(MAX(ROUND(ROUND('Loonschijven_Tranches salariale'!$Q105*0.6,4)*Basisbedragen!$I$7,2),ROUND(Basisbedragen!$D$49*Basisbedragen!$I$7,2)),ROUND(ROUND(Basisbedragen!$D$30*0.6,4)*Basisbedragen!$I$7,2))+Basisbedragen!$I$10)</f>
        <v>82.330000000000013</v>
      </c>
      <c r="F105" s="448">
        <f t="shared" si="9"/>
        <v>106.87</v>
      </c>
      <c r="H105" s="52">
        <f t="shared" si="16"/>
        <v>98.8</v>
      </c>
      <c r="J105" s="52">
        <f>MIN(MAX(ROUND(ROUND('Loonschijven_Tranches salariale'!$Q105*0.65,4)*Basisbedragen!$I$2,2),ROUND(Basisbedragen!$D$73*Basisbedragen!$I$2,2)),ROUND(ROUND(Basisbedragen!$D$31*0.65,4)*Basisbedragen!$I$2,2))</f>
        <v>76.8</v>
      </c>
      <c r="L105" s="52">
        <f>ROUND(MIN(MAX(ROUND(ROUND('Loonschijven_Tranches salariale'!$Q105*0.65,4)*Basisbedragen!$I$2,2),ROUND(Basisbedragen!$D$48*Basisbedragen!$I$2,2)),ROUND(ROUND(Basisbedragen!$D$30*0.65,4)*Basisbedragen!$I$2,2))/2,2)</f>
        <v>44.64</v>
      </c>
      <c r="N105" s="52">
        <f>ROUND(MIN(MAX(ROUND(ROUND('Loonschijven_Tranches salariale'!$Q105*0.6,4)*Basisbedragen!$I$2,2),ROUND(Basisbedragen!$D$49*Basisbedragen!$I$2,2)),ROUND(ROUND(Basisbedragen!$D$30*0.6,4)*Basisbedragen!$I$2,2))/2,2)</f>
        <v>41.21</v>
      </c>
      <c r="P105" s="52">
        <f t="shared" si="11"/>
        <v>53.57</v>
      </c>
      <c r="R105" s="52">
        <f t="shared" si="12"/>
        <v>49.45</v>
      </c>
      <c r="T105" s="52">
        <f t="shared" si="17"/>
        <v>38.4</v>
      </c>
    </row>
    <row r="106" spans="1:20" ht="15" thickBot="1">
      <c r="A106" s="47">
        <f>A105+1</f>
        <v>99</v>
      </c>
      <c r="B106" s="52">
        <f>IF(MIN(MAX(ROUND(ROUND('Loonschijven_Tranches salariale'!$Q106*0.65,4)*Basisbedragen!$I$7,2),ROUND(Basisbedragen!$D$48*Basisbedragen!$I$7,2)),ROUND(ROUND(Basisbedragen!$D$30*0.65,4)*Basisbedragen!$I$7,2))&lt;= Basisbedragen!$I$8,MIN(MAX(ROUND(ROUND('Loonschijven_Tranches salariale'!$Q106*0.65,4)*Basisbedragen!$I$2,2),ROUND(Basisbedragen!$D$48*Basisbedragen!$I$2,2)),ROUND(ROUND(Basisbedragen!$D$30*0.65,4)*Basisbedragen!$I$2,2)),MIN(MAX(ROUND(ROUND('Loonschijven_Tranches salariale'!$Q106*0.65,4)*Basisbedragen!$I$7,2),ROUND(Basisbedragen!$D$48*Basisbedragen!$I$7,2)),ROUND(ROUND(Basisbedragen!$D$30*0.65,4)*Basisbedragen!$I$7,2))+Basisbedragen!$I$10)</f>
        <v>89.06</v>
      </c>
      <c r="D106" s="52">
        <f>IF(MIN(MAX(ROUND(ROUND('Loonschijven_Tranches salariale'!$Q106*0.6,4)*Basisbedragen!$I$7,2),ROUND(Basisbedragen!$D$49*Basisbedragen!$I$7,2)),ROUND(ROUND(Basisbedragen!$D$30*0.6,4)*Basisbedragen!$I$7,2))&lt;= Basisbedragen!$I$8,MIN(MAX(ROUND(ROUND('Loonschijven_Tranches salariale'!$Q106*0.6,4)*Basisbedragen!$I$2,2),ROUND(Basisbedragen!$D$49*Basisbedragen!$I$2,2)),ROUND(ROUND(Basisbedragen!$D$30*0.6,4)*Basisbedragen!$I$2,2)),MIN(MAX(ROUND(ROUND('Loonschijven_Tranches salariale'!$Q106*0.6,4)*Basisbedragen!$I$7,2),ROUND(Basisbedragen!$D$49*Basisbedragen!$I$7,2)),ROUND(ROUND(Basisbedragen!$D$30*0.6,4)*Basisbedragen!$I$7,2))+Basisbedragen!$I$10)</f>
        <v>82.330000000000013</v>
      </c>
      <c r="F106" s="448">
        <f t="shared" si="9"/>
        <v>106.87</v>
      </c>
      <c r="H106" s="52">
        <f t="shared" si="16"/>
        <v>98.8</v>
      </c>
      <c r="J106" s="52">
        <f>MIN(MAX(ROUND(ROUND('Loonschijven_Tranches salariale'!$Q106*0.65,4)*Basisbedragen!$I$2,2),ROUND(Basisbedragen!$D$73*Basisbedragen!$I$2,2)),ROUND(ROUND(Basisbedragen!$D$31*0.65,4)*Basisbedragen!$I$2,2))</f>
        <v>76.8</v>
      </c>
      <c r="L106" s="52">
        <f>ROUND(MIN(MAX(ROUND(ROUND('Loonschijven_Tranches salariale'!$Q106*0.65,4)*Basisbedragen!$I$2,2),ROUND(Basisbedragen!$D$48*Basisbedragen!$I$2,2)),ROUND(ROUND(Basisbedragen!$D$30*0.65,4)*Basisbedragen!$I$2,2))/2,2)</f>
        <v>44.64</v>
      </c>
      <c r="N106" s="52">
        <f>ROUND(MIN(MAX(ROUND(ROUND('Loonschijven_Tranches salariale'!$Q106*0.6,4)*Basisbedragen!$I$2,2),ROUND(Basisbedragen!$D$49*Basisbedragen!$I$2,2)),ROUND(ROUND(Basisbedragen!$D$30*0.6,4)*Basisbedragen!$I$2,2))/2,2)</f>
        <v>41.21</v>
      </c>
      <c r="P106" s="52">
        <f t="shared" si="11"/>
        <v>53.57</v>
      </c>
      <c r="R106" s="52">
        <f t="shared" si="12"/>
        <v>49.45</v>
      </c>
      <c r="T106" s="52">
        <f t="shared" si="17"/>
        <v>38.4</v>
      </c>
    </row>
  </sheetData>
  <sheetProtection algorithmName="SHA-512" hashValue="8dNvaj7D8e31W8/0r4wHIcKMjUVWw/FlJA2SmDMhj1qXJ4vmCpDqpoHF0/628I5XmyWA3D4kgygr3VRKE+RMMA==" saltValue="jxuk+ATniOitjBvig3BQoA==" spinCount="100000" sheet="1" objects="1" scenarios="1"/>
  <mergeCells count="4">
    <mergeCell ref="AD1:AE1"/>
    <mergeCell ref="U1:W1"/>
    <mergeCell ref="B4:J4"/>
    <mergeCell ref="L4:T4"/>
  </mergeCells>
  <conditionalFormatting sqref="C8:D8 M8:N8 B8:B106 H8:H106 J8:J106 L8:L106 N8:N106 R8:R106 T8:T106 D9:D106">
    <cfRule type="expression" dxfId="5" priority="7">
      <formula>MOD(INDIRECT(ADDRESS(ROW(),1)),5)=0</formula>
    </cfRule>
  </conditionalFormatting>
  <conditionalFormatting sqref="F8:F106">
    <cfRule type="expression" dxfId="4" priority="1">
      <formula>MOD(INDIRECT(ADDRESS(ROW(),1)),5)=0</formula>
    </cfRule>
  </conditionalFormatting>
  <conditionalFormatting sqref="P8:P106">
    <cfRule type="expression" dxfId="3" priority="2">
      <formula>MOD(INDIRECT(ADDRESS(ROW(),1)),5)=0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  <headerFooter>
    <oddFooter>&amp;LRijksdienst voor Arbeidsvoorziening&amp;ROffice national de l'Emploi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7"/>
  <sheetViews>
    <sheetView showGridLines="0" zoomScaleNormal="100" workbookViewId="0">
      <pane xSplit="1" ySplit="8" topLeftCell="B48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9.109375" defaultRowHeight="14.4" outlineLevelRow="1"/>
  <cols>
    <col min="1" max="1" width="16.5546875" customWidth="1"/>
    <col min="4" max="4" width="0.6640625" customWidth="1"/>
    <col min="7" max="7" width="9.109375" customWidth="1"/>
    <col min="8" max="8" width="0.5546875" customWidth="1"/>
    <col min="11" max="11" width="7.21875" customWidth="1"/>
    <col min="14" max="14" width="0.6640625" customWidth="1"/>
    <col min="17" max="17" width="9.109375" customWidth="1"/>
    <col min="18" max="18" width="0.6640625" customWidth="1"/>
  </cols>
  <sheetData>
    <row r="1" spans="1:24" ht="15" customHeight="1">
      <c r="A1" s="39" t="s">
        <v>5</v>
      </c>
      <c r="C1" s="466" t="s">
        <v>13</v>
      </c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0"/>
      <c r="R1" s="40"/>
      <c r="S1" s="451" t="s">
        <v>6</v>
      </c>
      <c r="T1" s="451"/>
      <c r="U1" s="334">
        <f>Basisbedragen!$I$2</f>
        <v>1.8113999999999999</v>
      </c>
      <c r="V1" s="334"/>
      <c r="W1" s="334"/>
      <c r="X1" s="334"/>
    </row>
    <row r="2" spans="1:24" ht="15.6">
      <c r="A2" s="332">
        <v>46266</v>
      </c>
      <c r="C2" s="466" t="s">
        <v>14</v>
      </c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74"/>
      <c r="R2" s="40"/>
      <c r="S2" s="40"/>
      <c r="T2" s="40"/>
    </row>
    <row r="3" spans="1:24" ht="16.2" thickBot="1">
      <c r="A3" s="53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4"/>
      <c r="R3" s="40"/>
      <c r="S3" s="40"/>
      <c r="T3" s="40"/>
    </row>
    <row r="4" spans="1:24" ht="15" customHeight="1" thickBot="1">
      <c r="A4" s="41"/>
      <c r="B4" s="474" t="s">
        <v>18</v>
      </c>
      <c r="C4" s="475"/>
      <c r="D4" s="475"/>
      <c r="E4" s="475"/>
      <c r="F4" s="475"/>
      <c r="G4" s="475"/>
      <c r="H4" s="475"/>
      <c r="I4" s="475"/>
      <c r="J4" s="476"/>
      <c r="L4" s="474" t="s">
        <v>399</v>
      </c>
      <c r="M4" s="475"/>
      <c r="N4" s="475"/>
      <c r="O4" s="475"/>
      <c r="P4" s="475"/>
      <c r="Q4" s="476"/>
    </row>
    <row r="5" spans="1:24" ht="80.400000000000006" thickBot="1">
      <c r="A5" s="41"/>
      <c r="B5" s="76" t="s">
        <v>183</v>
      </c>
      <c r="C5" s="76" t="s">
        <v>188</v>
      </c>
      <c r="E5" s="467" t="s">
        <v>15</v>
      </c>
      <c r="F5" s="468"/>
      <c r="G5" s="468"/>
      <c r="H5" s="344"/>
      <c r="I5" s="472" t="s">
        <v>333</v>
      </c>
      <c r="J5" s="473"/>
      <c r="L5" s="75" t="s">
        <v>183</v>
      </c>
      <c r="M5" s="75" t="s">
        <v>188</v>
      </c>
      <c r="O5" s="469" t="s">
        <v>15</v>
      </c>
      <c r="P5" s="470"/>
      <c r="Q5" s="471"/>
    </row>
    <row r="6" spans="1:24" ht="35.4" thickBot="1">
      <c r="A6" s="45" t="s">
        <v>7</v>
      </c>
      <c r="B6" s="48" t="s">
        <v>9</v>
      </c>
      <c r="C6" s="49" t="s">
        <v>189</v>
      </c>
      <c r="E6" s="49" t="s">
        <v>10</v>
      </c>
      <c r="F6" s="49" t="s">
        <v>11</v>
      </c>
      <c r="G6" s="336" t="s">
        <v>12</v>
      </c>
      <c r="H6" s="345"/>
      <c r="I6" s="49" t="s">
        <v>334</v>
      </c>
      <c r="J6" s="49" t="s">
        <v>335</v>
      </c>
      <c r="L6" s="48" t="s">
        <v>9</v>
      </c>
      <c r="M6" s="49" t="s">
        <v>189</v>
      </c>
      <c r="N6" s="43"/>
      <c r="O6" s="49" t="s">
        <v>10</v>
      </c>
      <c r="P6" s="49" t="s">
        <v>11</v>
      </c>
      <c r="Q6" s="49" t="s">
        <v>12</v>
      </c>
    </row>
    <row r="7" spans="1:24" ht="15" thickBot="1">
      <c r="A7" s="46"/>
      <c r="B7" s="57">
        <v>0.6</v>
      </c>
      <c r="C7" s="57">
        <v>0.6</v>
      </c>
      <c r="E7" s="57">
        <v>0.6</v>
      </c>
      <c r="F7" s="57">
        <v>0.6</v>
      </c>
      <c r="G7" s="337">
        <v>0.6</v>
      </c>
      <c r="H7" s="346"/>
      <c r="I7" s="337">
        <v>0.6</v>
      </c>
      <c r="J7" s="57">
        <v>0.6</v>
      </c>
      <c r="L7" s="57">
        <v>0.6</v>
      </c>
      <c r="M7" s="57">
        <v>0.6</v>
      </c>
      <c r="O7" s="57">
        <v>0.6</v>
      </c>
      <c r="P7" s="57">
        <v>0.6</v>
      </c>
      <c r="Q7" s="57">
        <v>0.6</v>
      </c>
    </row>
    <row r="8" spans="1:24" ht="15" thickBot="1">
      <c r="A8" s="62" t="s">
        <v>4</v>
      </c>
      <c r="B8" s="189">
        <f>ROUND(C8*1.2,2)</f>
        <v>85.19</v>
      </c>
      <c r="C8" s="189">
        <f>ROUND(Basisbedragen!$D$47*$U$1,2)</f>
        <v>70.989999999999995</v>
      </c>
      <c r="E8" s="71">
        <f>ROUND(Basisbedragen!$D$44*$U$1,2)</f>
        <v>68.63</v>
      </c>
      <c r="F8" s="71">
        <f>ROUND(Basisbedragen!$D$45*$U$1,2)</f>
        <v>55.63</v>
      </c>
      <c r="G8" s="71">
        <f>ROUND(Basisbedragen!$D$46*$U$1,2)</f>
        <v>49.43</v>
      </c>
      <c r="H8" s="347"/>
      <c r="I8" s="71">
        <f>ROUND(Basisbedragen!$D$77*$U$1,2)</f>
        <v>73.98</v>
      </c>
      <c r="J8" s="71">
        <f>ROUND(Basisbedragen!$D$78*$U$1,2)</f>
        <v>65.17</v>
      </c>
      <c r="L8" s="71">
        <f t="shared" ref="L8" si="0">ROUND(B8/2,2)</f>
        <v>42.6</v>
      </c>
      <c r="M8" s="71">
        <f t="shared" ref="M8" si="1">ROUND(C8/2,2)</f>
        <v>35.5</v>
      </c>
      <c r="O8" s="71">
        <f t="shared" ref="O8:Q9" si="2">ROUND(E8/2,2)</f>
        <v>34.32</v>
      </c>
      <c r="P8" s="59">
        <f t="shared" si="2"/>
        <v>27.82</v>
      </c>
      <c r="Q8" s="189">
        <f t="shared" si="2"/>
        <v>24.72</v>
      </c>
    </row>
    <row r="9" spans="1:24" ht="15" hidden="1" outlineLevel="1" thickBot="1">
      <c r="A9" s="47">
        <v>1</v>
      </c>
      <c r="B9" s="52">
        <f>ROUND(C9*1.2,2)</f>
        <v>85.19</v>
      </c>
      <c r="C9" s="52">
        <f>IF(MIN(MAX(ROUND(ROUND('Loonschijven_Tranches salariale'!$Q8*0.6,4)*Basisbedragen!$I$7,2),ROUND(Basisbedragen!$D$47*Basisbedragen!$I$7,2)),ROUND(ROUND(Basisbedragen!$D$30*0.6,4)*Basisbedragen!$I$7,2))&lt;= Basisbedragen!$I$8,MIN(MAX(ROUND(ROUND('Loonschijven_Tranches salariale'!$Q8*0.6,4)*Basisbedragen!$I$2,2),ROUND(Basisbedragen!$D$47*Basisbedragen!$I$2,2)),ROUND(ROUND(Basisbedragen!$D$30*0.6,4)*Basisbedragen!$I$2,2)),MIN(MAX(ROUND(ROUND('Loonschijven_Tranches salariale'!$Q8*0.6,4)*Basisbedragen!$I$7,2),ROUND(Basisbedragen!$D$47*Basisbedragen!$I$7,2)),ROUND(ROUND(Basisbedragen!$D$30*0.6,4)*Basisbedragen!$I$7,2))+Basisbedragen!$I$10)</f>
        <v>70.989999999999995</v>
      </c>
      <c r="E9" s="52">
        <f>MIN(MAX(ROUND(ROUND('Loonschijven_Tranches salariale'!$Q8*0.6,4)*Basisbedragen!$I$2,2),ROUND(Basisbedragen!$D$44*Basisbedragen!$I$2,2)),ROUND(ROUND(Basisbedragen!$D$32*0.6,4)*Basisbedragen!$I$2,2))</f>
        <v>68.63</v>
      </c>
      <c r="F9" s="52">
        <f>MIN(MAX(ROUND(ROUND('Loonschijven_Tranches salariale'!$Q8*0.6,4)*Basisbedragen!$I$2,2),ROUND(Basisbedragen!$D$45*Basisbedragen!$I$2,2)),ROUND(ROUND(Basisbedragen!$D$32*0.6,4)*Basisbedragen!$I$2,2))</f>
        <v>55.63</v>
      </c>
      <c r="G9" s="338">
        <f>MIN(MAX(ROUND(ROUND('Loonschijven_Tranches salariale'!$Q8*0.6,4)*Basisbedragen!$I$2,2),ROUND(Basisbedragen!$D$46*Basisbedragen!$I$2,2)),ROUND(ROUND(Basisbedragen!$D$32*0.6,4)*Basisbedragen!$I$2,2))</f>
        <v>49.43</v>
      </c>
      <c r="H9" s="348"/>
      <c r="I9" s="52">
        <f>MIN(MAX(ROUND(ROUND('Loonschijven_Tranches salariale'!$Q8*0.6,4)*Basisbedragen!$I$2,2),ROUND(Basisbedragen!$D$77*Basisbedragen!$I$2,2)),ROUND(ROUND(Basisbedragen!$D$29*0.6,4)*Basisbedragen!$I$2,2))</f>
        <v>73.98</v>
      </c>
      <c r="J9" s="52">
        <f>MIN(MAX(ROUND(ROUND('Loonschijven_Tranches salariale'!$Q8*0.6,4)*Basisbedragen!$I$2,2),ROUND(Basisbedragen!$D$78*Basisbedragen!$I$2,2)),ROUND(ROUND(Basisbedragen!$D$29*0.6,4)*Basisbedragen!$I$2,2))</f>
        <v>65.17</v>
      </c>
      <c r="L9" s="52">
        <f>ROUND(M9*1.2,2)</f>
        <v>42.6</v>
      </c>
      <c r="M9" s="52">
        <f>ROUND(MIN(MAX(ROUND(ROUND('Loonschijven_Tranches salariale'!$Q8*0.6,4)*Basisbedragen!$I$2,2),ROUND(Basisbedragen!$D$47*Basisbedragen!$I$2,2)),ROUND(ROUND(Basisbedragen!$D$30*0.6,4)*Basisbedragen!$I$2,2))/2,2)</f>
        <v>35.5</v>
      </c>
      <c r="O9" s="52">
        <f t="shared" si="2"/>
        <v>34.32</v>
      </c>
      <c r="P9" s="52">
        <f t="shared" si="2"/>
        <v>27.82</v>
      </c>
      <c r="Q9" s="52">
        <f t="shared" si="2"/>
        <v>24.72</v>
      </c>
      <c r="T9" s="160"/>
    </row>
    <row r="10" spans="1:24" ht="15" hidden="1" outlineLevel="1" thickBot="1">
      <c r="A10" s="47">
        <f>A9+1</f>
        <v>2</v>
      </c>
      <c r="B10" s="52">
        <f t="shared" ref="B10:B72" si="3">ROUND(C10*1.2,2)</f>
        <v>85.19</v>
      </c>
      <c r="C10" s="52">
        <f>IF(MIN(MAX(ROUND(ROUND('Loonschijven_Tranches salariale'!$Q9*0.6,4)*Basisbedragen!$I$7,2),ROUND(Basisbedragen!$D$47*Basisbedragen!$I$7,2)),ROUND(ROUND(Basisbedragen!$D$30*0.6,4)*Basisbedragen!$I$7,2))&lt;= Basisbedragen!$I$8,MIN(MAX(ROUND(ROUND('Loonschijven_Tranches salariale'!$Q9*0.6,4)*Basisbedragen!$I$2,2),ROUND(Basisbedragen!$D$47*Basisbedragen!$I$2,2)),ROUND(ROUND(Basisbedragen!$D$30*0.6,4)*Basisbedragen!$I$2,2)),MIN(MAX(ROUND(ROUND('Loonschijven_Tranches salariale'!$Q9*0.6,4)*Basisbedragen!$I$7,2),ROUND(Basisbedragen!$D$47*Basisbedragen!$I$7,2)),ROUND(ROUND(Basisbedragen!$D$30*0.6,4)*Basisbedragen!$I$7,2))+Basisbedragen!$I$10)</f>
        <v>70.989999999999995</v>
      </c>
      <c r="E10" s="52">
        <f>MIN(MAX(ROUND(ROUND('Loonschijven_Tranches salariale'!$Q9*0.6,4)*Basisbedragen!$I$2,2),ROUND(Basisbedragen!$D$44*Basisbedragen!$I$2,2)),ROUND(ROUND(Basisbedragen!$D$32*0.6,4)*Basisbedragen!$I$2,2))</f>
        <v>68.63</v>
      </c>
      <c r="F10" s="52">
        <f>MIN(MAX(ROUND(ROUND('Loonschijven_Tranches salariale'!$Q9*0.6,4)*Basisbedragen!$I$2,2),ROUND(Basisbedragen!$D$45*Basisbedragen!$I$2,2)),ROUND(ROUND(Basisbedragen!$D$32*0.6,4)*Basisbedragen!$I$2,2))</f>
        <v>55.63</v>
      </c>
      <c r="G10" s="338">
        <f>MIN(MAX(ROUND(ROUND('Loonschijven_Tranches salariale'!$Q9*0.6,4)*Basisbedragen!$I$2,2),ROUND(Basisbedragen!$D$46*Basisbedragen!$I$2,2)),ROUND(ROUND(Basisbedragen!$D$32*0.6,4)*Basisbedragen!$I$2,2))</f>
        <v>49.43</v>
      </c>
      <c r="H10" s="348"/>
      <c r="I10" s="52">
        <f>MIN(MAX(ROUND(ROUND('Loonschijven_Tranches salariale'!$Q9*0.6,4)*Basisbedragen!$I$2,2),ROUND(Basisbedragen!$D$77*Basisbedragen!$I$2,2)),ROUND(ROUND(Basisbedragen!$D$29*0.6,4)*Basisbedragen!$I$2,2))</f>
        <v>73.98</v>
      </c>
      <c r="J10" s="52">
        <f>MIN(MAX(ROUND(ROUND('Loonschijven_Tranches salariale'!$Q9*0.6,4)*Basisbedragen!$I$2,2),ROUND(Basisbedragen!$D$78*Basisbedragen!$I$2,2)),ROUND(ROUND(Basisbedragen!$D$29*0.6,4)*Basisbedragen!$I$2,2))</f>
        <v>65.17</v>
      </c>
      <c r="L10" s="52">
        <f t="shared" ref="L10:L73" si="4">ROUND(M10*1.2,2)</f>
        <v>42.6</v>
      </c>
      <c r="M10" s="52">
        <f>ROUND(MIN(MAX(ROUND(ROUND('Loonschijven_Tranches salariale'!$Q9*0.6,4)*Basisbedragen!$I$2,2),ROUND(Basisbedragen!$D$47*Basisbedragen!$I$2,2)),ROUND(ROUND(Basisbedragen!$D$30*0.6,4)*Basisbedragen!$I$2,2))/2,2)</f>
        <v>35.5</v>
      </c>
      <c r="O10" s="52">
        <f t="shared" ref="O10:O67" si="5">ROUND(E10/2,2)</f>
        <v>34.32</v>
      </c>
      <c r="P10" s="52">
        <f t="shared" ref="P10:P67" si="6">ROUND(F10/2,2)</f>
        <v>27.82</v>
      </c>
      <c r="Q10" s="52">
        <f t="shared" ref="Q10:Q67" si="7">ROUND(G10/2,2)</f>
        <v>24.72</v>
      </c>
      <c r="T10" s="160"/>
    </row>
    <row r="11" spans="1:24" ht="15" hidden="1" outlineLevel="1" thickBot="1">
      <c r="A11" s="47">
        <f t="shared" ref="A11:A74" si="8">A10+1</f>
        <v>3</v>
      </c>
      <c r="B11" s="52">
        <f t="shared" si="3"/>
        <v>85.19</v>
      </c>
      <c r="C11" s="52">
        <f>IF(MIN(MAX(ROUND(ROUND('Loonschijven_Tranches salariale'!$Q10*0.6,4)*Basisbedragen!$I$7,2),ROUND(Basisbedragen!$D$47*Basisbedragen!$I$7,2)),ROUND(ROUND(Basisbedragen!$D$30*0.6,4)*Basisbedragen!$I$7,2))&lt;= Basisbedragen!$I$8,MIN(MAX(ROUND(ROUND('Loonschijven_Tranches salariale'!$Q10*0.6,4)*Basisbedragen!$I$2,2),ROUND(Basisbedragen!$D$47*Basisbedragen!$I$2,2)),ROUND(ROUND(Basisbedragen!$D$30*0.6,4)*Basisbedragen!$I$2,2)),MIN(MAX(ROUND(ROUND('Loonschijven_Tranches salariale'!$Q10*0.6,4)*Basisbedragen!$I$7,2),ROUND(Basisbedragen!$D$47*Basisbedragen!$I$7,2)),ROUND(ROUND(Basisbedragen!$D$30*0.6,4)*Basisbedragen!$I$7,2))+Basisbedragen!$I$10)</f>
        <v>70.989999999999995</v>
      </c>
      <c r="E11" s="52">
        <f>MIN(MAX(ROUND(ROUND('Loonschijven_Tranches salariale'!$Q10*0.6,4)*Basisbedragen!$I$2,2),ROUND(Basisbedragen!$D$44*Basisbedragen!$I$2,2)),ROUND(ROUND(Basisbedragen!$D$32*0.6,4)*Basisbedragen!$I$2,2))</f>
        <v>68.63</v>
      </c>
      <c r="F11" s="52">
        <f>MIN(MAX(ROUND(ROUND('Loonschijven_Tranches salariale'!$Q10*0.6,4)*Basisbedragen!$I$2,2),ROUND(Basisbedragen!$D$45*Basisbedragen!$I$2,2)),ROUND(ROUND(Basisbedragen!$D$32*0.6,4)*Basisbedragen!$I$2,2))</f>
        <v>55.63</v>
      </c>
      <c r="G11" s="338">
        <f>MIN(MAX(ROUND(ROUND('Loonschijven_Tranches salariale'!$Q10*0.6,4)*Basisbedragen!$I$2,2),ROUND(Basisbedragen!$D$46*Basisbedragen!$I$2,2)),ROUND(ROUND(Basisbedragen!$D$32*0.6,4)*Basisbedragen!$I$2,2))</f>
        <v>49.43</v>
      </c>
      <c r="H11" s="348"/>
      <c r="I11" s="52">
        <f>MIN(MAX(ROUND(ROUND('Loonschijven_Tranches salariale'!$Q10*0.6,4)*Basisbedragen!$I$2,2),ROUND(Basisbedragen!$D$77*Basisbedragen!$I$2,2)),ROUND(ROUND(Basisbedragen!$D$29*0.6,4)*Basisbedragen!$I$2,2))</f>
        <v>73.98</v>
      </c>
      <c r="J11" s="52">
        <f>MIN(MAX(ROUND(ROUND('Loonschijven_Tranches salariale'!$Q10*0.6,4)*Basisbedragen!$I$2,2),ROUND(Basisbedragen!$D$78*Basisbedragen!$I$2,2)),ROUND(ROUND(Basisbedragen!$D$29*0.6,4)*Basisbedragen!$I$2,2))</f>
        <v>65.17</v>
      </c>
      <c r="L11" s="52">
        <f t="shared" si="4"/>
        <v>42.6</v>
      </c>
      <c r="M11" s="52">
        <f>ROUND(MIN(MAX(ROUND(ROUND('Loonschijven_Tranches salariale'!$Q10*0.6,4)*Basisbedragen!$I$2,2),ROUND(Basisbedragen!$D$47*Basisbedragen!$I$2,2)),ROUND(ROUND(Basisbedragen!$D$30*0.6,4)*Basisbedragen!$I$2,2))/2,2)</f>
        <v>35.5</v>
      </c>
      <c r="O11" s="52">
        <f t="shared" si="5"/>
        <v>34.32</v>
      </c>
      <c r="P11" s="52">
        <f t="shared" si="6"/>
        <v>27.82</v>
      </c>
      <c r="Q11" s="52">
        <f t="shared" si="7"/>
        <v>24.72</v>
      </c>
      <c r="T11" s="160"/>
    </row>
    <row r="12" spans="1:24" ht="15" hidden="1" outlineLevel="1" thickBot="1">
      <c r="A12" s="47">
        <f t="shared" si="8"/>
        <v>4</v>
      </c>
      <c r="B12" s="52">
        <f t="shared" si="3"/>
        <v>85.19</v>
      </c>
      <c r="C12" s="52">
        <f>IF(MIN(MAX(ROUND(ROUND('Loonschijven_Tranches salariale'!$Q11*0.6,4)*Basisbedragen!$I$7,2),ROUND(Basisbedragen!$D$47*Basisbedragen!$I$7,2)),ROUND(ROUND(Basisbedragen!$D$30*0.6,4)*Basisbedragen!$I$7,2))&lt;= Basisbedragen!$I$8,MIN(MAX(ROUND(ROUND('Loonschijven_Tranches salariale'!$Q11*0.6,4)*Basisbedragen!$I$2,2),ROUND(Basisbedragen!$D$47*Basisbedragen!$I$2,2)),ROUND(ROUND(Basisbedragen!$D$30*0.6,4)*Basisbedragen!$I$2,2)),MIN(MAX(ROUND(ROUND('Loonschijven_Tranches salariale'!$Q11*0.6,4)*Basisbedragen!$I$7,2),ROUND(Basisbedragen!$D$47*Basisbedragen!$I$7,2)),ROUND(ROUND(Basisbedragen!$D$30*0.6,4)*Basisbedragen!$I$7,2))+Basisbedragen!$I$10)</f>
        <v>70.989999999999995</v>
      </c>
      <c r="E12" s="52">
        <f>MIN(MAX(ROUND(ROUND('Loonschijven_Tranches salariale'!$Q11*0.6,4)*Basisbedragen!$I$2,2),ROUND(Basisbedragen!$D$44*Basisbedragen!$I$2,2)),ROUND(ROUND(Basisbedragen!$D$32*0.6,4)*Basisbedragen!$I$2,2))</f>
        <v>68.63</v>
      </c>
      <c r="F12" s="52">
        <f>MIN(MAX(ROUND(ROUND('Loonschijven_Tranches salariale'!$Q11*0.6,4)*Basisbedragen!$I$2,2),ROUND(Basisbedragen!$D$45*Basisbedragen!$I$2,2)),ROUND(ROUND(Basisbedragen!$D$32*0.6,4)*Basisbedragen!$I$2,2))</f>
        <v>55.63</v>
      </c>
      <c r="G12" s="338">
        <f>MIN(MAX(ROUND(ROUND('Loonschijven_Tranches salariale'!$Q11*0.6,4)*Basisbedragen!$I$2,2),ROUND(Basisbedragen!$D$46*Basisbedragen!$I$2,2)),ROUND(ROUND(Basisbedragen!$D$32*0.6,4)*Basisbedragen!$I$2,2))</f>
        <v>49.43</v>
      </c>
      <c r="H12" s="348"/>
      <c r="I12" s="52">
        <f>MIN(MAX(ROUND(ROUND('Loonschijven_Tranches salariale'!$Q11*0.6,4)*Basisbedragen!$I$2,2),ROUND(Basisbedragen!$D$77*Basisbedragen!$I$2,2)),ROUND(ROUND(Basisbedragen!$D$29*0.6,4)*Basisbedragen!$I$2,2))</f>
        <v>73.98</v>
      </c>
      <c r="J12" s="52">
        <f>MIN(MAX(ROUND(ROUND('Loonschijven_Tranches salariale'!$Q11*0.6,4)*Basisbedragen!$I$2,2),ROUND(Basisbedragen!$D$78*Basisbedragen!$I$2,2)),ROUND(ROUND(Basisbedragen!$D$29*0.6,4)*Basisbedragen!$I$2,2))</f>
        <v>65.17</v>
      </c>
      <c r="L12" s="52">
        <f t="shared" si="4"/>
        <v>42.6</v>
      </c>
      <c r="M12" s="52">
        <f>ROUND(MIN(MAX(ROUND(ROUND('Loonschijven_Tranches salariale'!$Q11*0.6,4)*Basisbedragen!$I$2,2),ROUND(Basisbedragen!$D$47*Basisbedragen!$I$2,2)),ROUND(ROUND(Basisbedragen!$D$30*0.6,4)*Basisbedragen!$I$2,2))/2,2)</f>
        <v>35.5</v>
      </c>
      <c r="O12" s="52">
        <f t="shared" si="5"/>
        <v>34.32</v>
      </c>
      <c r="P12" s="52">
        <f t="shared" si="6"/>
        <v>27.82</v>
      </c>
      <c r="Q12" s="52">
        <f t="shared" si="7"/>
        <v>24.72</v>
      </c>
      <c r="T12" s="160"/>
    </row>
    <row r="13" spans="1:24" ht="15" hidden="1" outlineLevel="1" thickBot="1">
      <c r="A13" s="47">
        <f t="shared" si="8"/>
        <v>5</v>
      </c>
      <c r="B13" s="52">
        <f t="shared" si="3"/>
        <v>85.19</v>
      </c>
      <c r="C13" s="52">
        <f>IF(MIN(MAX(ROUND(ROUND('Loonschijven_Tranches salariale'!$Q12*0.6,4)*Basisbedragen!$I$7,2),ROUND(Basisbedragen!$D$47*Basisbedragen!$I$7,2)),ROUND(ROUND(Basisbedragen!$D$30*0.6,4)*Basisbedragen!$I$7,2))&lt;= Basisbedragen!$I$8,MIN(MAX(ROUND(ROUND('Loonschijven_Tranches salariale'!$Q12*0.6,4)*Basisbedragen!$I$2,2),ROUND(Basisbedragen!$D$47*Basisbedragen!$I$2,2)),ROUND(ROUND(Basisbedragen!$D$30*0.6,4)*Basisbedragen!$I$2,2)),MIN(MAX(ROUND(ROUND('Loonschijven_Tranches salariale'!$Q12*0.6,4)*Basisbedragen!$I$7,2),ROUND(Basisbedragen!$D$47*Basisbedragen!$I$7,2)),ROUND(ROUND(Basisbedragen!$D$30*0.6,4)*Basisbedragen!$I$7,2))+Basisbedragen!$I$10)</f>
        <v>70.989999999999995</v>
      </c>
      <c r="E13" s="52">
        <f>MIN(MAX(ROUND(ROUND('Loonschijven_Tranches salariale'!$Q12*0.6,4)*Basisbedragen!$I$2,2),ROUND(Basisbedragen!$D$44*Basisbedragen!$I$2,2)),ROUND(ROUND(Basisbedragen!$D$32*0.6,4)*Basisbedragen!$I$2,2))</f>
        <v>68.63</v>
      </c>
      <c r="F13" s="52">
        <f>MIN(MAX(ROUND(ROUND('Loonschijven_Tranches salariale'!$Q12*0.6,4)*Basisbedragen!$I$2,2),ROUND(Basisbedragen!$D$45*Basisbedragen!$I$2,2)),ROUND(ROUND(Basisbedragen!$D$32*0.6,4)*Basisbedragen!$I$2,2))</f>
        <v>55.63</v>
      </c>
      <c r="G13" s="338">
        <f>MIN(MAX(ROUND(ROUND('Loonschijven_Tranches salariale'!$Q12*0.6,4)*Basisbedragen!$I$2,2),ROUND(Basisbedragen!$D$46*Basisbedragen!$I$2,2)),ROUND(ROUND(Basisbedragen!$D$32*0.6,4)*Basisbedragen!$I$2,2))</f>
        <v>49.43</v>
      </c>
      <c r="I13" s="52">
        <f>MIN(MAX(ROUND(ROUND('Loonschijven_Tranches salariale'!$Q12*0.6,4)*Basisbedragen!$I$2,2),ROUND(Basisbedragen!$D$77*Basisbedragen!$I$2,2)),ROUND(ROUND(Basisbedragen!$D$29*0.6,4)*Basisbedragen!$I$2,2))</f>
        <v>73.98</v>
      </c>
      <c r="J13" s="52">
        <f>MIN(MAX(ROUND(ROUND('Loonschijven_Tranches salariale'!$Q12*0.6,4)*Basisbedragen!$I$2,2),ROUND(Basisbedragen!$D$78*Basisbedragen!$I$2,2)),ROUND(ROUND(Basisbedragen!$D$29*0.6,4)*Basisbedragen!$I$2,2))</f>
        <v>65.17</v>
      </c>
      <c r="L13" s="52">
        <f t="shared" si="4"/>
        <v>42.6</v>
      </c>
      <c r="M13" s="52">
        <f>ROUND(MIN(MAX(ROUND(ROUND('Loonschijven_Tranches salariale'!$Q12*0.6,4)*Basisbedragen!$I$2,2),ROUND(Basisbedragen!$D$47*Basisbedragen!$I$2,2)),ROUND(ROUND(Basisbedragen!$D$30*0.6,4)*Basisbedragen!$I$2,2))/2,2)</f>
        <v>35.5</v>
      </c>
      <c r="O13" s="52">
        <f t="shared" si="5"/>
        <v>34.32</v>
      </c>
      <c r="P13" s="52">
        <f t="shared" si="6"/>
        <v>27.82</v>
      </c>
      <c r="Q13" s="52">
        <f t="shared" si="7"/>
        <v>24.72</v>
      </c>
      <c r="T13" s="160"/>
    </row>
    <row r="14" spans="1:24" ht="15" hidden="1" outlineLevel="1" thickBot="1">
      <c r="A14" s="47">
        <f t="shared" si="8"/>
        <v>6</v>
      </c>
      <c r="B14" s="52">
        <f t="shared" si="3"/>
        <v>85.19</v>
      </c>
      <c r="C14" s="52">
        <f>IF(MIN(MAX(ROUND(ROUND('Loonschijven_Tranches salariale'!$Q13*0.6,4)*Basisbedragen!$I$7,2),ROUND(Basisbedragen!$D$47*Basisbedragen!$I$7,2)),ROUND(ROUND(Basisbedragen!$D$30*0.6,4)*Basisbedragen!$I$7,2))&lt;= Basisbedragen!$I$8,MIN(MAX(ROUND(ROUND('Loonschijven_Tranches salariale'!$Q13*0.6,4)*Basisbedragen!$I$2,2),ROUND(Basisbedragen!$D$47*Basisbedragen!$I$2,2)),ROUND(ROUND(Basisbedragen!$D$30*0.6,4)*Basisbedragen!$I$2,2)),MIN(MAX(ROUND(ROUND('Loonschijven_Tranches salariale'!$Q13*0.6,4)*Basisbedragen!$I$7,2),ROUND(Basisbedragen!$D$47*Basisbedragen!$I$7,2)),ROUND(ROUND(Basisbedragen!$D$30*0.6,4)*Basisbedragen!$I$7,2))+Basisbedragen!$I$10)</f>
        <v>70.989999999999995</v>
      </c>
      <c r="E14" s="52">
        <f>MIN(MAX(ROUND(ROUND('Loonschijven_Tranches salariale'!$Q13*0.6,4)*Basisbedragen!$I$2,2),ROUND(Basisbedragen!$D$44*Basisbedragen!$I$2,2)),ROUND(ROUND(Basisbedragen!$D$32*0.6,4)*Basisbedragen!$I$2,2))</f>
        <v>68.63</v>
      </c>
      <c r="F14" s="52">
        <f>MIN(MAX(ROUND(ROUND('Loonschijven_Tranches salariale'!$Q13*0.6,4)*Basisbedragen!$I$2,2),ROUND(Basisbedragen!$D$45*Basisbedragen!$I$2,2)),ROUND(ROUND(Basisbedragen!$D$32*0.6,4)*Basisbedragen!$I$2,2))</f>
        <v>55.63</v>
      </c>
      <c r="G14" s="338">
        <f>MIN(MAX(ROUND(ROUND('Loonschijven_Tranches salariale'!$Q13*0.6,4)*Basisbedragen!$I$2,2),ROUND(Basisbedragen!$D$46*Basisbedragen!$I$2,2)),ROUND(ROUND(Basisbedragen!$D$32*0.6,4)*Basisbedragen!$I$2,2))</f>
        <v>49.43</v>
      </c>
      <c r="H14" s="348"/>
      <c r="I14" s="52">
        <f>MIN(MAX(ROUND(ROUND('Loonschijven_Tranches salariale'!$Q13*0.6,4)*Basisbedragen!$I$2,2),ROUND(Basisbedragen!$D$77*Basisbedragen!$I$2,2)),ROUND(ROUND(Basisbedragen!$D$29*0.6,4)*Basisbedragen!$I$2,2))</f>
        <v>73.98</v>
      </c>
      <c r="J14" s="52">
        <f>MIN(MAX(ROUND(ROUND('Loonschijven_Tranches salariale'!$Q13*0.6,4)*Basisbedragen!$I$2,2),ROUND(Basisbedragen!$D$78*Basisbedragen!$I$2,2)),ROUND(ROUND(Basisbedragen!$D$29*0.6,4)*Basisbedragen!$I$2,2))</f>
        <v>65.17</v>
      </c>
      <c r="L14" s="52">
        <f t="shared" si="4"/>
        <v>42.6</v>
      </c>
      <c r="M14" s="52">
        <f>ROUND(MIN(MAX(ROUND(ROUND('Loonschijven_Tranches salariale'!$Q13*0.6,4)*Basisbedragen!$I$2,2),ROUND(Basisbedragen!$D$47*Basisbedragen!$I$2,2)),ROUND(ROUND(Basisbedragen!$D$30*0.6,4)*Basisbedragen!$I$2,2))/2,2)</f>
        <v>35.5</v>
      </c>
      <c r="O14" s="52">
        <f t="shared" si="5"/>
        <v>34.32</v>
      </c>
      <c r="P14" s="52">
        <f t="shared" si="6"/>
        <v>27.82</v>
      </c>
      <c r="Q14" s="52">
        <f t="shared" si="7"/>
        <v>24.72</v>
      </c>
      <c r="T14" s="160"/>
    </row>
    <row r="15" spans="1:24" ht="15" hidden="1" outlineLevel="1" thickBot="1">
      <c r="A15" s="47">
        <f t="shared" si="8"/>
        <v>7</v>
      </c>
      <c r="B15" s="52">
        <f t="shared" si="3"/>
        <v>85.19</v>
      </c>
      <c r="C15" s="52">
        <f>IF(MIN(MAX(ROUND(ROUND('Loonschijven_Tranches salariale'!$Q14*0.6,4)*Basisbedragen!$I$7,2),ROUND(Basisbedragen!$D$47*Basisbedragen!$I$7,2)),ROUND(ROUND(Basisbedragen!$D$30*0.6,4)*Basisbedragen!$I$7,2))&lt;= Basisbedragen!$I$8,MIN(MAX(ROUND(ROUND('Loonschijven_Tranches salariale'!$Q14*0.6,4)*Basisbedragen!$I$2,2),ROUND(Basisbedragen!$D$47*Basisbedragen!$I$2,2)),ROUND(ROUND(Basisbedragen!$D$30*0.6,4)*Basisbedragen!$I$2,2)),MIN(MAX(ROUND(ROUND('Loonschijven_Tranches salariale'!$Q14*0.6,4)*Basisbedragen!$I$7,2),ROUND(Basisbedragen!$D$47*Basisbedragen!$I$7,2)),ROUND(ROUND(Basisbedragen!$D$30*0.6,4)*Basisbedragen!$I$7,2))+Basisbedragen!$I$10)</f>
        <v>70.989999999999995</v>
      </c>
      <c r="E15" s="52">
        <f>MIN(MAX(ROUND(ROUND('Loonschijven_Tranches salariale'!$Q14*0.6,4)*Basisbedragen!$I$2,2),ROUND(Basisbedragen!$D$44*Basisbedragen!$I$2,2)),ROUND(ROUND(Basisbedragen!$D$32*0.6,4)*Basisbedragen!$I$2,2))</f>
        <v>68.63</v>
      </c>
      <c r="F15" s="52">
        <f>MIN(MAX(ROUND(ROUND('Loonschijven_Tranches salariale'!$Q14*0.6,4)*Basisbedragen!$I$2,2),ROUND(Basisbedragen!$D$45*Basisbedragen!$I$2,2)),ROUND(ROUND(Basisbedragen!$D$32*0.6,4)*Basisbedragen!$I$2,2))</f>
        <v>55.63</v>
      </c>
      <c r="G15" s="338">
        <f>MIN(MAX(ROUND(ROUND('Loonschijven_Tranches salariale'!$Q14*0.6,4)*Basisbedragen!$I$2,2),ROUND(Basisbedragen!$D$46*Basisbedragen!$I$2,2)),ROUND(ROUND(Basisbedragen!$D$32*0.6,4)*Basisbedragen!$I$2,2))</f>
        <v>49.43</v>
      </c>
      <c r="H15" s="348"/>
      <c r="I15" s="52">
        <f>MIN(MAX(ROUND(ROUND('Loonschijven_Tranches salariale'!$Q14*0.6,4)*Basisbedragen!$I$2,2),ROUND(Basisbedragen!$D$77*Basisbedragen!$I$2,2)),ROUND(ROUND(Basisbedragen!$D$29*0.6,4)*Basisbedragen!$I$2,2))</f>
        <v>73.98</v>
      </c>
      <c r="J15" s="52">
        <f>MIN(MAX(ROUND(ROUND('Loonschijven_Tranches salariale'!$Q14*0.6,4)*Basisbedragen!$I$2,2),ROUND(Basisbedragen!$D$78*Basisbedragen!$I$2,2)),ROUND(ROUND(Basisbedragen!$D$29*0.6,4)*Basisbedragen!$I$2,2))</f>
        <v>65.17</v>
      </c>
      <c r="L15" s="52">
        <f t="shared" si="4"/>
        <v>42.6</v>
      </c>
      <c r="M15" s="52">
        <f>ROUND(MIN(MAX(ROUND(ROUND('Loonschijven_Tranches salariale'!$Q14*0.6,4)*Basisbedragen!$I$2,2),ROUND(Basisbedragen!$D$47*Basisbedragen!$I$2,2)),ROUND(ROUND(Basisbedragen!$D$30*0.6,4)*Basisbedragen!$I$2,2))/2,2)</f>
        <v>35.5</v>
      </c>
      <c r="O15" s="52">
        <f t="shared" si="5"/>
        <v>34.32</v>
      </c>
      <c r="P15" s="52">
        <f t="shared" si="6"/>
        <v>27.82</v>
      </c>
      <c r="Q15" s="52">
        <f t="shared" si="7"/>
        <v>24.72</v>
      </c>
      <c r="T15" s="160"/>
    </row>
    <row r="16" spans="1:24" ht="15" hidden="1" outlineLevel="1" thickBot="1">
      <c r="A16" s="47">
        <f t="shared" si="8"/>
        <v>8</v>
      </c>
      <c r="B16" s="52">
        <f t="shared" si="3"/>
        <v>85.19</v>
      </c>
      <c r="C16" s="52">
        <f>IF(MIN(MAX(ROUND(ROUND('Loonschijven_Tranches salariale'!$Q15*0.6,4)*Basisbedragen!$I$7,2),ROUND(Basisbedragen!$D$47*Basisbedragen!$I$7,2)),ROUND(ROUND(Basisbedragen!$D$30*0.6,4)*Basisbedragen!$I$7,2))&lt;= Basisbedragen!$I$8,MIN(MAX(ROUND(ROUND('Loonschijven_Tranches salariale'!$Q15*0.6,4)*Basisbedragen!$I$2,2),ROUND(Basisbedragen!$D$47*Basisbedragen!$I$2,2)),ROUND(ROUND(Basisbedragen!$D$30*0.6,4)*Basisbedragen!$I$2,2)),MIN(MAX(ROUND(ROUND('Loonschijven_Tranches salariale'!$Q15*0.6,4)*Basisbedragen!$I$7,2),ROUND(Basisbedragen!$D$47*Basisbedragen!$I$7,2)),ROUND(ROUND(Basisbedragen!$D$30*0.6,4)*Basisbedragen!$I$7,2))+Basisbedragen!$I$10)</f>
        <v>70.989999999999995</v>
      </c>
      <c r="E16" s="52">
        <f>MIN(MAX(ROUND(ROUND('Loonschijven_Tranches salariale'!$Q15*0.6,4)*Basisbedragen!$I$2,2),ROUND(Basisbedragen!$D$44*Basisbedragen!$I$2,2)),ROUND(ROUND(Basisbedragen!$D$32*0.6,4)*Basisbedragen!$I$2,2))</f>
        <v>68.63</v>
      </c>
      <c r="F16" s="52">
        <f>MIN(MAX(ROUND(ROUND('Loonschijven_Tranches salariale'!$Q15*0.6,4)*Basisbedragen!$I$2,2),ROUND(Basisbedragen!$D$45*Basisbedragen!$I$2,2)),ROUND(ROUND(Basisbedragen!$D$32*0.6,4)*Basisbedragen!$I$2,2))</f>
        <v>55.63</v>
      </c>
      <c r="G16" s="338">
        <f>MIN(MAX(ROUND(ROUND('Loonschijven_Tranches salariale'!$Q15*0.6,4)*Basisbedragen!$I$2,2),ROUND(Basisbedragen!$D$46*Basisbedragen!$I$2,2)),ROUND(ROUND(Basisbedragen!$D$32*0.6,4)*Basisbedragen!$I$2,2))</f>
        <v>49.43</v>
      </c>
      <c r="H16" s="348"/>
      <c r="I16" s="52">
        <f>MIN(MAX(ROUND(ROUND('Loonschijven_Tranches salariale'!$Q15*0.6,4)*Basisbedragen!$I$2,2),ROUND(Basisbedragen!$D$77*Basisbedragen!$I$2,2)),ROUND(ROUND(Basisbedragen!$D$29*0.6,4)*Basisbedragen!$I$2,2))</f>
        <v>73.98</v>
      </c>
      <c r="J16" s="52">
        <f>MIN(MAX(ROUND(ROUND('Loonschijven_Tranches salariale'!$Q15*0.6,4)*Basisbedragen!$I$2,2),ROUND(Basisbedragen!$D$78*Basisbedragen!$I$2,2)),ROUND(ROUND(Basisbedragen!$D$29*0.6,4)*Basisbedragen!$I$2,2))</f>
        <v>65.17</v>
      </c>
      <c r="L16" s="52">
        <f t="shared" si="4"/>
        <v>42.6</v>
      </c>
      <c r="M16" s="52">
        <f>ROUND(MIN(MAX(ROUND(ROUND('Loonschijven_Tranches salariale'!$Q15*0.6,4)*Basisbedragen!$I$2,2),ROUND(Basisbedragen!$D$47*Basisbedragen!$I$2,2)),ROUND(ROUND(Basisbedragen!$D$30*0.6,4)*Basisbedragen!$I$2,2))/2,2)</f>
        <v>35.5</v>
      </c>
      <c r="O16" s="52">
        <f t="shared" si="5"/>
        <v>34.32</v>
      </c>
      <c r="P16" s="52">
        <f t="shared" si="6"/>
        <v>27.82</v>
      </c>
      <c r="Q16" s="52">
        <f t="shared" si="7"/>
        <v>24.72</v>
      </c>
      <c r="T16" s="160"/>
    </row>
    <row r="17" spans="1:20" ht="15" hidden="1" outlineLevel="1" thickBot="1">
      <c r="A17" s="47">
        <f t="shared" si="8"/>
        <v>9</v>
      </c>
      <c r="B17" s="52">
        <f t="shared" si="3"/>
        <v>85.19</v>
      </c>
      <c r="C17" s="52">
        <f>IF(MIN(MAX(ROUND(ROUND('Loonschijven_Tranches salariale'!$Q16*0.6,4)*Basisbedragen!$I$7,2),ROUND(Basisbedragen!$D$47*Basisbedragen!$I$7,2)),ROUND(ROUND(Basisbedragen!$D$30*0.6,4)*Basisbedragen!$I$7,2))&lt;= Basisbedragen!$I$8,MIN(MAX(ROUND(ROUND('Loonschijven_Tranches salariale'!$Q16*0.6,4)*Basisbedragen!$I$2,2),ROUND(Basisbedragen!$D$47*Basisbedragen!$I$2,2)),ROUND(ROUND(Basisbedragen!$D$30*0.6,4)*Basisbedragen!$I$2,2)),MIN(MAX(ROUND(ROUND('Loonschijven_Tranches salariale'!$Q16*0.6,4)*Basisbedragen!$I$7,2),ROUND(Basisbedragen!$D$47*Basisbedragen!$I$7,2)),ROUND(ROUND(Basisbedragen!$D$30*0.6,4)*Basisbedragen!$I$7,2))+Basisbedragen!$I$10)</f>
        <v>70.989999999999995</v>
      </c>
      <c r="E17" s="52">
        <f>MIN(MAX(ROUND(ROUND('Loonschijven_Tranches salariale'!$Q16*0.6,4)*Basisbedragen!$I$2,2),ROUND(Basisbedragen!$D$44*Basisbedragen!$I$2,2)),ROUND(ROUND(Basisbedragen!$D$32*0.6,4)*Basisbedragen!$I$2,2))</f>
        <v>68.63</v>
      </c>
      <c r="F17" s="52">
        <f>MIN(MAX(ROUND(ROUND('Loonschijven_Tranches salariale'!$Q16*0.6,4)*Basisbedragen!$I$2,2),ROUND(Basisbedragen!$D$45*Basisbedragen!$I$2,2)),ROUND(ROUND(Basisbedragen!$D$32*0.6,4)*Basisbedragen!$I$2,2))</f>
        <v>55.63</v>
      </c>
      <c r="G17" s="338">
        <f>MIN(MAX(ROUND(ROUND('Loonschijven_Tranches salariale'!$Q16*0.6,4)*Basisbedragen!$I$2,2),ROUND(Basisbedragen!$D$46*Basisbedragen!$I$2,2)),ROUND(ROUND(Basisbedragen!$D$32*0.6,4)*Basisbedragen!$I$2,2))</f>
        <v>49.43</v>
      </c>
      <c r="H17" s="348"/>
      <c r="I17" s="52">
        <f>MIN(MAX(ROUND(ROUND('Loonschijven_Tranches salariale'!$Q16*0.6,4)*Basisbedragen!$I$2,2),ROUND(Basisbedragen!$D$77*Basisbedragen!$I$2,2)),ROUND(ROUND(Basisbedragen!$D$29*0.6,4)*Basisbedragen!$I$2,2))</f>
        <v>73.98</v>
      </c>
      <c r="J17" s="52">
        <f>MIN(MAX(ROUND(ROUND('Loonschijven_Tranches salariale'!$Q16*0.6,4)*Basisbedragen!$I$2,2),ROUND(Basisbedragen!$D$78*Basisbedragen!$I$2,2)),ROUND(ROUND(Basisbedragen!$D$29*0.6,4)*Basisbedragen!$I$2,2))</f>
        <v>65.17</v>
      </c>
      <c r="L17" s="52">
        <f t="shared" si="4"/>
        <v>42.6</v>
      </c>
      <c r="M17" s="52">
        <f>ROUND(MIN(MAX(ROUND(ROUND('Loonschijven_Tranches salariale'!$Q16*0.6,4)*Basisbedragen!$I$2,2),ROUND(Basisbedragen!$D$47*Basisbedragen!$I$2,2)),ROUND(ROUND(Basisbedragen!$D$30*0.6,4)*Basisbedragen!$I$2,2))/2,2)</f>
        <v>35.5</v>
      </c>
      <c r="O17" s="52">
        <f t="shared" si="5"/>
        <v>34.32</v>
      </c>
      <c r="P17" s="52">
        <f t="shared" si="6"/>
        <v>27.82</v>
      </c>
      <c r="Q17" s="52">
        <f t="shared" si="7"/>
        <v>24.72</v>
      </c>
      <c r="T17" s="160"/>
    </row>
    <row r="18" spans="1:20" ht="15" hidden="1" outlineLevel="1" thickBot="1">
      <c r="A18" s="47">
        <f t="shared" si="8"/>
        <v>10</v>
      </c>
      <c r="B18" s="52">
        <f t="shared" si="3"/>
        <v>85.19</v>
      </c>
      <c r="C18" s="52">
        <f>IF(MIN(MAX(ROUND(ROUND('Loonschijven_Tranches salariale'!$Q17*0.6,4)*Basisbedragen!$I$7,2),ROUND(Basisbedragen!$D$47*Basisbedragen!$I$7,2)),ROUND(ROUND(Basisbedragen!$D$30*0.6,4)*Basisbedragen!$I$7,2))&lt;= Basisbedragen!$I$8,MIN(MAX(ROUND(ROUND('Loonschijven_Tranches salariale'!$Q17*0.6,4)*Basisbedragen!$I$2,2),ROUND(Basisbedragen!$D$47*Basisbedragen!$I$2,2)),ROUND(ROUND(Basisbedragen!$D$30*0.6,4)*Basisbedragen!$I$2,2)),MIN(MAX(ROUND(ROUND('Loonschijven_Tranches salariale'!$Q17*0.6,4)*Basisbedragen!$I$7,2),ROUND(Basisbedragen!$D$47*Basisbedragen!$I$7,2)),ROUND(ROUND(Basisbedragen!$D$30*0.6,4)*Basisbedragen!$I$7,2))+Basisbedragen!$I$10)</f>
        <v>70.989999999999995</v>
      </c>
      <c r="E18" s="52">
        <f>MIN(MAX(ROUND(ROUND('Loonschijven_Tranches salariale'!$Q17*0.6,4)*Basisbedragen!$I$2,2),ROUND(Basisbedragen!$D$44*Basisbedragen!$I$2,2)),ROUND(ROUND(Basisbedragen!$D$32*0.6,4)*Basisbedragen!$I$2,2))</f>
        <v>68.63</v>
      </c>
      <c r="F18" s="52">
        <f>MIN(MAX(ROUND(ROUND('Loonschijven_Tranches salariale'!$Q17*0.6,4)*Basisbedragen!$I$2,2),ROUND(Basisbedragen!$D$45*Basisbedragen!$I$2,2)),ROUND(ROUND(Basisbedragen!$D$32*0.6,4)*Basisbedragen!$I$2,2))</f>
        <v>55.63</v>
      </c>
      <c r="G18" s="338">
        <f>MIN(MAX(ROUND(ROUND('Loonschijven_Tranches salariale'!$Q17*0.6,4)*Basisbedragen!$I$2,2),ROUND(Basisbedragen!$D$46*Basisbedragen!$I$2,2)),ROUND(ROUND(Basisbedragen!$D$32*0.6,4)*Basisbedragen!$I$2,2))</f>
        <v>49.43</v>
      </c>
      <c r="I18" s="52">
        <f>MIN(MAX(ROUND(ROUND('Loonschijven_Tranches salariale'!$Q17*0.6,4)*Basisbedragen!$I$2,2),ROUND(Basisbedragen!$D$77*Basisbedragen!$I$2,2)),ROUND(ROUND(Basisbedragen!$D$29*0.6,4)*Basisbedragen!$I$2,2))</f>
        <v>73.98</v>
      </c>
      <c r="J18" s="52">
        <f>MIN(MAX(ROUND(ROUND('Loonschijven_Tranches salariale'!$Q17*0.6,4)*Basisbedragen!$I$2,2),ROUND(Basisbedragen!$D$78*Basisbedragen!$I$2,2)),ROUND(ROUND(Basisbedragen!$D$29*0.6,4)*Basisbedragen!$I$2,2))</f>
        <v>65.17</v>
      </c>
      <c r="L18" s="52">
        <f t="shared" si="4"/>
        <v>42.6</v>
      </c>
      <c r="M18" s="52">
        <f>ROUND(MIN(MAX(ROUND(ROUND('Loonschijven_Tranches salariale'!$Q17*0.6,4)*Basisbedragen!$I$2,2),ROUND(Basisbedragen!$D$47*Basisbedragen!$I$2,2)),ROUND(ROUND(Basisbedragen!$D$30*0.6,4)*Basisbedragen!$I$2,2))/2,2)</f>
        <v>35.5</v>
      </c>
      <c r="O18" s="52">
        <f t="shared" si="5"/>
        <v>34.32</v>
      </c>
      <c r="P18" s="52">
        <f t="shared" si="6"/>
        <v>27.82</v>
      </c>
      <c r="Q18" s="52">
        <f t="shared" si="7"/>
        <v>24.72</v>
      </c>
      <c r="T18" s="160"/>
    </row>
    <row r="19" spans="1:20" ht="15" hidden="1" outlineLevel="1" thickBot="1">
      <c r="A19" s="47">
        <f t="shared" si="8"/>
        <v>11</v>
      </c>
      <c r="B19" s="52">
        <f t="shared" si="3"/>
        <v>85.19</v>
      </c>
      <c r="C19" s="52">
        <f>IF(MIN(MAX(ROUND(ROUND('Loonschijven_Tranches salariale'!$Q18*0.6,4)*Basisbedragen!$I$7,2),ROUND(Basisbedragen!$D$47*Basisbedragen!$I$7,2)),ROUND(ROUND(Basisbedragen!$D$30*0.6,4)*Basisbedragen!$I$7,2))&lt;= Basisbedragen!$I$8,MIN(MAX(ROUND(ROUND('Loonschijven_Tranches salariale'!$Q18*0.6,4)*Basisbedragen!$I$2,2),ROUND(Basisbedragen!$D$47*Basisbedragen!$I$2,2)),ROUND(ROUND(Basisbedragen!$D$30*0.6,4)*Basisbedragen!$I$2,2)),MIN(MAX(ROUND(ROUND('Loonschijven_Tranches salariale'!$Q18*0.6,4)*Basisbedragen!$I$7,2),ROUND(Basisbedragen!$D$47*Basisbedragen!$I$7,2)),ROUND(ROUND(Basisbedragen!$D$30*0.6,4)*Basisbedragen!$I$7,2))+Basisbedragen!$I$10)</f>
        <v>70.989999999999995</v>
      </c>
      <c r="E19" s="52">
        <f>MIN(MAX(ROUND(ROUND('Loonschijven_Tranches salariale'!$Q18*0.6,4)*Basisbedragen!$I$2,2),ROUND(Basisbedragen!$D$44*Basisbedragen!$I$2,2)),ROUND(ROUND(Basisbedragen!$D$32*0.6,4)*Basisbedragen!$I$2,2))</f>
        <v>68.63</v>
      </c>
      <c r="F19" s="52">
        <f>MIN(MAX(ROUND(ROUND('Loonschijven_Tranches salariale'!$Q18*0.6,4)*Basisbedragen!$I$2,2),ROUND(Basisbedragen!$D$45*Basisbedragen!$I$2,2)),ROUND(ROUND(Basisbedragen!$D$32*0.6,4)*Basisbedragen!$I$2,2))</f>
        <v>55.63</v>
      </c>
      <c r="G19" s="338">
        <f>MIN(MAX(ROUND(ROUND('Loonschijven_Tranches salariale'!$Q18*0.6,4)*Basisbedragen!$I$2,2),ROUND(Basisbedragen!$D$46*Basisbedragen!$I$2,2)),ROUND(ROUND(Basisbedragen!$D$32*0.6,4)*Basisbedragen!$I$2,2))</f>
        <v>49.43</v>
      </c>
      <c r="H19" s="348"/>
      <c r="I19" s="52">
        <f>MIN(MAX(ROUND(ROUND('Loonschijven_Tranches salariale'!$Q18*0.6,4)*Basisbedragen!$I$2,2),ROUND(Basisbedragen!$D$77*Basisbedragen!$I$2,2)),ROUND(ROUND(Basisbedragen!$D$29*0.6,4)*Basisbedragen!$I$2,2))</f>
        <v>73.98</v>
      </c>
      <c r="J19" s="52">
        <f>MIN(MAX(ROUND(ROUND('Loonschijven_Tranches salariale'!$Q18*0.6,4)*Basisbedragen!$I$2,2),ROUND(Basisbedragen!$D$78*Basisbedragen!$I$2,2)),ROUND(ROUND(Basisbedragen!$D$29*0.6,4)*Basisbedragen!$I$2,2))</f>
        <v>65.17</v>
      </c>
      <c r="L19" s="52">
        <f t="shared" si="4"/>
        <v>42.6</v>
      </c>
      <c r="M19" s="52">
        <f>ROUND(MIN(MAX(ROUND(ROUND('Loonschijven_Tranches salariale'!$Q18*0.6,4)*Basisbedragen!$I$2,2),ROUND(Basisbedragen!$D$47*Basisbedragen!$I$2,2)),ROUND(ROUND(Basisbedragen!$D$30*0.6,4)*Basisbedragen!$I$2,2))/2,2)</f>
        <v>35.5</v>
      </c>
      <c r="O19" s="52">
        <f t="shared" si="5"/>
        <v>34.32</v>
      </c>
      <c r="P19" s="52">
        <f t="shared" si="6"/>
        <v>27.82</v>
      </c>
      <c r="Q19" s="52">
        <f t="shared" si="7"/>
        <v>24.72</v>
      </c>
      <c r="T19" s="160"/>
    </row>
    <row r="20" spans="1:20" ht="15" hidden="1" outlineLevel="1" thickBot="1">
      <c r="A20" s="47">
        <f t="shared" si="8"/>
        <v>12</v>
      </c>
      <c r="B20" s="52">
        <f t="shared" si="3"/>
        <v>85.19</v>
      </c>
      <c r="C20" s="52">
        <f>IF(MIN(MAX(ROUND(ROUND('Loonschijven_Tranches salariale'!$Q19*0.6,4)*Basisbedragen!$I$7,2),ROUND(Basisbedragen!$D$47*Basisbedragen!$I$7,2)),ROUND(ROUND(Basisbedragen!$D$30*0.6,4)*Basisbedragen!$I$7,2))&lt;= Basisbedragen!$I$8,MIN(MAX(ROUND(ROUND('Loonschijven_Tranches salariale'!$Q19*0.6,4)*Basisbedragen!$I$2,2),ROUND(Basisbedragen!$D$47*Basisbedragen!$I$2,2)),ROUND(ROUND(Basisbedragen!$D$30*0.6,4)*Basisbedragen!$I$2,2)),MIN(MAX(ROUND(ROUND('Loonschijven_Tranches salariale'!$Q19*0.6,4)*Basisbedragen!$I$7,2),ROUND(Basisbedragen!$D$47*Basisbedragen!$I$7,2)),ROUND(ROUND(Basisbedragen!$D$30*0.6,4)*Basisbedragen!$I$7,2))+Basisbedragen!$I$10)</f>
        <v>70.989999999999995</v>
      </c>
      <c r="E20" s="52">
        <f>MIN(MAX(ROUND(ROUND('Loonschijven_Tranches salariale'!$Q19*0.6,4)*Basisbedragen!$I$2,2),ROUND(Basisbedragen!$D$44*Basisbedragen!$I$2,2)),ROUND(ROUND(Basisbedragen!$D$32*0.6,4)*Basisbedragen!$I$2,2))</f>
        <v>68.63</v>
      </c>
      <c r="F20" s="52">
        <f>MIN(MAX(ROUND(ROUND('Loonschijven_Tranches salariale'!$Q19*0.6,4)*Basisbedragen!$I$2,2),ROUND(Basisbedragen!$D$45*Basisbedragen!$I$2,2)),ROUND(ROUND(Basisbedragen!$D$32*0.6,4)*Basisbedragen!$I$2,2))</f>
        <v>55.63</v>
      </c>
      <c r="G20" s="338">
        <f>MIN(MAX(ROUND(ROUND('Loonschijven_Tranches salariale'!$Q19*0.6,4)*Basisbedragen!$I$2,2),ROUND(Basisbedragen!$D$46*Basisbedragen!$I$2,2)),ROUND(ROUND(Basisbedragen!$D$32*0.6,4)*Basisbedragen!$I$2,2))</f>
        <v>49.43</v>
      </c>
      <c r="H20" s="348"/>
      <c r="I20" s="52">
        <f>MIN(MAX(ROUND(ROUND('Loonschijven_Tranches salariale'!$Q19*0.6,4)*Basisbedragen!$I$2,2),ROUND(Basisbedragen!$D$77*Basisbedragen!$I$2,2)),ROUND(ROUND(Basisbedragen!$D$29*0.6,4)*Basisbedragen!$I$2,2))</f>
        <v>73.98</v>
      </c>
      <c r="J20" s="52">
        <f>MIN(MAX(ROUND(ROUND('Loonschijven_Tranches salariale'!$Q19*0.6,4)*Basisbedragen!$I$2,2),ROUND(Basisbedragen!$D$78*Basisbedragen!$I$2,2)),ROUND(ROUND(Basisbedragen!$D$29*0.6,4)*Basisbedragen!$I$2,2))</f>
        <v>65.17</v>
      </c>
      <c r="L20" s="52">
        <f t="shared" si="4"/>
        <v>42.6</v>
      </c>
      <c r="M20" s="52">
        <f>ROUND(MIN(MAX(ROUND(ROUND('Loonschijven_Tranches salariale'!$Q19*0.6,4)*Basisbedragen!$I$2,2),ROUND(Basisbedragen!$D$47*Basisbedragen!$I$2,2)),ROUND(ROUND(Basisbedragen!$D$30*0.6,4)*Basisbedragen!$I$2,2))/2,2)</f>
        <v>35.5</v>
      </c>
      <c r="O20" s="52">
        <f t="shared" si="5"/>
        <v>34.32</v>
      </c>
      <c r="P20" s="52">
        <f t="shared" si="6"/>
        <v>27.82</v>
      </c>
      <c r="Q20" s="52">
        <f t="shared" si="7"/>
        <v>24.72</v>
      </c>
      <c r="T20" s="160"/>
    </row>
    <row r="21" spans="1:20" ht="15" hidden="1" outlineLevel="1" thickBot="1">
      <c r="A21" s="47">
        <f t="shared" si="8"/>
        <v>13</v>
      </c>
      <c r="B21" s="52">
        <f t="shared" si="3"/>
        <v>85.19</v>
      </c>
      <c r="C21" s="52">
        <f>IF(MIN(MAX(ROUND(ROUND('Loonschijven_Tranches salariale'!$Q20*0.6,4)*Basisbedragen!$I$7,2),ROUND(Basisbedragen!$D$47*Basisbedragen!$I$7,2)),ROUND(ROUND(Basisbedragen!$D$30*0.6,4)*Basisbedragen!$I$7,2))&lt;= Basisbedragen!$I$8,MIN(MAX(ROUND(ROUND('Loonschijven_Tranches salariale'!$Q20*0.6,4)*Basisbedragen!$I$2,2),ROUND(Basisbedragen!$D$47*Basisbedragen!$I$2,2)),ROUND(ROUND(Basisbedragen!$D$30*0.6,4)*Basisbedragen!$I$2,2)),MIN(MAX(ROUND(ROUND('Loonschijven_Tranches salariale'!$Q20*0.6,4)*Basisbedragen!$I$7,2),ROUND(Basisbedragen!$D$47*Basisbedragen!$I$7,2)),ROUND(ROUND(Basisbedragen!$D$30*0.6,4)*Basisbedragen!$I$7,2))+Basisbedragen!$I$10)</f>
        <v>70.989999999999995</v>
      </c>
      <c r="E21" s="52">
        <f>MIN(MAX(ROUND(ROUND('Loonschijven_Tranches salariale'!$Q20*0.6,4)*Basisbedragen!$I$2,2),ROUND(Basisbedragen!$D$44*Basisbedragen!$I$2,2)),ROUND(ROUND(Basisbedragen!$D$32*0.6,4)*Basisbedragen!$I$2,2))</f>
        <v>68.63</v>
      </c>
      <c r="F21" s="52">
        <f>MIN(MAX(ROUND(ROUND('Loonschijven_Tranches salariale'!$Q20*0.6,4)*Basisbedragen!$I$2,2),ROUND(Basisbedragen!$D$45*Basisbedragen!$I$2,2)),ROUND(ROUND(Basisbedragen!$D$32*0.6,4)*Basisbedragen!$I$2,2))</f>
        <v>55.63</v>
      </c>
      <c r="G21" s="338">
        <f>MIN(MAX(ROUND(ROUND('Loonschijven_Tranches salariale'!$Q20*0.6,4)*Basisbedragen!$I$2,2),ROUND(Basisbedragen!$D$46*Basisbedragen!$I$2,2)),ROUND(ROUND(Basisbedragen!$D$32*0.6,4)*Basisbedragen!$I$2,2))</f>
        <v>49.43</v>
      </c>
      <c r="H21" s="348"/>
      <c r="I21" s="52">
        <f>MIN(MAX(ROUND(ROUND('Loonschijven_Tranches salariale'!$Q20*0.6,4)*Basisbedragen!$I$2,2),ROUND(Basisbedragen!$D$77*Basisbedragen!$I$2,2)),ROUND(ROUND(Basisbedragen!$D$29*0.6,4)*Basisbedragen!$I$2,2))</f>
        <v>73.98</v>
      </c>
      <c r="J21" s="52">
        <f>MIN(MAX(ROUND(ROUND('Loonschijven_Tranches salariale'!$Q20*0.6,4)*Basisbedragen!$I$2,2),ROUND(Basisbedragen!$D$78*Basisbedragen!$I$2,2)),ROUND(ROUND(Basisbedragen!$D$29*0.6,4)*Basisbedragen!$I$2,2))</f>
        <v>65.17</v>
      </c>
      <c r="L21" s="52">
        <f t="shared" si="4"/>
        <v>42.6</v>
      </c>
      <c r="M21" s="52">
        <f>ROUND(MIN(MAX(ROUND(ROUND('Loonschijven_Tranches salariale'!$Q20*0.6,4)*Basisbedragen!$I$2,2),ROUND(Basisbedragen!$D$47*Basisbedragen!$I$2,2)),ROUND(ROUND(Basisbedragen!$D$30*0.6,4)*Basisbedragen!$I$2,2))/2,2)</f>
        <v>35.5</v>
      </c>
      <c r="O21" s="52">
        <f t="shared" si="5"/>
        <v>34.32</v>
      </c>
      <c r="P21" s="52">
        <f t="shared" si="6"/>
        <v>27.82</v>
      </c>
      <c r="Q21" s="52">
        <f t="shared" si="7"/>
        <v>24.72</v>
      </c>
      <c r="T21" s="160"/>
    </row>
    <row r="22" spans="1:20" ht="15" hidden="1" outlineLevel="1" thickBot="1">
      <c r="A22" s="47">
        <f t="shared" si="8"/>
        <v>14</v>
      </c>
      <c r="B22" s="52">
        <f t="shared" si="3"/>
        <v>85.19</v>
      </c>
      <c r="C22" s="52">
        <f>IF(MIN(MAX(ROUND(ROUND('Loonschijven_Tranches salariale'!$Q21*0.6,4)*Basisbedragen!$I$7,2),ROUND(Basisbedragen!$D$47*Basisbedragen!$I$7,2)),ROUND(ROUND(Basisbedragen!$D$30*0.6,4)*Basisbedragen!$I$7,2))&lt;= Basisbedragen!$I$8,MIN(MAX(ROUND(ROUND('Loonschijven_Tranches salariale'!$Q21*0.6,4)*Basisbedragen!$I$2,2),ROUND(Basisbedragen!$D$47*Basisbedragen!$I$2,2)),ROUND(ROUND(Basisbedragen!$D$30*0.6,4)*Basisbedragen!$I$2,2)),MIN(MAX(ROUND(ROUND('Loonschijven_Tranches salariale'!$Q21*0.6,4)*Basisbedragen!$I$7,2),ROUND(Basisbedragen!$D$47*Basisbedragen!$I$7,2)),ROUND(ROUND(Basisbedragen!$D$30*0.6,4)*Basisbedragen!$I$7,2))+Basisbedragen!$I$10)</f>
        <v>70.989999999999995</v>
      </c>
      <c r="E22" s="52">
        <f>MIN(MAX(ROUND(ROUND('Loonschijven_Tranches salariale'!$Q21*0.6,4)*Basisbedragen!$I$2,2),ROUND(Basisbedragen!$D$44*Basisbedragen!$I$2,2)),ROUND(ROUND(Basisbedragen!$D$32*0.6,4)*Basisbedragen!$I$2,2))</f>
        <v>68.63</v>
      </c>
      <c r="F22" s="52">
        <f>MIN(MAX(ROUND(ROUND('Loonschijven_Tranches salariale'!$Q21*0.6,4)*Basisbedragen!$I$2,2),ROUND(Basisbedragen!$D$45*Basisbedragen!$I$2,2)),ROUND(ROUND(Basisbedragen!$D$32*0.6,4)*Basisbedragen!$I$2,2))</f>
        <v>55.63</v>
      </c>
      <c r="G22" s="338">
        <f>MIN(MAX(ROUND(ROUND('Loonschijven_Tranches salariale'!$Q21*0.6,4)*Basisbedragen!$I$2,2),ROUND(Basisbedragen!$D$46*Basisbedragen!$I$2,2)),ROUND(ROUND(Basisbedragen!$D$32*0.6,4)*Basisbedragen!$I$2,2))</f>
        <v>49.43</v>
      </c>
      <c r="H22" s="348"/>
      <c r="I22" s="52">
        <f>MIN(MAX(ROUND(ROUND('Loonschijven_Tranches salariale'!$Q21*0.6,4)*Basisbedragen!$I$2,2),ROUND(Basisbedragen!$D$77*Basisbedragen!$I$2,2)),ROUND(ROUND(Basisbedragen!$D$29*0.6,4)*Basisbedragen!$I$2,2))</f>
        <v>73.98</v>
      </c>
      <c r="J22" s="52">
        <f>MIN(MAX(ROUND(ROUND('Loonschijven_Tranches salariale'!$Q21*0.6,4)*Basisbedragen!$I$2,2),ROUND(Basisbedragen!$D$78*Basisbedragen!$I$2,2)),ROUND(ROUND(Basisbedragen!$D$29*0.6,4)*Basisbedragen!$I$2,2))</f>
        <v>65.17</v>
      </c>
      <c r="L22" s="52">
        <f t="shared" si="4"/>
        <v>42.6</v>
      </c>
      <c r="M22" s="52">
        <f>ROUND(MIN(MAX(ROUND(ROUND('Loonschijven_Tranches salariale'!$Q21*0.6,4)*Basisbedragen!$I$2,2),ROUND(Basisbedragen!$D$47*Basisbedragen!$I$2,2)),ROUND(ROUND(Basisbedragen!$D$30*0.6,4)*Basisbedragen!$I$2,2))/2,2)</f>
        <v>35.5</v>
      </c>
      <c r="O22" s="52">
        <f t="shared" si="5"/>
        <v>34.32</v>
      </c>
      <c r="P22" s="52">
        <f t="shared" si="6"/>
        <v>27.82</v>
      </c>
      <c r="Q22" s="52">
        <f t="shared" si="7"/>
        <v>24.72</v>
      </c>
      <c r="T22" s="160"/>
    </row>
    <row r="23" spans="1:20" ht="15" hidden="1" outlineLevel="1" thickBot="1">
      <c r="A23" s="47">
        <f t="shared" si="8"/>
        <v>15</v>
      </c>
      <c r="B23" s="52">
        <f t="shared" si="3"/>
        <v>85.19</v>
      </c>
      <c r="C23" s="52">
        <f>IF(MIN(MAX(ROUND(ROUND('Loonschijven_Tranches salariale'!$Q22*0.6,4)*Basisbedragen!$I$7,2),ROUND(Basisbedragen!$D$47*Basisbedragen!$I$7,2)),ROUND(ROUND(Basisbedragen!$D$30*0.6,4)*Basisbedragen!$I$7,2))&lt;= Basisbedragen!$I$8,MIN(MAX(ROUND(ROUND('Loonschijven_Tranches salariale'!$Q22*0.6,4)*Basisbedragen!$I$2,2),ROUND(Basisbedragen!$D$47*Basisbedragen!$I$2,2)),ROUND(ROUND(Basisbedragen!$D$30*0.6,4)*Basisbedragen!$I$2,2)),MIN(MAX(ROUND(ROUND('Loonschijven_Tranches salariale'!$Q22*0.6,4)*Basisbedragen!$I$7,2),ROUND(Basisbedragen!$D$47*Basisbedragen!$I$7,2)),ROUND(ROUND(Basisbedragen!$D$30*0.6,4)*Basisbedragen!$I$7,2))+Basisbedragen!$I$10)</f>
        <v>70.989999999999995</v>
      </c>
      <c r="E23" s="52">
        <f>MIN(MAX(ROUND(ROUND('Loonschijven_Tranches salariale'!$Q22*0.6,4)*Basisbedragen!$I$2,2),ROUND(Basisbedragen!$D$44*Basisbedragen!$I$2,2)),ROUND(ROUND(Basisbedragen!$D$32*0.6,4)*Basisbedragen!$I$2,2))</f>
        <v>68.63</v>
      </c>
      <c r="F23" s="52">
        <f>MIN(MAX(ROUND(ROUND('Loonschijven_Tranches salariale'!$Q22*0.6,4)*Basisbedragen!$I$2,2),ROUND(Basisbedragen!$D$45*Basisbedragen!$I$2,2)),ROUND(ROUND(Basisbedragen!$D$32*0.6,4)*Basisbedragen!$I$2,2))</f>
        <v>55.63</v>
      </c>
      <c r="G23" s="338">
        <f>MIN(MAX(ROUND(ROUND('Loonschijven_Tranches salariale'!$Q22*0.6,4)*Basisbedragen!$I$2,2),ROUND(Basisbedragen!$D$46*Basisbedragen!$I$2,2)),ROUND(ROUND(Basisbedragen!$D$32*0.6,4)*Basisbedragen!$I$2,2))</f>
        <v>49.43</v>
      </c>
      <c r="I23" s="52">
        <f>MIN(MAX(ROUND(ROUND('Loonschijven_Tranches salariale'!$Q22*0.6,4)*Basisbedragen!$I$2,2),ROUND(Basisbedragen!$D$77*Basisbedragen!$I$2,2)),ROUND(ROUND(Basisbedragen!$D$29*0.6,4)*Basisbedragen!$I$2,2))</f>
        <v>73.98</v>
      </c>
      <c r="J23" s="52">
        <f>MIN(MAX(ROUND(ROUND('Loonschijven_Tranches salariale'!$Q22*0.6,4)*Basisbedragen!$I$2,2),ROUND(Basisbedragen!$D$78*Basisbedragen!$I$2,2)),ROUND(ROUND(Basisbedragen!$D$29*0.6,4)*Basisbedragen!$I$2,2))</f>
        <v>65.17</v>
      </c>
      <c r="L23" s="52">
        <f t="shared" si="4"/>
        <v>42.6</v>
      </c>
      <c r="M23" s="52">
        <f>ROUND(MIN(MAX(ROUND(ROUND('Loonschijven_Tranches salariale'!$Q22*0.6,4)*Basisbedragen!$I$2,2),ROUND(Basisbedragen!$D$47*Basisbedragen!$I$2,2)),ROUND(ROUND(Basisbedragen!$D$30*0.6,4)*Basisbedragen!$I$2,2))/2,2)</f>
        <v>35.5</v>
      </c>
      <c r="O23" s="52">
        <f t="shared" si="5"/>
        <v>34.32</v>
      </c>
      <c r="P23" s="52">
        <f t="shared" si="6"/>
        <v>27.82</v>
      </c>
      <c r="Q23" s="52">
        <f t="shared" si="7"/>
        <v>24.72</v>
      </c>
      <c r="T23" s="160"/>
    </row>
    <row r="24" spans="1:20" ht="15" hidden="1" outlineLevel="1" thickBot="1">
      <c r="A24" s="47">
        <f t="shared" si="8"/>
        <v>16</v>
      </c>
      <c r="B24" s="52">
        <f t="shared" si="3"/>
        <v>85.19</v>
      </c>
      <c r="C24" s="52">
        <f>IF(MIN(MAX(ROUND(ROUND('Loonschijven_Tranches salariale'!$Q23*0.6,4)*Basisbedragen!$I$7,2),ROUND(Basisbedragen!$D$47*Basisbedragen!$I$7,2)),ROUND(ROUND(Basisbedragen!$D$30*0.6,4)*Basisbedragen!$I$7,2))&lt;= Basisbedragen!$I$8,MIN(MAX(ROUND(ROUND('Loonschijven_Tranches salariale'!$Q23*0.6,4)*Basisbedragen!$I$2,2),ROUND(Basisbedragen!$D$47*Basisbedragen!$I$2,2)),ROUND(ROUND(Basisbedragen!$D$30*0.6,4)*Basisbedragen!$I$2,2)),MIN(MAX(ROUND(ROUND('Loonschijven_Tranches salariale'!$Q23*0.6,4)*Basisbedragen!$I$7,2),ROUND(Basisbedragen!$D$47*Basisbedragen!$I$7,2)),ROUND(ROUND(Basisbedragen!$D$30*0.6,4)*Basisbedragen!$I$7,2))+Basisbedragen!$I$10)</f>
        <v>70.989999999999995</v>
      </c>
      <c r="E24" s="52">
        <f>MIN(MAX(ROUND(ROUND('Loonschijven_Tranches salariale'!$Q23*0.6,4)*Basisbedragen!$I$2,2),ROUND(Basisbedragen!$D$44*Basisbedragen!$I$2,2)),ROUND(ROUND(Basisbedragen!$D$32*0.6,4)*Basisbedragen!$I$2,2))</f>
        <v>68.63</v>
      </c>
      <c r="F24" s="52">
        <f>MIN(MAX(ROUND(ROUND('Loonschijven_Tranches salariale'!$Q23*0.6,4)*Basisbedragen!$I$2,2),ROUND(Basisbedragen!$D$45*Basisbedragen!$I$2,2)),ROUND(ROUND(Basisbedragen!$D$32*0.6,4)*Basisbedragen!$I$2,2))</f>
        <v>55.63</v>
      </c>
      <c r="G24" s="338">
        <f>MIN(MAX(ROUND(ROUND('Loonschijven_Tranches salariale'!$Q23*0.6,4)*Basisbedragen!$I$2,2),ROUND(Basisbedragen!$D$46*Basisbedragen!$I$2,2)),ROUND(ROUND(Basisbedragen!$D$32*0.6,4)*Basisbedragen!$I$2,2))</f>
        <v>49.43</v>
      </c>
      <c r="H24" s="348"/>
      <c r="I24" s="52">
        <f>MIN(MAX(ROUND(ROUND('Loonschijven_Tranches salariale'!$Q23*0.6,4)*Basisbedragen!$I$2,2),ROUND(Basisbedragen!$D$77*Basisbedragen!$I$2,2)),ROUND(ROUND(Basisbedragen!$D$29*0.6,4)*Basisbedragen!$I$2,2))</f>
        <v>73.98</v>
      </c>
      <c r="J24" s="52">
        <f>MIN(MAX(ROUND(ROUND('Loonschijven_Tranches salariale'!$Q23*0.6,4)*Basisbedragen!$I$2,2),ROUND(Basisbedragen!$D$78*Basisbedragen!$I$2,2)),ROUND(ROUND(Basisbedragen!$D$29*0.6,4)*Basisbedragen!$I$2,2))</f>
        <v>65.17</v>
      </c>
      <c r="L24" s="52">
        <f t="shared" si="4"/>
        <v>42.6</v>
      </c>
      <c r="M24" s="52">
        <f>ROUND(MIN(MAX(ROUND(ROUND('Loonschijven_Tranches salariale'!$Q23*0.6,4)*Basisbedragen!$I$2,2),ROUND(Basisbedragen!$D$47*Basisbedragen!$I$2,2)),ROUND(ROUND(Basisbedragen!$D$30*0.6,4)*Basisbedragen!$I$2,2))/2,2)</f>
        <v>35.5</v>
      </c>
      <c r="O24" s="52">
        <f t="shared" si="5"/>
        <v>34.32</v>
      </c>
      <c r="P24" s="52">
        <f t="shared" si="6"/>
        <v>27.82</v>
      </c>
      <c r="Q24" s="52">
        <f t="shared" si="7"/>
        <v>24.72</v>
      </c>
      <c r="T24" s="160"/>
    </row>
    <row r="25" spans="1:20" ht="15" hidden="1" outlineLevel="1" thickBot="1">
      <c r="A25" s="47">
        <f t="shared" si="8"/>
        <v>17</v>
      </c>
      <c r="B25" s="52">
        <f t="shared" si="3"/>
        <v>85.19</v>
      </c>
      <c r="C25" s="52">
        <f>IF(MIN(MAX(ROUND(ROUND('Loonschijven_Tranches salariale'!$Q24*0.6,4)*Basisbedragen!$I$7,2),ROUND(Basisbedragen!$D$47*Basisbedragen!$I$7,2)),ROUND(ROUND(Basisbedragen!$D$30*0.6,4)*Basisbedragen!$I$7,2))&lt;= Basisbedragen!$I$8,MIN(MAX(ROUND(ROUND('Loonschijven_Tranches salariale'!$Q24*0.6,4)*Basisbedragen!$I$2,2),ROUND(Basisbedragen!$D$47*Basisbedragen!$I$2,2)),ROUND(ROUND(Basisbedragen!$D$30*0.6,4)*Basisbedragen!$I$2,2)),MIN(MAX(ROUND(ROUND('Loonschijven_Tranches salariale'!$Q24*0.6,4)*Basisbedragen!$I$7,2),ROUND(Basisbedragen!$D$47*Basisbedragen!$I$7,2)),ROUND(ROUND(Basisbedragen!$D$30*0.6,4)*Basisbedragen!$I$7,2))+Basisbedragen!$I$10)</f>
        <v>70.989999999999995</v>
      </c>
      <c r="E25" s="52">
        <f>MIN(MAX(ROUND(ROUND('Loonschijven_Tranches salariale'!$Q24*0.6,4)*Basisbedragen!$I$2,2),ROUND(Basisbedragen!$D$44*Basisbedragen!$I$2,2)),ROUND(ROUND(Basisbedragen!$D$32*0.6,4)*Basisbedragen!$I$2,2))</f>
        <v>68.63</v>
      </c>
      <c r="F25" s="52">
        <f>MIN(MAX(ROUND(ROUND('Loonschijven_Tranches salariale'!$Q24*0.6,4)*Basisbedragen!$I$2,2),ROUND(Basisbedragen!$D$45*Basisbedragen!$I$2,2)),ROUND(ROUND(Basisbedragen!$D$32*0.6,4)*Basisbedragen!$I$2,2))</f>
        <v>55.63</v>
      </c>
      <c r="G25" s="338">
        <f>MIN(MAX(ROUND(ROUND('Loonschijven_Tranches salariale'!$Q24*0.6,4)*Basisbedragen!$I$2,2),ROUND(Basisbedragen!$D$46*Basisbedragen!$I$2,2)),ROUND(ROUND(Basisbedragen!$D$32*0.6,4)*Basisbedragen!$I$2,2))</f>
        <v>49.43</v>
      </c>
      <c r="H25" s="348"/>
      <c r="I25" s="52">
        <f>MIN(MAX(ROUND(ROUND('Loonschijven_Tranches salariale'!$Q24*0.6,4)*Basisbedragen!$I$2,2),ROUND(Basisbedragen!$D$77*Basisbedragen!$I$2,2)),ROUND(ROUND(Basisbedragen!$D$29*0.6,4)*Basisbedragen!$I$2,2))</f>
        <v>73.98</v>
      </c>
      <c r="J25" s="52">
        <f>MIN(MAX(ROUND(ROUND('Loonschijven_Tranches salariale'!$Q24*0.6,4)*Basisbedragen!$I$2,2),ROUND(Basisbedragen!$D$78*Basisbedragen!$I$2,2)),ROUND(ROUND(Basisbedragen!$D$29*0.6,4)*Basisbedragen!$I$2,2))</f>
        <v>65.17</v>
      </c>
      <c r="L25" s="52">
        <f t="shared" si="4"/>
        <v>42.6</v>
      </c>
      <c r="M25" s="52">
        <f>ROUND(MIN(MAX(ROUND(ROUND('Loonschijven_Tranches salariale'!$Q24*0.6,4)*Basisbedragen!$I$2,2),ROUND(Basisbedragen!$D$47*Basisbedragen!$I$2,2)),ROUND(ROUND(Basisbedragen!$D$30*0.6,4)*Basisbedragen!$I$2,2))/2,2)</f>
        <v>35.5</v>
      </c>
      <c r="O25" s="52">
        <f t="shared" si="5"/>
        <v>34.32</v>
      </c>
      <c r="P25" s="52">
        <f t="shared" si="6"/>
        <v>27.82</v>
      </c>
      <c r="Q25" s="52">
        <f t="shared" si="7"/>
        <v>24.72</v>
      </c>
      <c r="T25" s="160"/>
    </row>
    <row r="26" spans="1:20" ht="15" hidden="1" outlineLevel="1" thickBot="1">
      <c r="A26" s="47">
        <f t="shared" si="8"/>
        <v>18</v>
      </c>
      <c r="B26" s="52">
        <f t="shared" si="3"/>
        <v>85.19</v>
      </c>
      <c r="C26" s="52">
        <f>IF(MIN(MAX(ROUND(ROUND('Loonschijven_Tranches salariale'!$Q25*0.6,4)*Basisbedragen!$I$7,2),ROUND(Basisbedragen!$D$47*Basisbedragen!$I$7,2)),ROUND(ROUND(Basisbedragen!$D$30*0.6,4)*Basisbedragen!$I$7,2))&lt;= Basisbedragen!$I$8,MIN(MAX(ROUND(ROUND('Loonschijven_Tranches salariale'!$Q25*0.6,4)*Basisbedragen!$I$2,2),ROUND(Basisbedragen!$D$47*Basisbedragen!$I$2,2)),ROUND(ROUND(Basisbedragen!$D$30*0.6,4)*Basisbedragen!$I$2,2)),MIN(MAX(ROUND(ROUND('Loonschijven_Tranches salariale'!$Q25*0.6,4)*Basisbedragen!$I$7,2),ROUND(Basisbedragen!$D$47*Basisbedragen!$I$7,2)),ROUND(ROUND(Basisbedragen!$D$30*0.6,4)*Basisbedragen!$I$7,2))+Basisbedragen!$I$10)</f>
        <v>70.989999999999995</v>
      </c>
      <c r="E26" s="52">
        <f>MIN(MAX(ROUND(ROUND('Loonschijven_Tranches salariale'!$Q25*0.6,4)*Basisbedragen!$I$2,2),ROUND(Basisbedragen!$D$44*Basisbedragen!$I$2,2)),ROUND(ROUND(Basisbedragen!$D$32*0.6,4)*Basisbedragen!$I$2,2))</f>
        <v>68.63</v>
      </c>
      <c r="F26" s="52">
        <f>MIN(MAX(ROUND(ROUND('Loonschijven_Tranches salariale'!$Q25*0.6,4)*Basisbedragen!$I$2,2),ROUND(Basisbedragen!$D$45*Basisbedragen!$I$2,2)),ROUND(ROUND(Basisbedragen!$D$32*0.6,4)*Basisbedragen!$I$2,2))</f>
        <v>55.63</v>
      </c>
      <c r="G26" s="338">
        <f>MIN(MAX(ROUND(ROUND('Loonschijven_Tranches salariale'!$Q25*0.6,4)*Basisbedragen!$I$2,2),ROUND(Basisbedragen!$D$46*Basisbedragen!$I$2,2)),ROUND(ROUND(Basisbedragen!$D$32*0.6,4)*Basisbedragen!$I$2,2))</f>
        <v>49.43</v>
      </c>
      <c r="H26" s="348"/>
      <c r="I26" s="52">
        <f>MIN(MAX(ROUND(ROUND('Loonschijven_Tranches salariale'!$Q25*0.6,4)*Basisbedragen!$I$2,2),ROUND(Basisbedragen!$D$77*Basisbedragen!$I$2,2)),ROUND(ROUND(Basisbedragen!$D$29*0.6,4)*Basisbedragen!$I$2,2))</f>
        <v>73.98</v>
      </c>
      <c r="J26" s="52">
        <f>MIN(MAX(ROUND(ROUND('Loonschijven_Tranches salariale'!$Q25*0.6,4)*Basisbedragen!$I$2,2),ROUND(Basisbedragen!$D$78*Basisbedragen!$I$2,2)),ROUND(ROUND(Basisbedragen!$D$29*0.6,4)*Basisbedragen!$I$2,2))</f>
        <v>65.17</v>
      </c>
      <c r="L26" s="52">
        <f t="shared" si="4"/>
        <v>42.6</v>
      </c>
      <c r="M26" s="52">
        <f>ROUND(MIN(MAX(ROUND(ROUND('Loonschijven_Tranches salariale'!$Q25*0.6,4)*Basisbedragen!$I$2,2),ROUND(Basisbedragen!$D$47*Basisbedragen!$I$2,2)),ROUND(ROUND(Basisbedragen!$D$30*0.6,4)*Basisbedragen!$I$2,2))/2,2)</f>
        <v>35.5</v>
      </c>
      <c r="O26" s="52">
        <f t="shared" si="5"/>
        <v>34.32</v>
      </c>
      <c r="P26" s="52">
        <f t="shared" si="6"/>
        <v>27.82</v>
      </c>
      <c r="Q26" s="52">
        <f t="shared" si="7"/>
        <v>24.72</v>
      </c>
      <c r="T26" s="160"/>
    </row>
    <row r="27" spans="1:20" ht="15" hidden="1" outlineLevel="1" thickBot="1">
      <c r="A27" s="47">
        <f t="shared" si="8"/>
        <v>19</v>
      </c>
      <c r="B27" s="52">
        <f t="shared" si="3"/>
        <v>85.19</v>
      </c>
      <c r="C27" s="52">
        <f>IF(MIN(MAX(ROUND(ROUND('Loonschijven_Tranches salariale'!$Q26*0.6,4)*Basisbedragen!$I$7,2),ROUND(Basisbedragen!$D$47*Basisbedragen!$I$7,2)),ROUND(ROUND(Basisbedragen!$D$30*0.6,4)*Basisbedragen!$I$7,2))&lt;= Basisbedragen!$I$8,MIN(MAX(ROUND(ROUND('Loonschijven_Tranches salariale'!$Q26*0.6,4)*Basisbedragen!$I$2,2),ROUND(Basisbedragen!$D$47*Basisbedragen!$I$2,2)),ROUND(ROUND(Basisbedragen!$D$30*0.6,4)*Basisbedragen!$I$2,2)),MIN(MAX(ROUND(ROUND('Loonschijven_Tranches salariale'!$Q26*0.6,4)*Basisbedragen!$I$7,2),ROUND(Basisbedragen!$D$47*Basisbedragen!$I$7,2)),ROUND(ROUND(Basisbedragen!$D$30*0.6,4)*Basisbedragen!$I$7,2))+Basisbedragen!$I$10)</f>
        <v>70.989999999999995</v>
      </c>
      <c r="E27" s="52">
        <f>MIN(MAX(ROUND(ROUND('Loonschijven_Tranches salariale'!$Q26*0.6,4)*Basisbedragen!$I$2,2),ROUND(Basisbedragen!$D$44*Basisbedragen!$I$2,2)),ROUND(ROUND(Basisbedragen!$D$32*0.6,4)*Basisbedragen!$I$2,2))</f>
        <v>68.63</v>
      </c>
      <c r="F27" s="52">
        <f>MIN(MAX(ROUND(ROUND('Loonschijven_Tranches salariale'!$Q26*0.6,4)*Basisbedragen!$I$2,2),ROUND(Basisbedragen!$D$45*Basisbedragen!$I$2,2)),ROUND(ROUND(Basisbedragen!$D$32*0.6,4)*Basisbedragen!$I$2,2))</f>
        <v>55.63</v>
      </c>
      <c r="G27" s="338">
        <f>MIN(MAX(ROUND(ROUND('Loonschijven_Tranches salariale'!$Q26*0.6,4)*Basisbedragen!$I$2,2),ROUND(Basisbedragen!$D$46*Basisbedragen!$I$2,2)),ROUND(ROUND(Basisbedragen!$D$32*0.6,4)*Basisbedragen!$I$2,2))</f>
        <v>49.43</v>
      </c>
      <c r="H27" s="348"/>
      <c r="I27" s="52">
        <f>MIN(MAX(ROUND(ROUND('Loonschijven_Tranches salariale'!$Q26*0.6,4)*Basisbedragen!$I$2,2),ROUND(Basisbedragen!$D$77*Basisbedragen!$I$2,2)),ROUND(ROUND(Basisbedragen!$D$29*0.6,4)*Basisbedragen!$I$2,2))</f>
        <v>73.98</v>
      </c>
      <c r="J27" s="52">
        <f>MIN(MAX(ROUND(ROUND('Loonschijven_Tranches salariale'!$Q26*0.6,4)*Basisbedragen!$I$2,2),ROUND(Basisbedragen!$D$78*Basisbedragen!$I$2,2)),ROUND(ROUND(Basisbedragen!$D$29*0.6,4)*Basisbedragen!$I$2,2))</f>
        <v>65.17</v>
      </c>
      <c r="L27" s="52">
        <f t="shared" si="4"/>
        <v>42.6</v>
      </c>
      <c r="M27" s="52">
        <f>ROUND(MIN(MAX(ROUND(ROUND('Loonschijven_Tranches salariale'!$Q26*0.6,4)*Basisbedragen!$I$2,2),ROUND(Basisbedragen!$D$47*Basisbedragen!$I$2,2)),ROUND(ROUND(Basisbedragen!$D$30*0.6,4)*Basisbedragen!$I$2,2))/2,2)</f>
        <v>35.5</v>
      </c>
      <c r="O27" s="52">
        <f t="shared" si="5"/>
        <v>34.32</v>
      </c>
      <c r="P27" s="52">
        <f t="shared" si="6"/>
        <v>27.82</v>
      </c>
      <c r="Q27" s="52">
        <f t="shared" si="7"/>
        <v>24.72</v>
      </c>
      <c r="T27" s="160"/>
    </row>
    <row r="28" spans="1:20" ht="15" hidden="1" outlineLevel="1" thickBot="1">
      <c r="A28" s="47">
        <f t="shared" si="8"/>
        <v>20</v>
      </c>
      <c r="B28" s="52">
        <f t="shared" si="3"/>
        <v>85.19</v>
      </c>
      <c r="C28" s="52">
        <f>IF(MIN(MAX(ROUND(ROUND('Loonschijven_Tranches salariale'!$Q27*0.6,4)*Basisbedragen!$I$7,2),ROUND(Basisbedragen!$D$47*Basisbedragen!$I$7,2)),ROUND(ROUND(Basisbedragen!$D$30*0.6,4)*Basisbedragen!$I$7,2))&lt;= Basisbedragen!$I$8,MIN(MAX(ROUND(ROUND('Loonschijven_Tranches salariale'!$Q27*0.6,4)*Basisbedragen!$I$2,2),ROUND(Basisbedragen!$D$47*Basisbedragen!$I$2,2)),ROUND(ROUND(Basisbedragen!$D$30*0.6,4)*Basisbedragen!$I$2,2)),MIN(MAX(ROUND(ROUND('Loonschijven_Tranches salariale'!$Q27*0.6,4)*Basisbedragen!$I$7,2),ROUND(Basisbedragen!$D$47*Basisbedragen!$I$7,2)),ROUND(ROUND(Basisbedragen!$D$30*0.6,4)*Basisbedragen!$I$7,2))+Basisbedragen!$I$10)</f>
        <v>70.989999999999995</v>
      </c>
      <c r="E28" s="52">
        <f>MIN(MAX(ROUND(ROUND('Loonschijven_Tranches salariale'!$Q27*0.6,4)*Basisbedragen!$I$2,2),ROUND(Basisbedragen!$D$44*Basisbedragen!$I$2,2)),ROUND(ROUND(Basisbedragen!$D$32*0.6,4)*Basisbedragen!$I$2,2))</f>
        <v>68.63</v>
      </c>
      <c r="F28" s="52">
        <f>MIN(MAX(ROUND(ROUND('Loonschijven_Tranches salariale'!$Q27*0.6,4)*Basisbedragen!$I$2,2),ROUND(Basisbedragen!$D$45*Basisbedragen!$I$2,2)),ROUND(ROUND(Basisbedragen!$D$32*0.6,4)*Basisbedragen!$I$2,2))</f>
        <v>55.63</v>
      </c>
      <c r="G28" s="338">
        <f>MIN(MAX(ROUND(ROUND('Loonschijven_Tranches salariale'!$Q27*0.6,4)*Basisbedragen!$I$2,2),ROUND(Basisbedragen!$D$46*Basisbedragen!$I$2,2)),ROUND(ROUND(Basisbedragen!$D$32*0.6,4)*Basisbedragen!$I$2,2))</f>
        <v>49.43</v>
      </c>
      <c r="I28" s="52">
        <f>MIN(MAX(ROUND(ROUND('Loonschijven_Tranches salariale'!$Q27*0.6,4)*Basisbedragen!$I$2,2),ROUND(Basisbedragen!$D$77*Basisbedragen!$I$2,2)),ROUND(ROUND(Basisbedragen!$D$29*0.6,4)*Basisbedragen!$I$2,2))</f>
        <v>73.98</v>
      </c>
      <c r="J28" s="52">
        <f>MIN(MAX(ROUND(ROUND('Loonschijven_Tranches salariale'!$Q27*0.6,4)*Basisbedragen!$I$2,2),ROUND(Basisbedragen!$D$78*Basisbedragen!$I$2,2)),ROUND(ROUND(Basisbedragen!$D$29*0.6,4)*Basisbedragen!$I$2,2))</f>
        <v>65.17</v>
      </c>
      <c r="L28" s="52">
        <f t="shared" si="4"/>
        <v>42.6</v>
      </c>
      <c r="M28" s="52">
        <f>ROUND(MIN(MAX(ROUND(ROUND('Loonschijven_Tranches salariale'!$Q27*0.6,4)*Basisbedragen!$I$2,2),ROUND(Basisbedragen!$D$47*Basisbedragen!$I$2,2)),ROUND(ROUND(Basisbedragen!$D$30*0.6,4)*Basisbedragen!$I$2,2))/2,2)</f>
        <v>35.5</v>
      </c>
      <c r="O28" s="52">
        <f t="shared" si="5"/>
        <v>34.32</v>
      </c>
      <c r="P28" s="52">
        <f t="shared" si="6"/>
        <v>27.82</v>
      </c>
      <c r="Q28" s="52">
        <f t="shared" si="7"/>
        <v>24.72</v>
      </c>
      <c r="T28" s="160"/>
    </row>
    <row r="29" spans="1:20" ht="15" hidden="1" outlineLevel="1" thickBot="1">
      <c r="A29" s="47">
        <f t="shared" si="8"/>
        <v>21</v>
      </c>
      <c r="B29" s="52">
        <f t="shared" si="3"/>
        <v>85.19</v>
      </c>
      <c r="C29" s="52">
        <f>IF(MIN(MAX(ROUND(ROUND('Loonschijven_Tranches salariale'!$Q28*0.6,4)*Basisbedragen!$I$7,2),ROUND(Basisbedragen!$D$47*Basisbedragen!$I$7,2)),ROUND(ROUND(Basisbedragen!$D$30*0.6,4)*Basisbedragen!$I$7,2))&lt;= Basisbedragen!$I$8,MIN(MAX(ROUND(ROUND('Loonschijven_Tranches salariale'!$Q28*0.6,4)*Basisbedragen!$I$2,2),ROUND(Basisbedragen!$D$47*Basisbedragen!$I$2,2)),ROUND(ROUND(Basisbedragen!$D$30*0.6,4)*Basisbedragen!$I$2,2)),MIN(MAX(ROUND(ROUND('Loonschijven_Tranches salariale'!$Q28*0.6,4)*Basisbedragen!$I$7,2),ROUND(Basisbedragen!$D$47*Basisbedragen!$I$7,2)),ROUND(ROUND(Basisbedragen!$D$30*0.6,4)*Basisbedragen!$I$7,2))+Basisbedragen!$I$10)</f>
        <v>70.989999999999995</v>
      </c>
      <c r="E29" s="52">
        <f>MIN(MAX(ROUND(ROUND('Loonschijven_Tranches salariale'!$Q28*0.6,4)*Basisbedragen!$I$2,2),ROUND(Basisbedragen!$D$44*Basisbedragen!$I$2,2)),ROUND(ROUND(Basisbedragen!$D$32*0.6,4)*Basisbedragen!$I$2,2))</f>
        <v>68.63</v>
      </c>
      <c r="F29" s="52">
        <f>MIN(MAX(ROUND(ROUND('Loonschijven_Tranches salariale'!$Q28*0.6,4)*Basisbedragen!$I$2,2),ROUND(Basisbedragen!$D$45*Basisbedragen!$I$2,2)),ROUND(ROUND(Basisbedragen!$D$32*0.6,4)*Basisbedragen!$I$2,2))</f>
        <v>55.63</v>
      </c>
      <c r="G29" s="338">
        <f>MIN(MAX(ROUND(ROUND('Loonschijven_Tranches salariale'!$Q28*0.6,4)*Basisbedragen!$I$2,2),ROUND(Basisbedragen!$D$46*Basisbedragen!$I$2,2)),ROUND(ROUND(Basisbedragen!$D$32*0.6,4)*Basisbedragen!$I$2,2))</f>
        <v>49.43</v>
      </c>
      <c r="H29" s="348"/>
      <c r="I29" s="52">
        <f>MIN(MAX(ROUND(ROUND('Loonschijven_Tranches salariale'!$Q28*0.6,4)*Basisbedragen!$I$2,2),ROUND(Basisbedragen!$D$77*Basisbedragen!$I$2,2)),ROUND(ROUND(Basisbedragen!$D$29*0.6,4)*Basisbedragen!$I$2,2))</f>
        <v>73.98</v>
      </c>
      <c r="J29" s="52">
        <f>MIN(MAX(ROUND(ROUND('Loonschijven_Tranches salariale'!$Q28*0.6,4)*Basisbedragen!$I$2,2),ROUND(Basisbedragen!$D$78*Basisbedragen!$I$2,2)),ROUND(ROUND(Basisbedragen!$D$29*0.6,4)*Basisbedragen!$I$2,2))</f>
        <v>65.17</v>
      </c>
      <c r="L29" s="52">
        <f t="shared" si="4"/>
        <v>42.6</v>
      </c>
      <c r="M29" s="52">
        <f>ROUND(MIN(MAX(ROUND(ROUND('Loonschijven_Tranches salariale'!$Q28*0.6,4)*Basisbedragen!$I$2,2),ROUND(Basisbedragen!$D$47*Basisbedragen!$I$2,2)),ROUND(ROUND(Basisbedragen!$D$30*0.6,4)*Basisbedragen!$I$2,2))/2,2)</f>
        <v>35.5</v>
      </c>
      <c r="O29" s="52">
        <f t="shared" si="5"/>
        <v>34.32</v>
      </c>
      <c r="P29" s="52">
        <f t="shared" si="6"/>
        <v>27.82</v>
      </c>
      <c r="Q29" s="52">
        <f t="shared" si="7"/>
        <v>24.72</v>
      </c>
      <c r="T29" s="160"/>
    </row>
    <row r="30" spans="1:20" ht="15" hidden="1" outlineLevel="1" thickBot="1">
      <c r="A30" s="47">
        <f t="shared" si="8"/>
        <v>22</v>
      </c>
      <c r="B30" s="52">
        <f t="shared" si="3"/>
        <v>85.19</v>
      </c>
      <c r="C30" s="52">
        <f>IF(MIN(MAX(ROUND(ROUND('Loonschijven_Tranches salariale'!$Q29*0.6,4)*Basisbedragen!$I$7,2),ROUND(Basisbedragen!$D$47*Basisbedragen!$I$7,2)),ROUND(ROUND(Basisbedragen!$D$30*0.6,4)*Basisbedragen!$I$7,2))&lt;= Basisbedragen!$I$8,MIN(MAX(ROUND(ROUND('Loonschijven_Tranches salariale'!$Q29*0.6,4)*Basisbedragen!$I$2,2),ROUND(Basisbedragen!$D$47*Basisbedragen!$I$2,2)),ROUND(ROUND(Basisbedragen!$D$30*0.6,4)*Basisbedragen!$I$2,2)),MIN(MAX(ROUND(ROUND('Loonschijven_Tranches salariale'!$Q29*0.6,4)*Basisbedragen!$I$7,2),ROUND(Basisbedragen!$D$47*Basisbedragen!$I$7,2)),ROUND(ROUND(Basisbedragen!$D$30*0.6,4)*Basisbedragen!$I$7,2))+Basisbedragen!$I$10)</f>
        <v>70.989999999999995</v>
      </c>
      <c r="E30" s="52">
        <f>MIN(MAX(ROUND(ROUND('Loonschijven_Tranches salariale'!$Q29*0.6,4)*Basisbedragen!$I$2,2),ROUND(Basisbedragen!$D$44*Basisbedragen!$I$2,2)),ROUND(ROUND(Basisbedragen!$D$32*0.6,4)*Basisbedragen!$I$2,2))</f>
        <v>68.63</v>
      </c>
      <c r="F30" s="52">
        <f>MIN(MAX(ROUND(ROUND('Loonschijven_Tranches salariale'!$Q29*0.6,4)*Basisbedragen!$I$2,2),ROUND(Basisbedragen!$D$45*Basisbedragen!$I$2,2)),ROUND(ROUND(Basisbedragen!$D$32*0.6,4)*Basisbedragen!$I$2,2))</f>
        <v>55.63</v>
      </c>
      <c r="G30" s="338">
        <f>MIN(MAX(ROUND(ROUND('Loonschijven_Tranches salariale'!$Q29*0.6,4)*Basisbedragen!$I$2,2),ROUND(Basisbedragen!$D$46*Basisbedragen!$I$2,2)),ROUND(ROUND(Basisbedragen!$D$32*0.6,4)*Basisbedragen!$I$2,2))</f>
        <v>49.43</v>
      </c>
      <c r="H30" s="348"/>
      <c r="I30" s="52">
        <f>MIN(MAX(ROUND(ROUND('Loonschijven_Tranches salariale'!$Q29*0.6,4)*Basisbedragen!$I$2,2),ROUND(Basisbedragen!$D$77*Basisbedragen!$I$2,2)),ROUND(ROUND(Basisbedragen!$D$29*0.6,4)*Basisbedragen!$I$2,2))</f>
        <v>73.98</v>
      </c>
      <c r="J30" s="52">
        <f>MIN(MAX(ROUND(ROUND('Loonschijven_Tranches salariale'!$Q29*0.6,4)*Basisbedragen!$I$2,2),ROUND(Basisbedragen!$D$78*Basisbedragen!$I$2,2)),ROUND(ROUND(Basisbedragen!$D$29*0.6,4)*Basisbedragen!$I$2,2))</f>
        <v>65.17</v>
      </c>
      <c r="L30" s="52">
        <f t="shared" si="4"/>
        <v>42.6</v>
      </c>
      <c r="M30" s="52">
        <f>ROUND(MIN(MAX(ROUND(ROUND('Loonschijven_Tranches salariale'!$Q29*0.6,4)*Basisbedragen!$I$2,2),ROUND(Basisbedragen!$D$47*Basisbedragen!$I$2,2)),ROUND(ROUND(Basisbedragen!$D$30*0.6,4)*Basisbedragen!$I$2,2))/2,2)</f>
        <v>35.5</v>
      </c>
      <c r="O30" s="52">
        <f t="shared" si="5"/>
        <v>34.32</v>
      </c>
      <c r="P30" s="52">
        <f t="shared" si="6"/>
        <v>27.82</v>
      </c>
      <c r="Q30" s="52">
        <f t="shared" si="7"/>
        <v>24.72</v>
      </c>
      <c r="T30" s="160"/>
    </row>
    <row r="31" spans="1:20" ht="15" hidden="1" outlineLevel="1" thickBot="1">
      <c r="A31" s="47">
        <f t="shared" si="8"/>
        <v>23</v>
      </c>
      <c r="B31" s="52">
        <f t="shared" si="3"/>
        <v>85.19</v>
      </c>
      <c r="C31" s="52">
        <f>IF(MIN(MAX(ROUND(ROUND('Loonschijven_Tranches salariale'!$Q30*0.6,4)*Basisbedragen!$I$7,2),ROUND(Basisbedragen!$D$47*Basisbedragen!$I$7,2)),ROUND(ROUND(Basisbedragen!$D$30*0.6,4)*Basisbedragen!$I$7,2))&lt;= Basisbedragen!$I$8,MIN(MAX(ROUND(ROUND('Loonschijven_Tranches salariale'!$Q30*0.6,4)*Basisbedragen!$I$2,2),ROUND(Basisbedragen!$D$47*Basisbedragen!$I$2,2)),ROUND(ROUND(Basisbedragen!$D$30*0.6,4)*Basisbedragen!$I$2,2)),MIN(MAX(ROUND(ROUND('Loonschijven_Tranches salariale'!$Q30*0.6,4)*Basisbedragen!$I$7,2),ROUND(Basisbedragen!$D$47*Basisbedragen!$I$7,2)),ROUND(ROUND(Basisbedragen!$D$30*0.6,4)*Basisbedragen!$I$7,2))+Basisbedragen!$I$10)</f>
        <v>70.989999999999995</v>
      </c>
      <c r="E31" s="52">
        <f>MIN(MAX(ROUND(ROUND('Loonschijven_Tranches salariale'!$Q30*0.6,4)*Basisbedragen!$I$2,2),ROUND(Basisbedragen!$D$44*Basisbedragen!$I$2,2)),ROUND(ROUND(Basisbedragen!$D$32*0.6,4)*Basisbedragen!$I$2,2))</f>
        <v>68.63</v>
      </c>
      <c r="F31" s="52">
        <f>MIN(MAX(ROUND(ROUND('Loonschijven_Tranches salariale'!$Q30*0.6,4)*Basisbedragen!$I$2,2),ROUND(Basisbedragen!$D$45*Basisbedragen!$I$2,2)),ROUND(ROUND(Basisbedragen!$D$32*0.6,4)*Basisbedragen!$I$2,2))</f>
        <v>55.63</v>
      </c>
      <c r="G31" s="338">
        <f>MIN(MAX(ROUND(ROUND('Loonschijven_Tranches salariale'!$Q30*0.6,4)*Basisbedragen!$I$2,2),ROUND(Basisbedragen!$D$46*Basisbedragen!$I$2,2)),ROUND(ROUND(Basisbedragen!$D$32*0.6,4)*Basisbedragen!$I$2,2))</f>
        <v>49.43</v>
      </c>
      <c r="H31" s="348"/>
      <c r="I31" s="52">
        <f>MIN(MAX(ROUND(ROUND('Loonschijven_Tranches salariale'!$Q30*0.6,4)*Basisbedragen!$I$2,2),ROUND(Basisbedragen!$D$77*Basisbedragen!$I$2,2)),ROUND(ROUND(Basisbedragen!$D$29*0.6,4)*Basisbedragen!$I$2,2))</f>
        <v>73.98</v>
      </c>
      <c r="J31" s="52">
        <f>MIN(MAX(ROUND(ROUND('Loonschijven_Tranches salariale'!$Q30*0.6,4)*Basisbedragen!$I$2,2),ROUND(Basisbedragen!$D$78*Basisbedragen!$I$2,2)),ROUND(ROUND(Basisbedragen!$D$29*0.6,4)*Basisbedragen!$I$2,2))</f>
        <v>65.17</v>
      </c>
      <c r="L31" s="52">
        <f t="shared" si="4"/>
        <v>42.6</v>
      </c>
      <c r="M31" s="52">
        <f>ROUND(MIN(MAX(ROUND(ROUND('Loonschijven_Tranches salariale'!$Q30*0.6,4)*Basisbedragen!$I$2,2),ROUND(Basisbedragen!$D$47*Basisbedragen!$I$2,2)),ROUND(ROUND(Basisbedragen!$D$30*0.6,4)*Basisbedragen!$I$2,2))/2,2)</f>
        <v>35.5</v>
      </c>
      <c r="O31" s="52">
        <f t="shared" si="5"/>
        <v>34.32</v>
      </c>
      <c r="P31" s="52">
        <f t="shared" si="6"/>
        <v>27.82</v>
      </c>
      <c r="Q31" s="52">
        <f t="shared" si="7"/>
        <v>24.72</v>
      </c>
      <c r="T31" s="160"/>
    </row>
    <row r="32" spans="1:20" ht="15" hidden="1" outlineLevel="1" thickBot="1">
      <c r="A32" s="47">
        <f t="shared" si="8"/>
        <v>24</v>
      </c>
      <c r="B32" s="52">
        <f t="shared" si="3"/>
        <v>85.19</v>
      </c>
      <c r="C32" s="52">
        <f>IF(MIN(MAX(ROUND(ROUND('Loonschijven_Tranches salariale'!$Q31*0.6,4)*Basisbedragen!$I$7,2),ROUND(Basisbedragen!$D$47*Basisbedragen!$I$7,2)),ROUND(ROUND(Basisbedragen!$D$30*0.6,4)*Basisbedragen!$I$7,2))&lt;= Basisbedragen!$I$8,MIN(MAX(ROUND(ROUND('Loonschijven_Tranches salariale'!$Q31*0.6,4)*Basisbedragen!$I$2,2),ROUND(Basisbedragen!$D$47*Basisbedragen!$I$2,2)),ROUND(ROUND(Basisbedragen!$D$30*0.6,4)*Basisbedragen!$I$2,2)),MIN(MAX(ROUND(ROUND('Loonschijven_Tranches salariale'!$Q31*0.6,4)*Basisbedragen!$I$7,2),ROUND(Basisbedragen!$D$47*Basisbedragen!$I$7,2)),ROUND(ROUND(Basisbedragen!$D$30*0.6,4)*Basisbedragen!$I$7,2))+Basisbedragen!$I$10)</f>
        <v>70.989999999999995</v>
      </c>
      <c r="E32" s="52">
        <f>MIN(MAX(ROUND(ROUND('Loonschijven_Tranches salariale'!$Q31*0.6,4)*Basisbedragen!$I$2,2),ROUND(Basisbedragen!$D$44*Basisbedragen!$I$2,2)),ROUND(ROUND(Basisbedragen!$D$32*0.6,4)*Basisbedragen!$I$2,2))</f>
        <v>68.63</v>
      </c>
      <c r="F32" s="52">
        <f>MIN(MAX(ROUND(ROUND('Loonschijven_Tranches salariale'!$Q31*0.6,4)*Basisbedragen!$I$2,2),ROUND(Basisbedragen!$D$45*Basisbedragen!$I$2,2)),ROUND(ROUND(Basisbedragen!$D$32*0.6,4)*Basisbedragen!$I$2,2))</f>
        <v>55.63</v>
      </c>
      <c r="G32" s="338">
        <f>MIN(MAX(ROUND(ROUND('Loonschijven_Tranches salariale'!$Q31*0.6,4)*Basisbedragen!$I$2,2),ROUND(Basisbedragen!$D$46*Basisbedragen!$I$2,2)),ROUND(ROUND(Basisbedragen!$D$32*0.6,4)*Basisbedragen!$I$2,2))</f>
        <v>49.43</v>
      </c>
      <c r="H32" s="348"/>
      <c r="I32" s="52">
        <f>MIN(MAX(ROUND(ROUND('Loonschijven_Tranches salariale'!$Q31*0.6,4)*Basisbedragen!$I$2,2),ROUND(Basisbedragen!$D$77*Basisbedragen!$I$2,2)),ROUND(ROUND(Basisbedragen!$D$29*0.6,4)*Basisbedragen!$I$2,2))</f>
        <v>73.98</v>
      </c>
      <c r="J32" s="52">
        <f>MIN(MAX(ROUND(ROUND('Loonschijven_Tranches salariale'!$Q31*0.6,4)*Basisbedragen!$I$2,2),ROUND(Basisbedragen!$D$78*Basisbedragen!$I$2,2)),ROUND(ROUND(Basisbedragen!$D$29*0.6,4)*Basisbedragen!$I$2,2))</f>
        <v>65.17</v>
      </c>
      <c r="L32" s="52">
        <f t="shared" si="4"/>
        <v>42.6</v>
      </c>
      <c r="M32" s="52">
        <f>ROUND(MIN(MAX(ROUND(ROUND('Loonschijven_Tranches salariale'!$Q31*0.6,4)*Basisbedragen!$I$2,2),ROUND(Basisbedragen!$D$47*Basisbedragen!$I$2,2)),ROUND(ROUND(Basisbedragen!$D$30*0.6,4)*Basisbedragen!$I$2,2))/2,2)</f>
        <v>35.5</v>
      </c>
      <c r="O32" s="52">
        <f t="shared" si="5"/>
        <v>34.32</v>
      </c>
      <c r="P32" s="52">
        <f t="shared" si="6"/>
        <v>27.82</v>
      </c>
      <c r="Q32" s="52">
        <f t="shared" si="7"/>
        <v>24.72</v>
      </c>
      <c r="T32" s="160"/>
    </row>
    <row r="33" spans="1:20" ht="15" hidden="1" outlineLevel="1" thickBot="1">
      <c r="A33" s="47">
        <f t="shared" si="8"/>
        <v>25</v>
      </c>
      <c r="B33" s="52">
        <f t="shared" si="3"/>
        <v>85.19</v>
      </c>
      <c r="C33" s="52">
        <f>IF(MIN(MAX(ROUND(ROUND('Loonschijven_Tranches salariale'!$Q32*0.6,4)*Basisbedragen!$I$7,2),ROUND(Basisbedragen!$D$47*Basisbedragen!$I$7,2)),ROUND(ROUND(Basisbedragen!$D$30*0.6,4)*Basisbedragen!$I$7,2))&lt;= Basisbedragen!$I$8,MIN(MAX(ROUND(ROUND('Loonschijven_Tranches salariale'!$Q32*0.6,4)*Basisbedragen!$I$2,2),ROUND(Basisbedragen!$D$47*Basisbedragen!$I$2,2)),ROUND(ROUND(Basisbedragen!$D$30*0.6,4)*Basisbedragen!$I$2,2)),MIN(MAX(ROUND(ROUND('Loonschijven_Tranches salariale'!$Q32*0.6,4)*Basisbedragen!$I$7,2),ROUND(Basisbedragen!$D$47*Basisbedragen!$I$7,2)),ROUND(ROUND(Basisbedragen!$D$30*0.6,4)*Basisbedragen!$I$7,2))+Basisbedragen!$I$10)</f>
        <v>70.989999999999995</v>
      </c>
      <c r="E33" s="52">
        <f>MIN(MAX(ROUND(ROUND('Loonschijven_Tranches salariale'!$Q32*0.6,4)*Basisbedragen!$I$2,2),ROUND(Basisbedragen!$D$44*Basisbedragen!$I$2,2)),ROUND(ROUND(Basisbedragen!$D$32*0.6,4)*Basisbedragen!$I$2,2))</f>
        <v>68.63</v>
      </c>
      <c r="F33" s="52">
        <f>MIN(MAX(ROUND(ROUND('Loonschijven_Tranches salariale'!$Q32*0.6,4)*Basisbedragen!$I$2,2),ROUND(Basisbedragen!$D$45*Basisbedragen!$I$2,2)),ROUND(ROUND(Basisbedragen!$D$32*0.6,4)*Basisbedragen!$I$2,2))</f>
        <v>55.63</v>
      </c>
      <c r="G33" s="338">
        <f>MIN(MAX(ROUND(ROUND('Loonschijven_Tranches salariale'!$Q32*0.6,4)*Basisbedragen!$I$2,2),ROUND(Basisbedragen!$D$46*Basisbedragen!$I$2,2)),ROUND(ROUND(Basisbedragen!$D$32*0.6,4)*Basisbedragen!$I$2,2))</f>
        <v>49.43</v>
      </c>
      <c r="I33" s="52">
        <f>MIN(MAX(ROUND(ROUND('Loonschijven_Tranches salariale'!$Q32*0.6,4)*Basisbedragen!$I$2,2),ROUND(Basisbedragen!$D$77*Basisbedragen!$I$2,2)),ROUND(ROUND(Basisbedragen!$D$29*0.6,4)*Basisbedragen!$I$2,2))</f>
        <v>73.98</v>
      </c>
      <c r="J33" s="52">
        <f>MIN(MAX(ROUND(ROUND('Loonschijven_Tranches salariale'!$Q32*0.6,4)*Basisbedragen!$I$2,2),ROUND(Basisbedragen!$D$78*Basisbedragen!$I$2,2)),ROUND(ROUND(Basisbedragen!$D$29*0.6,4)*Basisbedragen!$I$2,2))</f>
        <v>65.17</v>
      </c>
      <c r="L33" s="52">
        <f t="shared" si="4"/>
        <v>42.6</v>
      </c>
      <c r="M33" s="52">
        <f>ROUND(MIN(MAX(ROUND(ROUND('Loonschijven_Tranches salariale'!$Q32*0.6,4)*Basisbedragen!$I$2,2),ROUND(Basisbedragen!$D$47*Basisbedragen!$I$2,2)),ROUND(ROUND(Basisbedragen!$D$30*0.6,4)*Basisbedragen!$I$2,2))/2,2)</f>
        <v>35.5</v>
      </c>
      <c r="O33" s="52">
        <f t="shared" si="5"/>
        <v>34.32</v>
      </c>
      <c r="P33" s="52">
        <f t="shared" si="6"/>
        <v>27.82</v>
      </c>
      <c r="Q33" s="52">
        <f t="shared" si="7"/>
        <v>24.72</v>
      </c>
      <c r="T33" s="160"/>
    </row>
    <row r="34" spans="1:20" ht="15" hidden="1" outlineLevel="1" thickBot="1">
      <c r="A34" s="47">
        <f t="shared" si="8"/>
        <v>26</v>
      </c>
      <c r="B34" s="52">
        <f t="shared" si="3"/>
        <v>85.19</v>
      </c>
      <c r="C34" s="52">
        <f>IF(MIN(MAX(ROUND(ROUND('Loonschijven_Tranches salariale'!$Q33*0.6,4)*Basisbedragen!$I$7,2),ROUND(Basisbedragen!$D$47*Basisbedragen!$I$7,2)),ROUND(ROUND(Basisbedragen!$D$30*0.6,4)*Basisbedragen!$I$7,2))&lt;= Basisbedragen!$I$8,MIN(MAX(ROUND(ROUND('Loonschijven_Tranches salariale'!$Q33*0.6,4)*Basisbedragen!$I$2,2),ROUND(Basisbedragen!$D$47*Basisbedragen!$I$2,2)),ROUND(ROUND(Basisbedragen!$D$30*0.6,4)*Basisbedragen!$I$2,2)),MIN(MAX(ROUND(ROUND('Loonschijven_Tranches salariale'!$Q33*0.6,4)*Basisbedragen!$I$7,2),ROUND(Basisbedragen!$D$47*Basisbedragen!$I$7,2)),ROUND(ROUND(Basisbedragen!$D$30*0.6,4)*Basisbedragen!$I$7,2))+Basisbedragen!$I$10)</f>
        <v>70.989999999999995</v>
      </c>
      <c r="E34" s="52">
        <f>MIN(MAX(ROUND(ROUND('Loonschijven_Tranches salariale'!$Q33*0.6,4)*Basisbedragen!$I$2,2),ROUND(Basisbedragen!$D$44*Basisbedragen!$I$2,2)),ROUND(ROUND(Basisbedragen!$D$32*0.6,4)*Basisbedragen!$I$2,2))</f>
        <v>68.63</v>
      </c>
      <c r="F34" s="52">
        <f>MIN(MAX(ROUND(ROUND('Loonschijven_Tranches salariale'!$Q33*0.6,4)*Basisbedragen!$I$2,2),ROUND(Basisbedragen!$D$45*Basisbedragen!$I$2,2)),ROUND(ROUND(Basisbedragen!$D$32*0.6,4)*Basisbedragen!$I$2,2))</f>
        <v>55.63</v>
      </c>
      <c r="G34" s="338">
        <f>MIN(MAX(ROUND(ROUND('Loonschijven_Tranches salariale'!$Q33*0.6,4)*Basisbedragen!$I$2,2),ROUND(Basisbedragen!$D$46*Basisbedragen!$I$2,2)),ROUND(ROUND(Basisbedragen!$D$32*0.6,4)*Basisbedragen!$I$2,2))</f>
        <v>49.43</v>
      </c>
      <c r="H34" s="348"/>
      <c r="I34" s="52">
        <f>MIN(MAX(ROUND(ROUND('Loonschijven_Tranches salariale'!$Q33*0.6,4)*Basisbedragen!$I$2,2),ROUND(Basisbedragen!$D$77*Basisbedragen!$I$2,2)),ROUND(ROUND(Basisbedragen!$D$29*0.6,4)*Basisbedragen!$I$2,2))</f>
        <v>73.98</v>
      </c>
      <c r="J34" s="52">
        <f>MIN(MAX(ROUND(ROUND('Loonschijven_Tranches salariale'!$Q33*0.6,4)*Basisbedragen!$I$2,2),ROUND(Basisbedragen!$D$78*Basisbedragen!$I$2,2)),ROUND(ROUND(Basisbedragen!$D$29*0.6,4)*Basisbedragen!$I$2,2))</f>
        <v>65.17</v>
      </c>
      <c r="L34" s="52">
        <f t="shared" si="4"/>
        <v>42.6</v>
      </c>
      <c r="M34" s="52">
        <f>ROUND(MIN(MAX(ROUND(ROUND('Loonschijven_Tranches salariale'!$Q33*0.6,4)*Basisbedragen!$I$2,2),ROUND(Basisbedragen!$D$47*Basisbedragen!$I$2,2)),ROUND(ROUND(Basisbedragen!$D$30*0.6,4)*Basisbedragen!$I$2,2))/2,2)</f>
        <v>35.5</v>
      </c>
      <c r="O34" s="52">
        <f t="shared" si="5"/>
        <v>34.32</v>
      </c>
      <c r="P34" s="52">
        <f t="shared" si="6"/>
        <v>27.82</v>
      </c>
      <c r="Q34" s="52">
        <f t="shared" si="7"/>
        <v>24.72</v>
      </c>
      <c r="T34" s="160"/>
    </row>
    <row r="35" spans="1:20" ht="15" hidden="1" outlineLevel="1" thickBot="1">
      <c r="A35" s="47">
        <f t="shared" si="8"/>
        <v>27</v>
      </c>
      <c r="B35" s="52">
        <f t="shared" si="3"/>
        <v>85.19</v>
      </c>
      <c r="C35" s="52">
        <f>IF(MIN(MAX(ROUND(ROUND('Loonschijven_Tranches salariale'!$Q34*0.6,4)*Basisbedragen!$I$7,2),ROUND(Basisbedragen!$D$47*Basisbedragen!$I$7,2)),ROUND(ROUND(Basisbedragen!$D$30*0.6,4)*Basisbedragen!$I$7,2))&lt;= Basisbedragen!$I$8,MIN(MAX(ROUND(ROUND('Loonschijven_Tranches salariale'!$Q34*0.6,4)*Basisbedragen!$I$2,2),ROUND(Basisbedragen!$D$47*Basisbedragen!$I$2,2)),ROUND(ROUND(Basisbedragen!$D$30*0.6,4)*Basisbedragen!$I$2,2)),MIN(MAX(ROUND(ROUND('Loonschijven_Tranches salariale'!$Q34*0.6,4)*Basisbedragen!$I$7,2),ROUND(Basisbedragen!$D$47*Basisbedragen!$I$7,2)),ROUND(ROUND(Basisbedragen!$D$30*0.6,4)*Basisbedragen!$I$7,2))+Basisbedragen!$I$10)</f>
        <v>70.989999999999995</v>
      </c>
      <c r="E35" s="52">
        <f>MIN(MAX(ROUND(ROUND('Loonschijven_Tranches salariale'!$Q34*0.6,4)*Basisbedragen!$I$2,2),ROUND(Basisbedragen!$D$44*Basisbedragen!$I$2,2)),ROUND(ROUND(Basisbedragen!$D$32*0.6,4)*Basisbedragen!$I$2,2))</f>
        <v>68.63</v>
      </c>
      <c r="F35" s="52">
        <f>MIN(MAX(ROUND(ROUND('Loonschijven_Tranches salariale'!$Q34*0.6,4)*Basisbedragen!$I$2,2),ROUND(Basisbedragen!$D$45*Basisbedragen!$I$2,2)),ROUND(ROUND(Basisbedragen!$D$32*0.6,4)*Basisbedragen!$I$2,2))</f>
        <v>55.63</v>
      </c>
      <c r="G35" s="338">
        <f>MIN(MAX(ROUND(ROUND('Loonschijven_Tranches salariale'!$Q34*0.6,4)*Basisbedragen!$I$2,2),ROUND(Basisbedragen!$D$46*Basisbedragen!$I$2,2)),ROUND(ROUND(Basisbedragen!$D$32*0.6,4)*Basisbedragen!$I$2,2))</f>
        <v>49.43</v>
      </c>
      <c r="H35" s="348"/>
      <c r="I35" s="52">
        <f>MIN(MAX(ROUND(ROUND('Loonschijven_Tranches salariale'!$Q34*0.6,4)*Basisbedragen!$I$2,2),ROUND(Basisbedragen!$D$77*Basisbedragen!$I$2,2)),ROUND(ROUND(Basisbedragen!$D$29*0.6,4)*Basisbedragen!$I$2,2))</f>
        <v>73.98</v>
      </c>
      <c r="J35" s="52">
        <f>MIN(MAX(ROUND(ROUND('Loonschijven_Tranches salariale'!$Q34*0.6,4)*Basisbedragen!$I$2,2),ROUND(Basisbedragen!$D$78*Basisbedragen!$I$2,2)),ROUND(ROUND(Basisbedragen!$D$29*0.6,4)*Basisbedragen!$I$2,2))</f>
        <v>65.17</v>
      </c>
      <c r="L35" s="52">
        <f t="shared" si="4"/>
        <v>42.6</v>
      </c>
      <c r="M35" s="52">
        <f>ROUND(MIN(MAX(ROUND(ROUND('Loonschijven_Tranches salariale'!$Q34*0.6,4)*Basisbedragen!$I$2,2),ROUND(Basisbedragen!$D$47*Basisbedragen!$I$2,2)),ROUND(ROUND(Basisbedragen!$D$30*0.6,4)*Basisbedragen!$I$2,2))/2,2)</f>
        <v>35.5</v>
      </c>
      <c r="O35" s="52">
        <f t="shared" si="5"/>
        <v>34.32</v>
      </c>
      <c r="P35" s="52">
        <f t="shared" si="6"/>
        <v>27.82</v>
      </c>
      <c r="Q35" s="52">
        <f t="shared" si="7"/>
        <v>24.72</v>
      </c>
      <c r="T35" s="160"/>
    </row>
    <row r="36" spans="1:20" ht="15" hidden="1" outlineLevel="1" thickBot="1">
      <c r="A36" s="47">
        <f t="shared" si="8"/>
        <v>28</v>
      </c>
      <c r="B36" s="52">
        <f t="shared" si="3"/>
        <v>85.19</v>
      </c>
      <c r="C36" s="52">
        <f>IF(MIN(MAX(ROUND(ROUND('Loonschijven_Tranches salariale'!$Q35*0.6,4)*Basisbedragen!$I$7,2),ROUND(Basisbedragen!$D$47*Basisbedragen!$I$7,2)),ROUND(ROUND(Basisbedragen!$D$30*0.6,4)*Basisbedragen!$I$7,2))&lt;= Basisbedragen!$I$8,MIN(MAX(ROUND(ROUND('Loonschijven_Tranches salariale'!$Q35*0.6,4)*Basisbedragen!$I$2,2),ROUND(Basisbedragen!$D$47*Basisbedragen!$I$2,2)),ROUND(ROUND(Basisbedragen!$D$30*0.6,4)*Basisbedragen!$I$2,2)),MIN(MAX(ROUND(ROUND('Loonschijven_Tranches salariale'!$Q35*0.6,4)*Basisbedragen!$I$7,2),ROUND(Basisbedragen!$D$47*Basisbedragen!$I$7,2)),ROUND(ROUND(Basisbedragen!$D$30*0.6,4)*Basisbedragen!$I$7,2))+Basisbedragen!$I$10)</f>
        <v>70.989999999999995</v>
      </c>
      <c r="E36" s="52">
        <f>MIN(MAX(ROUND(ROUND('Loonschijven_Tranches salariale'!$Q35*0.6,4)*Basisbedragen!$I$2,2),ROUND(Basisbedragen!$D$44*Basisbedragen!$I$2,2)),ROUND(ROUND(Basisbedragen!$D$32*0.6,4)*Basisbedragen!$I$2,2))</f>
        <v>68.63</v>
      </c>
      <c r="F36" s="52">
        <f>MIN(MAX(ROUND(ROUND('Loonschijven_Tranches salariale'!$Q35*0.6,4)*Basisbedragen!$I$2,2),ROUND(Basisbedragen!$D$45*Basisbedragen!$I$2,2)),ROUND(ROUND(Basisbedragen!$D$32*0.6,4)*Basisbedragen!$I$2,2))</f>
        <v>55.63</v>
      </c>
      <c r="G36" s="338">
        <f>MIN(MAX(ROUND(ROUND('Loonschijven_Tranches salariale'!$Q35*0.6,4)*Basisbedragen!$I$2,2),ROUND(Basisbedragen!$D$46*Basisbedragen!$I$2,2)),ROUND(ROUND(Basisbedragen!$D$32*0.6,4)*Basisbedragen!$I$2,2))</f>
        <v>49.43</v>
      </c>
      <c r="H36" s="348"/>
      <c r="I36" s="52">
        <f>MIN(MAX(ROUND(ROUND('Loonschijven_Tranches salariale'!$Q35*0.6,4)*Basisbedragen!$I$2,2),ROUND(Basisbedragen!$D$77*Basisbedragen!$I$2,2)),ROUND(ROUND(Basisbedragen!$D$29*0.6,4)*Basisbedragen!$I$2,2))</f>
        <v>73.98</v>
      </c>
      <c r="J36" s="52">
        <f>MIN(MAX(ROUND(ROUND('Loonschijven_Tranches salariale'!$Q35*0.6,4)*Basisbedragen!$I$2,2),ROUND(Basisbedragen!$D$78*Basisbedragen!$I$2,2)),ROUND(ROUND(Basisbedragen!$D$29*0.6,4)*Basisbedragen!$I$2,2))</f>
        <v>65.17</v>
      </c>
      <c r="L36" s="52">
        <f t="shared" si="4"/>
        <v>42.6</v>
      </c>
      <c r="M36" s="52">
        <f>ROUND(MIN(MAX(ROUND(ROUND('Loonschijven_Tranches salariale'!$Q35*0.6,4)*Basisbedragen!$I$2,2),ROUND(Basisbedragen!$D$47*Basisbedragen!$I$2,2)),ROUND(ROUND(Basisbedragen!$D$30*0.6,4)*Basisbedragen!$I$2,2))/2,2)</f>
        <v>35.5</v>
      </c>
      <c r="O36" s="52">
        <f t="shared" si="5"/>
        <v>34.32</v>
      </c>
      <c r="P36" s="52">
        <f t="shared" si="6"/>
        <v>27.82</v>
      </c>
      <c r="Q36" s="52">
        <f t="shared" si="7"/>
        <v>24.72</v>
      </c>
      <c r="T36" s="160"/>
    </row>
    <row r="37" spans="1:20" ht="15" hidden="1" outlineLevel="1" thickBot="1">
      <c r="A37" s="47">
        <f t="shared" si="8"/>
        <v>29</v>
      </c>
      <c r="B37" s="52">
        <f t="shared" si="3"/>
        <v>85.19</v>
      </c>
      <c r="C37" s="52">
        <f>IF(MIN(MAX(ROUND(ROUND('Loonschijven_Tranches salariale'!$Q36*0.6,4)*Basisbedragen!$I$7,2),ROUND(Basisbedragen!$D$47*Basisbedragen!$I$7,2)),ROUND(ROUND(Basisbedragen!$D$30*0.6,4)*Basisbedragen!$I$7,2))&lt;= Basisbedragen!$I$8,MIN(MAX(ROUND(ROUND('Loonschijven_Tranches salariale'!$Q36*0.6,4)*Basisbedragen!$I$2,2),ROUND(Basisbedragen!$D$47*Basisbedragen!$I$2,2)),ROUND(ROUND(Basisbedragen!$D$30*0.6,4)*Basisbedragen!$I$2,2)),MIN(MAX(ROUND(ROUND('Loonschijven_Tranches salariale'!$Q36*0.6,4)*Basisbedragen!$I$7,2),ROUND(Basisbedragen!$D$47*Basisbedragen!$I$7,2)),ROUND(ROUND(Basisbedragen!$D$30*0.6,4)*Basisbedragen!$I$7,2))+Basisbedragen!$I$10)</f>
        <v>70.989999999999995</v>
      </c>
      <c r="E37" s="52">
        <f>MIN(MAX(ROUND(ROUND('Loonschijven_Tranches salariale'!$Q36*0.6,4)*Basisbedragen!$I$2,2),ROUND(Basisbedragen!$D$44*Basisbedragen!$I$2,2)),ROUND(ROUND(Basisbedragen!$D$32*0.6,4)*Basisbedragen!$I$2,2))</f>
        <v>68.63</v>
      </c>
      <c r="F37" s="52">
        <f>MIN(MAX(ROUND(ROUND('Loonschijven_Tranches salariale'!$Q36*0.6,4)*Basisbedragen!$I$2,2),ROUND(Basisbedragen!$D$45*Basisbedragen!$I$2,2)),ROUND(ROUND(Basisbedragen!$D$32*0.6,4)*Basisbedragen!$I$2,2))</f>
        <v>55.63</v>
      </c>
      <c r="G37" s="338">
        <f>MIN(MAX(ROUND(ROUND('Loonschijven_Tranches salariale'!$Q36*0.6,4)*Basisbedragen!$I$2,2),ROUND(Basisbedragen!$D$46*Basisbedragen!$I$2,2)),ROUND(ROUND(Basisbedragen!$D$32*0.6,4)*Basisbedragen!$I$2,2))</f>
        <v>49.43</v>
      </c>
      <c r="H37" s="348"/>
      <c r="I37" s="52">
        <f>MIN(MAX(ROUND(ROUND('Loonschijven_Tranches salariale'!$Q36*0.6,4)*Basisbedragen!$I$2,2),ROUND(Basisbedragen!$D$77*Basisbedragen!$I$2,2)),ROUND(ROUND(Basisbedragen!$D$29*0.6,4)*Basisbedragen!$I$2,2))</f>
        <v>73.98</v>
      </c>
      <c r="J37" s="52">
        <f>MIN(MAX(ROUND(ROUND('Loonschijven_Tranches salariale'!$Q36*0.6,4)*Basisbedragen!$I$2,2),ROUND(Basisbedragen!$D$78*Basisbedragen!$I$2,2)),ROUND(ROUND(Basisbedragen!$D$29*0.6,4)*Basisbedragen!$I$2,2))</f>
        <v>65.17</v>
      </c>
      <c r="L37" s="52">
        <f t="shared" si="4"/>
        <v>42.6</v>
      </c>
      <c r="M37" s="52">
        <f>ROUND(MIN(MAX(ROUND(ROUND('Loonschijven_Tranches salariale'!$Q36*0.6,4)*Basisbedragen!$I$2,2),ROUND(Basisbedragen!$D$47*Basisbedragen!$I$2,2)),ROUND(ROUND(Basisbedragen!$D$30*0.6,4)*Basisbedragen!$I$2,2))/2,2)</f>
        <v>35.5</v>
      </c>
      <c r="O37" s="52">
        <f t="shared" si="5"/>
        <v>34.32</v>
      </c>
      <c r="P37" s="52">
        <f t="shared" si="6"/>
        <v>27.82</v>
      </c>
      <c r="Q37" s="52">
        <f t="shared" si="7"/>
        <v>24.72</v>
      </c>
      <c r="T37" s="160"/>
    </row>
    <row r="38" spans="1:20" ht="15" hidden="1" outlineLevel="1" thickBot="1">
      <c r="A38" s="47">
        <f t="shared" si="8"/>
        <v>30</v>
      </c>
      <c r="B38" s="52">
        <f t="shared" si="3"/>
        <v>85.19</v>
      </c>
      <c r="C38" s="52">
        <f>IF(MIN(MAX(ROUND(ROUND('Loonschijven_Tranches salariale'!$Q37*0.6,4)*Basisbedragen!$I$7,2),ROUND(Basisbedragen!$D$47*Basisbedragen!$I$7,2)),ROUND(ROUND(Basisbedragen!$D$30*0.6,4)*Basisbedragen!$I$7,2))&lt;= Basisbedragen!$I$8,MIN(MAX(ROUND(ROUND('Loonschijven_Tranches salariale'!$Q37*0.6,4)*Basisbedragen!$I$2,2),ROUND(Basisbedragen!$D$47*Basisbedragen!$I$2,2)),ROUND(ROUND(Basisbedragen!$D$30*0.6,4)*Basisbedragen!$I$2,2)),MIN(MAX(ROUND(ROUND('Loonschijven_Tranches salariale'!$Q37*0.6,4)*Basisbedragen!$I$7,2),ROUND(Basisbedragen!$D$47*Basisbedragen!$I$7,2)),ROUND(ROUND(Basisbedragen!$D$30*0.6,4)*Basisbedragen!$I$7,2))+Basisbedragen!$I$10)</f>
        <v>70.989999999999995</v>
      </c>
      <c r="E38" s="52">
        <f>MIN(MAX(ROUND(ROUND('Loonschijven_Tranches salariale'!$Q37*0.6,4)*Basisbedragen!$I$2,2),ROUND(Basisbedragen!$D$44*Basisbedragen!$I$2,2)),ROUND(ROUND(Basisbedragen!$D$32*0.6,4)*Basisbedragen!$I$2,2))</f>
        <v>68.63</v>
      </c>
      <c r="F38" s="52">
        <f>MIN(MAX(ROUND(ROUND('Loonschijven_Tranches salariale'!$Q37*0.6,4)*Basisbedragen!$I$2,2),ROUND(Basisbedragen!$D$45*Basisbedragen!$I$2,2)),ROUND(ROUND(Basisbedragen!$D$32*0.6,4)*Basisbedragen!$I$2,2))</f>
        <v>55.63</v>
      </c>
      <c r="G38" s="338">
        <f>MIN(MAX(ROUND(ROUND('Loonschijven_Tranches salariale'!$Q37*0.6,4)*Basisbedragen!$I$2,2),ROUND(Basisbedragen!$D$46*Basisbedragen!$I$2,2)),ROUND(ROUND(Basisbedragen!$D$32*0.6,4)*Basisbedragen!$I$2,2))</f>
        <v>49.43</v>
      </c>
      <c r="I38" s="52">
        <f>MIN(MAX(ROUND(ROUND('Loonschijven_Tranches salariale'!$Q37*0.6,4)*Basisbedragen!$I$2,2),ROUND(Basisbedragen!$D$77*Basisbedragen!$I$2,2)),ROUND(ROUND(Basisbedragen!$D$29*0.6,4)*Basisbedragen!$I$2,2))</f>
        <v>73.98</v>
      </c>
      <c r="J38" s="52">
        <f>MIN(MAX(ROUND(ROUND('Loonschijven_Tranches salariale'!$Q37*0.6,4)*Basisbedragen!$I$2,2),ROUND(Basisbedragen!$D$78*Basisbedragen!$I$2,2)),ROUND(ROUND(Basisbedragen!$D$29*0.6,4)*Basisbedragen!$I$2,2))</f>
        <v>65.17</v>
      </c>
      <c r="L38" s="52">
        <f t="shared" si="4"/>
        <v>42.6</v>
      </c>
      <c r="M38" s="52">
        <f>ROUND(MIN(MAX(ROUND(ROUND('Loonschijven_Tranches salariale'!$Q37*0.6,4)*Basisbedragen!$I$2,2),ROUND(Basisbedragen!$D$47*Basisbedragen!$I$2,2)),ROUND(ROUND(Basisbedragen!$D$30*0.6,4)*Basisbedragen!$I$2,2))/2,2)</f>
        <v>35.5</v>
      </c>
      <c r="O38" s="52">
        <f t="shared" si="5"/>
        <v>34.32</v>
      </c>
      <c r="P38" s="52">
        <f t="shared" si="6"/>
        <v>27.82</v>
      </c>
      <c r="Q38" s="52">
        <f t="shared" si="7"/>
        <v>24.72</v>
      </c>
      <c r="T38" s="160"/>
    </row>
    <row r="39" spans="1:20" ht="15" hidden="1" outlineLevel="1" thickBot="1">
      <c r="A39" s="47">
        <f t="shared" si="8"/>
        <v>31</v>
      </c>
      <c r="B39" s="52">
        <f t="shared" si="3"/>
        <v>85.19</v>
      </c>
      <c r="C39" s="52">
        <f>IF(MIN(MAX(ROUND(ROUND('Loonschijven_Tranches salariale'!$Q38*0.6,4)*Basisbedragen!$I$7,2),ROUND(Basisbedragen!$D$47*Basisbedragen!$I$7,2)),ROUND(ROUND(Basisbedragen!$D$30*0.6,4)*Basisbedragen!$I$7,2))&lt;= Basisbedragen!$I$8,MIN(MAX(ROUND(ROUND('Loonschijven_Tranches salariale'!$Q38*0.6,4)*Basisbedragen!$I$2,2),ROUND(Basisbedragen!$D$47*Basisbedragen!$I$2,2)),ROUND(ROUND(Basisbedragen!$D$30*0.6,4)*Basisbedragen!$I$2,2)),MIN(MAX(ROUND(ROUND('Loonschijven_Tranches salariale'!$Q38*0.6,4)*Basisbedragen!$I$7,2),ROUND(Basisbedragen!$D$47*Basisbedragen!$I$7,2)),ROUND(ROUND(Basisbedragen!$D$30*0.6,4)*Basisbedragen!$I$7,2))+Basisbedragen!$I$10)</f>
        <v>70.989999999999995</v>
      </c>
      <c r="E39" s="52">
        <f>MIN(MAX(ROUND(ROUND('Loonschijven_Tranches salariale'!$Q38*0.6,4)*Basisbedragen!$I$2,2),ROUND(Basisbedragen!$D$44*Basisbedragen!$I$2,2)),ROUND(ROUND(Basisbedragen!$D$32*0.6,4)*Basisbedragen!$I$2,2))</f>
        <v>68.63</v>
      </c>
      <c r="F39" s="52">
        <f>MIN(MAX(ROUND(ROUND('Loonschijven_Tranches salariale'!$Q38*0.6,4)*Basisbedragen!$I$2,2),ROUND(Basisbedragen!$D$45*Basisbedragen!$I$2,2)),ROUND(ROUND(Basisbedragen!$D$32*0.6,4)*Basisbedragen!$I$2,2))</f>
        <v>55.63</v>
      </c>
      <c r="G39" s="338">
        <f>MIN(MAX(ROUND(ROUND('Loonschijven_Tranches salariale'!$Q38*0.6,4)*Basisbedragen!$I$2,2),ROUND(Basisbedragen!$D$46*Basisbedragen!$I$2,2)),ROUND(ROUND(Basisbedragen!$D$32*0.6,4)*Basisbedragen!$I$2,2))</f>
        <v>49.43</v>
      </c>
      <c r="H39" s="348"/>
      <c r="I39" s="52">
        <f>MIN(MAX(ROUND(ROUND('Loonschijven_Tranches salariale'!$Q38*0.6,4)*Basisbedragen!$I$2,2),ROUND(Basisbedragen!$D$77*Basisbedragen!$I$2,2)),ROUND(ROUND(Basisbedragen!$D$29*0.6,4)*Basisbedragen!$I$2,2))</f>
        <v>73.98</v>
      </c>
      <c r="J39" s="52">
        <f>MIN(MAX(ROUND(ROUND('Loonschijven_Tranches salariale'!$Q38*0.6,4)*Basisbedragen!$I$2,2),ROUND(Basisbedragen!$D$78*Basisbedragen!$I$2,2)),ROUND(ROUND(Basisbedragen!$D$29*0.6,4)*Basisbedragen!$I$2,2))</f>
        <v>65.17</v>
      </c>
      <c r="L39" s="52">
        <f t="shared" si="4"/>
        <v>42.6</v>
      </c>
      <c r="M39" s="52">
        <f>ROUND(MIN(MAX(ROUND(ROUND('Loonschijven_Tranches salariale'!$Q38*0.6,4)*Basisbedragen!$I$2,2),ROUND(Basisbedragen!$D$47*Basisbedragen!$I$2,2)),ROUND(ROUND(Basisbedragen!$D$30*0.6,4)*Basisbedragen!$I$2,2))/2,2)</f>
        <v>35.5</v>
      </c>
      <c r="O39" s="52">
        <f t="shared" si="5"/>
        <v>34.32</v>
      </c>
      <c r="P39" s="52">
        <f t="shared" si="6"/>
        <v>27.82</v>
      </c>
      <c r="Q39" s="52">
        <f t="shared" si="7"/>
        <v>24.72</v>
      </c>
      <c r="T39" s="160"/>
    </row>
    <row r="40" spans="1:20" ht="15" hidden="1" outlineLevel="1" thickBot="1">
      <c r="A40" s="47">
        <f t="shared" si="8"/>
        <v>32</v>
      </c>
      <c r="B40" s="52">
        <f t="shared" si="3"/>
        <v>85.19</v>
      </c>
      <c r="C40" s="52">
        <f>IF(MIN(MAX(ROUND(ROUND('Loonschijven_Tranches salariale'!$Q39*0.6,4)*Basisbedragen!$I$7,2),ROUND(Basisbedragen!$D$47*Basisbedragen!$I$7,2)),ROUND(ROUND(Basisbedragen!$D$30*0.6,4)*Basisbedragen!$I$7,2))&lt;= Basisbedragen!$I$8,MIN(MAX(ROUND(ROUND('Loonschijven_Tranches salariale'!$Q39*0.6,4)*Basisbedragen!$I$2,2),ROUND(Basisbedragen!$D$47*Basisbedragen!$I$2,2)),ROUND(ROUND(Basisbedragen!$D$30*0.6,4)*Basisbedragen!$I$2,2)),MIN(MAX(ROUND(ROUND('Loonschijven_Tranches salariale'!$Q39*0.6,4)*Basisbedragen!$I$7,2),ROUND(Basisbedragen!$D$47*Basisbedragen!$I$7,2)),ROUND(ROUND(Basisbedragen!$D$30*0.6,4)*Basisbedragen!$I$7,2))+Basisbedragen!$I$10)</f>
        <v>70.989999999999995</v>
      </c>
      <c r="E40" s="52">
        <f>MIN(MAX(ROUND(ROUND('Loonschijven_Tranches salariale'!$Q39*0.6,4)*Basisbedragen!$I$2,2),ROUND(Basisbedragen!$D$44*Basisbedragen!$I$2,2)),ROUND(ROUND(Basisbedragen!$D$32*0.6,4)*Basisbedragen!$I$2,2))</f>
        <v>68.63</v>
      </c>
      <c r="F40" s="52">
        <f>MIN(MAX(ROUND(ROUND('Loonschijven_Tranches salariale'!$Q39*0.6,4)*Basisbedragen!$I$2,2),ROUND(Basisbedragen!$D$45*Basisbedragen!$I$2,2)),ROUND(ROUND(Basisbedragen!$D$32*0.6,4)*Basisbedragen!$I$2,2))</f>
        <v>55.63</v>
      </c>
      <c r="G40" s="338">
        <f>MIN(MAX(ROUND(ROUND('Loonschijven_Tranches salariale'!$Q39*0.6,4)*Basisbedragen!$I$2,2),ROUND(Basisbedragen!$D$46*Basisbedragen!$I$2,2)),ROUND(ROUND(Basisbedragen!$D$32*0.6,4)*Basisbedragen!$I$2,2))</f>
        <v>49.43</v>
      </c>
      <c r="H40" s="348"/>
      <c r="I40" s="52">
        <f>MIN(MAX(ROUND(ROUND('Loonschijven_Tranches salariale'!$Q39*0.6,4)*Basisbedragen!$I$2,2),ROUND(Basisbedragen!$D$77*Basisbedragen!$I$2,2)),ROUND(ROUND(Basisbedragen!$D$29*0.6,4)*Basisbedragen!$I$2,2))</f>
        <v>73.98</v>
      </c>
      <c r="J40" s="52">
        <f>MIN(MAX(ROUND(ROUND('Loonschijven_Tranches salariale'!$Q39*0.6,4)*Basisbedragen!$I$2,2),ROUND(Basisbedragen!$D$78*Basisbedragen!$I$2,2)),ROUND(ROUND(Basisbedragen!$D$29*0.6,4)*Basisbedragen!$I$2,2))</f>
        <v>65.17</v>
      </c>
      <c r="L40" s="52">
        <f t="shared" si="4"/>
        <v>42.6</v>
      </c>
      <c r="M40" s="52">
        <f>ROUND(MIN(MAX(ROUND(ROUND('Loonschijven_Tranches salariale'!$Q39*0.6,4)*Basisbedragen!$I$2,2),ROUND(Basisbedragen!$D$47*Basisbedragen!$I$2,2)),ROUND(ROUND(Basisbedragen!$D$30*0.6,4)*Basisbedragen!$I$2,2))/2,2)</f>
        <v>35.5</v>
      </c>
      <c r="O40" s="52">
        <f t="shared" si="5"/>
        <v>34.32</v>
      </c>
      <c r="P40" s="52">
        <f t="shared" si="6"/>
        <v>27.82</v>
      </c>
      <c r="Q40" s="52">
        <f t="shared" si="7"/>
        <v>24.72</v>
      </c>
      <c r="T40" s="160"/>
    </row>
    <row r="41" spans="1:20" ht="15" hidden="1" outlineLevel="1" thickBot="1">
      <c r="A41" s="47">
        <f t="shared" si="8"/>
        <v>33</v>
      </c>
      <c r="B41" s="52">
        <f t="shared" si="3"/>
        <v>85.19</v>
      </c>
      <c r="C41" s="52">
        <f>IF(MIN(MAX(ROUND(ROUND('Loonschijven_Tranches salariale'!$Q40*0.6,4)*Basisbedragen!$I$7,2),ROUND(Basisbedragen!$D$47*Basisbedragen!$I$7,2)),ROUND(ROUND(Basisbedragen!$D$30*0.6,4)*Basisbedragen!$I$7,2))&lt;= Basisbedragen!$I$8,MIN(MAX(ROUND(ROUND('Loonschijven_Tranches salariale'!$Q40*0.6,4)*Basisbedragen!$I$2,2),ROUND(Basisbedragen!$D$47*Basisbedragen!$I$2,2)),ROUND(ROUND(Basisbedragen!$D$30*0.6,4)*Basisbedragen!$I$2,2)),MIN(MAX(ROUND(ROUND('Loonschijven_Tranches salariale'!$Q40*0.6,4)*Basisbedragen!$I$7,2),ROUND(Basisbedragen!$D$47*Basisbedragen!$I$7,2)),ROUND(ROUND(Basisbedragen!$D$30*0.6,4)*Basisbedragen!$I$7,2))+Basisbedragen!$I$10)</f>
        <v>70.989999999999995</v>
      </c>
      <c r="E41" s="52">
        <f>MIN(MAX(ROUND(ROUND('Loonschijven_Tranches salariale'!$Q40*0.6,4)*Basisbedragen!$I$2,2),ROUND(Basisbedragen!$D$44*Basisbedragen!$I$2,2)),ROUND(ROUND(Basisbedragen!$D$32*0.6,4)*Basisbedragen!$I$2,2))</f>
        <v>68.63</v>
      </c>
      <c r="F41" s="52">
        <f>MIN(MAX(ROUND(ROUND('Loonschijven_Tranches salariale'!$Q40*0.6,4)*Basisbedragen!$I$2,2),ROUND(Basisbedragen!$D$45*Basisbedragen!$I$2,2)),ROUND(ROUND(Basisbedragen!$D$32*0.6,4)*Basisbedragen!$I$2,2))</f>
        <v>55.63</v>
      </c>
      <c r="G41" s="338">
        <f>MIN(MAX(ROUND(ROUND('Loonschijven_Tranches salariale'!$Q40*0.6,4)*Basisbedragen!$I$2,2),ROUND(Basisbedragen!$D$46*Basisbedragen!$I$2,2)),ROUND(ROUND(Basisbedragen!$D$32*0.6,4)*Basisbedragen!$I$2,2))</f>
        <v>49.43</v>
      </c>
      <c r="H41" s="348"/>
      <c r="I41" s="52">
        <f>MIN(MAX(ROUND(ROUND('Loonschijven_Tranches salariale'!$Q40*0.6,4)*Basisbedragen!$I$2,2),ROUND(Basisbedragen!$D$77*Basisbedragen!$I$2,2)),ROUND(ROUND(Basisbedragen!$D$29*0.6,4)*Basisbedragen!$I$2,2))</f>
        <v>73.98</v>
      </c>
      <c r="J41" s="52">
        <f>MIN(MAX(ROUND(ROUND('Loonschijven_Tranches salariale'!$Q40*0.6,4)*Basisbedragen!$I$2,2),ROUND(Basisbedragen!$D$78*Basisbedragen!$I$2,2)),ROUND(ROUND(Basisbedragen!$D$29*0.6,4)*Basisbedragen!$I$2,2))</f>
        <v>65.17</v>
      </c>
      <c r="L41" s="52">
        <f t="shared" si="4"/>
        <v>42.6</v>
      </c>
      <c r="M41" s="52">
        <f>ROUND(MIN(MAX(ROUND(ROUND('Loonschijven_Tranches salariale'!$Q40*0.6,4)*Basisbedragen!$I$2,2),ROUND(Basisbedragen!$D$47*Basisbedragen!$I$2,2)),ROUND(ROUND(Basisbedragen!$D$30*0.6,4)*Basisbedragen!$I$2,2))/2,2)</f>
        <v>35.5</v>
      </c>
      <c r="O41" s="52">
        <f t="shared" si="5"/>
        <v>34.32</v>
      </c>
      <c r="P41" s="52">
        <f t="shared" si="6"/>
        <v>27.82</v>
      </c>
      <c r="Q41" s="52">
        <f t="shared" si="7"/>
        <v>24.72</v>
      </c>
      <c r="T41" s="160"/>
    </row>
    <row r="42" spans="1:20" ht="15" hidden="1" outlineLevel="1" thickBot="1">
      <c r="A42" s="47">
        <f t="shared" si="8"/>
        <v>34</v>
      </c>
      <c r="B42" s="52">
        <f t="shared" si="3"/>
        <v>85.19</v>
      </c>
      <c r="C42" s="52">
        <f>IF(MIN(MAX(ROUND(ROUND('Loonschijven_Tranches salariale'!$Q41*0.6,4)*Basisbedragen!$I$7,2),ROUND(Basisbedragen!$D$47*Basisbedragen!$I$7,2)),ROUND(ROUND(Basisbedragen!$D$30*0.6,4)*Basisbedragen!$I$7,2))&lt;= Basisbedragen!$I$8,MIN(MAX(ROUND(ROUND('Loonschijven_Tranches salariale'!$Q41*0.6,4)*Basisbedragen!$I$2,2),ROUND(Basisbedragen!$D$47*Basisbedragen!$I$2,2)),ROUND(ROUND(Basisbedragen!$D$30*0.6,4)*Basisbedragen!$I$2,2)),MIN(MAX(ROUND(ROUND('Loonschijven_Tranches salariale'!$Q41*0.6,4)*Basisbedragen!$I$7,2),ROUND(Basisbedragen!$D$47*Basisbedragen!$I$7,2)),ROUND(ROUND(Basisbedragen!$D$30*0.6,4)*Basisbedragen!$I$7,2))+Basisbedragen!$I$10)</f>
        <v>70.989999999999995</v>
      </c>
      <c r="E42" s="52">
        <f>MIN(MAX(ROUND(ROUND('Loonschijven_Tranches salariale'!$Q41*0.6,4)*Basisbedragen!$I$2,2),ROUND(Basisbedragen!$D$44*Basisbedragen!$I$2,2)),ROUND(ROUND(Basisbedragen!$D$32*0.6,4)*Basisbedragen!$I$2,2))</f>
        <v>68.63</v>
      </c>
      <c r="F42" s="52">
        <f>MIN(MAX(ROUND(ROUND('Loonschijven_Tranches salariale'!$Q41*0.6,4)*Basisbedragen!$I$2,2),ROUND(Basisbedragen!$D$45*Basisbedragen!$I$2,2)),ROUND(ROUND(Basisbedragen!$D$32*0.6,4)*Basisbedragen!$I$2,2))</f>
        <v>55.63</v>
      </c>
      <c r="G42" s="338">
        <f>MIN(MAX(ROUND(ROUND('Loonschijven_Tranches salariale'!$Q41*0.6,4)*Basisbedragen!$I$2,2),ROUND(Basisbedragen!$D$46*Basisbedragen!$I$2,2)),ROUND(ROUND(Basisbedragen!$D$32*0.6,4)*Basisbedragen!$I$2,2))</f>
        <v>49.43</v>
      </c>
      <c r="H42" s="348"/>
      <c r="I42" s="52">
        <f>MIN(MAX(ROUND(ROUND('Loonschijven_Tranches salariale'!$Q41*0.6,4)*Basisbedragen!$I$2,2),ROUND(Basisbedragen!$D$77*Basisbedragen!$I$2,2)),ROUND(ROUND(Basisbedragen!$D$29*0.6,4)*Basisbedragen!$I$2,2))</f>
        <v>73.98</v>
      </c>
      <c r="J42" s="52">
        <f>MIN(MAX(ROUND(ROUND('Loonschijven_Tranches salariale'!$Q41*0.6,4)*Basisbedragen!$I$2,2),ROUND(Basisbedragen!$D$78*Basisbedragen!$I$2,2)),ROUND(ROUND(Basisbedragen!$D$29*0.6,4)*Basisbedragen!$I$2,2))</f>
        <v>65.17</v>
      </c>
      <c r="L42" s="52">
        <f t="shared" si="4"/>
        <v>42.6</v>
      </c>
      <c r="M42" s="52">
        <f>ROUND(MIN(MAX(ROUND(ROUND('Loonschijven_Tranches salariale'!$Q41*0.6,4)*Basisbedragen!$I$2,2),ROUND(Basisbedragen!$D$47*Basisbedragen!$I$2,2)),ROUND(ROUND(Basisbedragen!$D$30*0.6,4)*Basisbedragen!$I$2,2))/2,2)</f>
        <v>35.5</v>
      </c>
      <c r="O42" s="52">
        <f t="shared" si="5"/>
        <v>34.32</v>
      </c>
      <c r="P42" s="52">
        <f t="shared" si="6"/>
        <v>27.82</v>
      </c>
      <c r="Q42" s="52">
        <f t="shared" si="7"/>
        <v>24.72</v>
      </c>
      <c r="T42" s="160"/>
    </row>
    <row r="43" spans="1:20" ht="15" hidden="1" outlineLevel="1" thickBot="1">
      <c r="A43" s="47">
        <f t="shared" si="8"/>
        <v>35</v>
      </c>
      <c r="B43" s="52">
        <f t="shared" si="3"/>
        <v>85.19</v>
      </c>
      <c r="C43" s="52">
        <f>IF(MIN(MAX(ROUND(ROUND('Loonschijven_Tranches salariale'!$Q42*0.6,4)*Basisbedragen!$I$7,2),ROUND(Basisbedragen!$D$47*Basisbedragen!$I$7,2)),ROUND(ROUND(Basisbedragen!$D$30*0.6,4)*Basisbedragen!$I$7,2))&lt;= Basisbedragen!$I$8,MIN(MAX(ROUND(ROUND('Loonschijven_Tranches salariale'!$Q42*0.6,4)*Basisbedragen!$I$2,2),ROUND(Basisbedragen!$D$47*Basisbedragen!$I$2,2)),ROUND(ROUND(Basisbedragen!$D$30*0.6,4)*Basisbedragen!$I$2,2)),MIN(MAX(ROUND(ROUND('Loonschijven_Tranches salariale'!$Q42*0.6,4)*Basisbedragen!$I$7,2),ROUND(Basisbedragen!$D$47*Basisbedragen!$I$7,2)),ROUND(ROUND(Basisbedragen!$D$30*0.6,4)*Basisbedragen!$I$7,2))+Basisbedragen!$I$10)</f>
        <v>70.989999999999995</v>
      </c>
      <c r="E43" s="52">
        <f>MIN(MAX(ROUND(ROUND('Loonschijven_Tranches salariale'!$Q42*0.6,4)*Basisbedragen!$I$2,2),ROUND(Basisbedragen!$D$44*Basisbedragen!$I$2,2)),ROUND(ROUND(Basisbedragen!$D$32*0.6,4)*Basisbedragen!$I$2,2))</f>
        <v>68.63</v>
      </c>
      <c r="F43" s="52">
        <f>MIN(MAX(ROUND(ROUND('Loonschijven_Tranches salariale'!$Q42*0.6,4)*Basisbedragen!$I$2,2),ROUND(Basisbedragen!$D$45*Basisbedragen!$I$2,2)),ROUND(ROUND(Basisbedragen!$D$32*0.6,4)*Basisbedragen!$I$2,2))</f>
        <v>55.63</v>
      </c>
      <c r="G43" s="338">
        <f>MIN(MAX(ROUND(ROUND('Loonschijven_Tranches salariale'!$Q42*0.6,4)*Basisbedragen!$I$2,2),ROUND(Basisbedragen!$D$46*Basisbedragen!$I$2,2)),ROUND(ROUND(Basisbedragen!$D$32*0.6,4)*Basisbedragen!$I$2,2))</f>
        <v>49.43</v>
      </c>
      <c r="I43" s="52">
        <f>MIN(MAX(ROUND(ROUND('Loonschijven_Tranches salariale'!$Q42*0.6,4)*Basisbedragen!$I$2,2),ROUND(Basisbedragen!$D$77*Basisbedragen!$I$2,2)),ROUND(ROUND(Basisbedragen!$D$29*0.6,4)*Basisbedragen!$I$2,2))</f>
        <v>73.98</v>
      </c>
      <c r="J43" s="52">
        <f>MIN(MAX(ROUND(ROUND('Loonschijven_Tranches salariale'!$Q42*0.6,4)*Basisbedragen!$I$2,2),ROUND(Basisbedragen!$D$78*Basisbedragen!$I$2,2)),ROUND(ROUND(Basisbedragen!$D$29*0.6,4)*Basisbedragen!$I$2,2))</f>
        <v>65.17</v>
      </c>
      <c r="L43" s="52">
        <f t="shared" si="4"/>
        <v>42.6</v>
      </c>
      <c r="M43" s="52">
        <f>ROUND(MIN(MAX(ROUND(ROUND('Loonschijven_Tranches salariale'!$Q42*0.6,4)*Basisbedragen!$I$2,2),ROUND(Basisbedragen!$D$47*Basisbedragen!$I$2,2)),ROUND(ROUND(Basisbedragen!$D$30*0.6,4)*Basisbedragen!$I$2,2))/2,2)</f>
        <v>35.5</v>
      </c>
      <c r="O43" s="52">
        <f t="shared" si="5"/>
        <v>34.32</v>
      </c>
      <c r="P43" s="52">
        <f t="shared" si="6"/>
        <v>27.82</v>
      </c>
      <c r="Q43" s="52">
        <f t="shared" si="7"/>
        <v>24.72</v>
      </c>
      <c r="T43" s="160"/>
    </row>
    <row r="44" spans="1:20" ht="15" hidden="1" outlineLevel="1" thickBot="1">
      <c r="A44" s="47">
        <f t="shared" si="8"/>
        <v>36</v>
      </c>
      <c r="B44" s="52">
        <f t="shared" si="3"/>
        <v>85.19</v>
      </c>
      <c r="C44" s="52">
        <f>IF(MIN(MAX(ROUND(ROUND('Loonschijven_Tranches salariale'!$Q43*0.6,4)*Basisbedragen!$I$7,2),ROUND(Basisbedragen!$D$47*Basisbedragen!$I$7,2)),ROUND(ROUND(Basisbedragen!$D$30*0.6,4)*Basisbedragen!$I$7,2))&lt;= Basisbedragen!$I$8,MIN(MAX(ROUND(ROUND('Loonschijven_Tranches salariale'!$Q43*0.6,4)*Basisbedragen!$I$2,2),ROUND(Basisbedragen!$D$47*Basisbedragen!$I$2,2)),ROUND(ROUND(Basisbedragen!$D$30*0.6,4)*Basisbedragen!$I$2,2)),MIN(MAX(ROUND(ROUND('Loonschijven_Tranches salariale'!$Q43*0.6,4)*Basisbedragen!$I$7,2),ROUND(Basisbedragen!$D$47*Basisbedragen!$I$7,2)),ROUND(ROUND(Basisbedragen!$D$30*0.6,4)*Basisbedragen!$I$7,2))+Basisbedragen!$I$10)</f>
        <v>70.989999999999995</v>
      </c>
      <c r="E44" s="52">
        <f>MIN(MAX(ROUND(ROUND('Loonschijven_Tranches salariale'!$Q43*0.6,4)*Basisbedragen!$I$2,2),ROUND(Basisbedragen!$D$44*Basisbedragen!$I$2,2)),ROUND(ROUND(Basisbedragen!$D$32*0.6,4)*Basisbedragen!$I$2,2))</f>
        <v>68.63</v>
      </c>
      <c r="F44" s="52">
        <f>MIN(MAX(ROUND(ROUND('Loonschijven_Tranches salariale'!$Q43*0.6,4)*Basisbedragen!$I$2,2),ROUND(Basisbedragen!$D$45*Basisbedragen!$I$2,2)),ROUND(ROUND(Basisbedragen!$D$32*0.6,4)*Basisbedragen!$I$2,2))</f>
        <v>55.63</v>
      </c>
      <c r="G44" s="338">
        <f>MIN(MAX(ROUND(ROUND('Loonschijven_Tranches salariale'!$Q43*0.6,4)*Basisbedragen!$I$2,2),ROUND(Basisbedragen!$D$46*Basisbedragen!$I$2,2)),ROUND(ROUND(Basisbedragen!$D$32*0.6,4)*Basisbedragen!$I$2,2))</f>
        <v>49.43</v>
      </c>
      <c r="H44" s="348"/>
      <c r="I44" s="52">
        <f>MIN(MAX(ROUND(ROUND('Loonschijven_Tranches salariale'!$Q43*0.6,4)*Basisbedragen!$I$2,2),ROUND(Basisbedragen!$D$77*Basisbedragen!$I$2,2)),ROUND(ROUND(Basisbedragen!$D$29*0.6,4)*Basisbedragen!$I$2,2))</f>
        <v>73.98</v>
      </c>
      <c r="J44" s="52">
        <f>MIN(MAX(ROUND(ROUND('Loonschijven_Tranches salariale'!$Q43*0.6,4)*Basisbedragen!$I$2,2),ROUND(Basisbedragen!$D$78*Basisbedragen!$I$2,2)),ROUND(ROUND(Basisbedragen!$D$29*0.6,4)*Basisbedragen!$I$2,2))</f>
        <v>65.17</v>
      </c>
      <c r="L44" s="52">
        <f t="shared" si="4"/>
        <v>42.6</v>
      </c>
      <c r="M44" s="52">
        <f>ROUND(MIN(MAX(ROUND(ROUND('Loonschijven_Tranches salariale'!$Q43*0.6,4)*Basisbedragen!$I$2,2),ROUND(Basisbedragen!$D$47*Basisbedragen!$I$2,2)),ROUND(ROUND(Basisbedragen!$D$30*0.6,4)*Basisbedragen!$I$2,2))/2,2)</f>
        <v>35.5</v>
      </c>
      <c r="O44" s="52">
        <f t="shared" si="5"/>
        <v>34.32</v>
      </c>
      <c r="P44" s="52">
        <f t="shared" si="6"/>
        <v>27.82</v>
      </c>
      <c r="Q44" s="52">
        <f t="shared" si="7"/>
        <v>24.72</v>
      </c>
      <c r="T44" s="160"/>
    </row>
    <row r="45" spans="1:20" ht="15" hidden="1" outlineLevel="1" thickBot="1">
      <c r="A45" s="47">
        <f t="shared" si="8"/>
        <v>37</v>
      </c>
      <c r="B45" s="52">
        <f t="shared" si="3"/>
        <v>85.19</v>
      </c>
      <c r="C45" s="52">
        <f>IF(MIN(MAX(ROUND(ROUND('Loonschijven_Tranches salariale'!$Q44*0.6,4)*Basisbedragen!$I$7,2),ROUND(Basisbedragen!$D$47*Basisbedragen!$I$7,2)),ROUND(ROUND(Basisbedragen!$D$30*0.6,4)*Basisbedragen!$I$7,2))&lt;= Basisbedragen!$I$8,MIN(MAX(ROUND(ROUND('Loonschijven_Tranches salariale'!$Q44*0.6,4)*Basisbedragen!$I$2,2),ROUND(Basisbedragen!$D$47*Basisbedragen!$I$2,2)),ROUND(ROUND(Basisbedragen!$D$30*0.6,4)*Basisbedragen!$I$2,2)),MIN(MAX(ROUND(ROUND('Loonschijven_Tranches salariale'!$Q44*0.6,4)*Basisbedragen!$I$7,2),ROUND(Basisbedragen!$D$47*Basisbedragen!$I$7,2)),ROUND(ROUND(Basisbedragen!$D$30*0.6,4)*Basisbedragen!$I$7,2))+Basisbedragen!$I$10)</f>
        <v>70.989999999999995</v>
      </c>
      <c r="E45" s="52">
        <f>MIN(MAX(ROUND(ROUND('Loonschijven_Tranches salariale'!$Q44*0.6,4)*Basisbedragen!$I$2,2),ROUND(Basisbedragen!$D$44*Basisbedragen!$I$2,2)),ROUND(ROUND(Basisbedragen!$D$32*0.6,4)*Basisbedragen!$I$2,2))</f>
        <v>68.63</v>
      </c>
      <c r="F45" s="52">
        <f>MIN(MAX(ROUND(ROUND('Loonschijven_Tranches salariale'!$Q44*0.6,4)*Basisbedragen!$I$2,2),ROUND(Basisbedragen!$D$45*Basisbedragen!$I$2,2)),ROUND(ROUND(Basisbedragen!$D$32*0.6,4)*Basisbedragen!$I$2,2))</f>
        <v>55.63</v>
      </c>
      <c r="G45" s="338">
        <f>MIN(MAX(ROUND(ROUND('Loonschijven_Tranches salariale'!$Q44*0.6,4)*Basisbedragen!$I$2,2),ROUND(Basisbedragen!$D$46*Basisbedragen!$I$2,2)),ROUND(ROUND(Basisbedragen!$D$32*0.6,4)*Basisbedragen!$I$2,2))</f>
        <v>49.43</v>
      </c>
      <c r="H45" s="348"/>
      <c r="I45" s="52">
        <f>MIN(MAX(ROUND(ROUND('Loonschijven_Tranches salariale'!$Q44*0.6,4)*Basisbedragen!$I$2,2),ROUND(Basisbedragen!$D$77*Basisbedragen!$I$2,2)),ROUND(ROUND(Basisbedragen!$D$29*0.6,4)*Basisbedragen!$I$2,2))</f>
        <v>73.98</v>
      </c>
      <c r="J45" s="52">
        <f>MIN(MAX(ROUND(ROUND('Loonschijven_Tranches salariale'!$Q44*0.6,4)*Basisbedragen!$I$2,2),ROUND(Basisbedragen!$D$78*Basisbedragen!$I$2,2)),ROUND(ROUND(Basisbedragen!$D$29*0.6,4)*Basisbedragen!$I$2,2))</f>
        <v>65.17</v>
      </c>
      <c r="L45" s="52">
        <f t="shared" si="4"/>
        <v>42.6</v>
      </c>
      <c r="M45" s="52">
        <f>ROUND(MIN(MAX(ROUND(ROUND('Loonschijven_Tranches salariale'!$Q44*0.6,4)*Basisbedragen!$I$2,2),ROUND(Basisbedragen!$D$47*Basisbedragen!$I$2,2)),ROUND(ROUND(Basisbedragen!$D$30*0.6,4)*Basisbedragen!$I$2,2))/2,2)</f>
        <v>35.5</v>
      </c>
      <c r="O45" s="52">
        <f t="shared" si="5"/>
        <v>34.32</v>
      </c>
      <c r="P45" s="52">
        <f t="shared" si="6"/>
        <v>27.82</v>
      </c>
      <c r="Q45" s="52">
        <f t="shared" si="7"/>
        <v>24.72</v>
      </c>
      <c r="T45" s="160"/>
    </row>
    <row r="46" spans="1:20" ht="15" hidden="1" outlineLevel="1" thickBot="1">
      <c r="A46" s="47">
        <f t="shared" si="8"/>
        <v>38</v>
      </c>
      <c r="B46" s="52">
        <f t="shared" si="3"/>
        <v>85.19</v>
      </c>
      <c r="C46" s="52">
        <f>IF(MIN(MAX(ROUND(ROUND('Loonschijven_Tranches salariale'!$Q45*0.6,4)*Basisbedragen!$I$7,2),ROUND(Basisbedragen!$D$47*Basisbedragen!$I$7,2)),ROUND(ROUND(Basisbedragen!$D$30*0.6,4)*Basisbedragen!$I$7,2))&lt;= Basisbedragen!$I$8,MIN(MAX(ROUND(ROUND('Loonschijven_Tranches salariale'!$Q45*0.6,4)*Basisbedragen!$I$2,2),ROUND(Basisbedragen!$D$47*Basisbedragen!$I$2,2)),ROUND(ROUND(Basisbedragen!$D$30*0.6,4)*Basisbedragen!$I$2,2)),MIN(MAX(ROUND(ROUND('Loonschijven_Tranches salariale'!$Q45*0.6,4)*Basisbedragen!$I$7,2),ROUND(Basisbedragen!$D$47*Basisbedragen!$I$7,2)),ROUND(ROUND(Basisbedragen!$D$30*0.6,4)*Basisbedragen!$I$7,2))+Basisbedragen!$I$10)</f>
        <v>70.989999999999995</v>
      </c>
      <c r="E46" s="52">
        <f>MIN(MAX(ROUND(ROUND('Loonschijven_Tranches salariale'!$Q45*0.6,4)*Basisbedragen!$I$2,2),ROUND(Basisbedragen!$D$44*Basisbedragen!$I$2,2)),ROUND(ROUND(Basisbedragen!$D$32*0.6,4)*Basisbedragen!$I$2,2))</f>
        <v>68.63</v>
      </c>
      <c r="F46" s="52">
        <f>MIN(MAX(ROUND(ROUND('Loonschijven_Tranches salariale'!$Q45*0.6,4)*Basisbedragen!$I$2,2),ROUND(Basisbedragen!$D$45*Basisbedragen!$I$2,2)),ROUND(ROUND(Basisbedragen!$D$32*0.6,4)*Basisbedragen!$I$2,2))</f>
        <v>55.63</v>
      </c>
      <c r="G46" s="338">
        <f>MIN(MAX(ROUND(ROUND('Loonschijven_Tranches salariale'!$Q45*0.6,4)*Basisbedragen!$I$2,2),ROUND(Basisbedragen!$D$46*Basisbedragen!$I$2,2)),ROUND(ROUND(Basisbedragen!$D$32*0.6,4)*Basisbedragen!$I$2,2))</f>
        <v>49.43</v>
      </c>
      <c r="H46" s="348"/>
      <c r="I46" s="52">
        <f>MIN(MAX(ROUND(ROUND('Loonschijven_Tranches salariale'!$Q45*0.6,4)*Basisbedragen!$I$2,2),ROUND(Basisbedragen!$D$77*Basisbedragen!$I$2,2)),ROUND(ROUND(Basisbedragen!$D$29*0.6,4)*Basisbedragen!$I$2,2))</f>
        <v>73.98</v>
      </c>
      <c r="J46" s="52">
        <f>MIN(MAX(ROUND(ROUND('Loonschijven_Tranches salariale'!$Q45*0.6,4)*Basisbedragen!$I$2,2),ROUND(Basisbedragen!$D$78*Basisbedragen!$I$2,2)),ROUND(ROUND(Basisbedragen!$D$29*0.6,4)*Basisbedragen!$I$2,2))</f>
        <v>65.17</v>
      </c>
      <c r="L46" s="52">
        <f t="shared" si="4"/>
        <v>42.6</v>
      </c>
      <c r="M46" s="52">
        <f>ROUND(MIN(MAX(ROUND(ROUND('Loonschijven_Tranches salariale'!$Q45*0.6,4)*Basisbedragen!$I$2,2),ROUND(Basisbedragen!$D$47*Basisbedragen!$I$2,2)),ROUND(ROUND(Basisbedragen!$D$30*0.6,4)*Basisbedragen!$I$2,2))/2,2)</f>
        <v>35.5</v>
      </c>
      <c r="O46" s="52">
        <f t="shared" si="5"/>
        <v>34.32</v>
      </c>
      <c r="P46" s="52">
        <f t="shared" si="6"/>
        <v>27.82</v>
      </c>
      <c r="Q46" s="52">
        <f t="shared" si="7"/>
        <v>24.72</v>
      </c>
      <c r="T46" s="160"/>
    </row>
    <row r="47" spans="1:20" ht="15" hidden="1" outlineLevel="1" thickBot="1">
      <c r="A47" s="47">
        <f t="shared" si="8"/>
        <v>39</v>
      </c>
      <c r="B47" s="52">
        <f t="shared" si="3"/>
        <v>85.19</v>
      </c>
      <c r="C47" s="52">
        <f>IF(MIN(MAX(ROUND(ROUND('Loonschijven_Tranches salariale'!$Q46*0.6,4)*Basisbedragen!$I$7,2),ROUND(Basisbedragen!$D$47*Basisbedragen!$I$7,2)),ROUND(ROUND(Basisbedragen!$D$30*0.6,4)*Basisbedragen!$I$7,2))&lt;= Basisbedragen!$I$8,MIN(MAX(ROUND(ROUND('Loonschijven_Tranches salariale'!$Q46*0.6,4)*Basisbedragen!$I$2,2),ROUND(Basisbedragen!$D$47*Basisbedragen!$I$2,2)),ROUND(ROUND(Basisbedragen!$D$30*0.6,4)*Basisbedragen!$I$2,2)),MIN(MAX(ROUND(ROUND('Loonschijven_Tranches salariale'!$Q46*0.6,4)*Basisbedragen!$I$7,2),ROUND(Basisbedragen!$D$47*Basisbedragen!$I$7,2)),ROUND(ROUND(Basisbedragen!$D$30*0.6,4)*Basisbedragen!$I$7,2))+Basisbedragen!$I$10)</f>
        <v>70.989999999999995</v>
      </c>
      <c r="E47" s="52">
        <f>MIN(MAX(ROUND(ROUND('Loonschijven_Tranches salariale'!$Q46*0.6,4)*Basisbedragen!$I$2,2),ROUND(Basisbedragen!$D$44*Basisbedragen!$I$2,2)),ROUND(ROUND(Basisbedragen!$D$32*0.6,4)*Basisbedragen!$I$2,2))</f>
        <v>68.63</v>
      </c>
      <c r="F47" s="52">
        <f>MIN(MAX(ROUND(ROUND('Loonschijven_Tranches salariale'!$Q46*0.6,4)*Basisbedragen!$I$2,2),ROUND(Basisbedragen!$D$45*Basisbedragen!$I$2,2)),ROUND(ROUND(Basisbedragen!$D$32*0.6,4)*Basisbedragen!$I$2,2))</f>
        <v>55.63</v>
      </c>
      <c r="G47" s="338">
        <f>MIN(MAX(ROUND(ROUND('Loonschijven_Tranches salariale'!$Q46*0.6,4)*Basisbedragen!$I$2,2),ROUND(Basisbedragen!$D$46*Basisbedragen!$I$2,2)),ROUND(ROUND(Basisbedragen!$D$32*0.6,4)*Basisbedragen!$I$2,2))</f>
        <v>49.43</v>
      </c>
      <c r="H47" s="348"/>
      <c r="I47" s="52">
        <f>MIN(MAX(ROUND(ROUND('Loonschijven_Tranches salariale'!$Q46*0.6,4)*Basisbedragen!$I$2,2),ROUND(Basisbedragen!$D$77*Basisbedragen!$I$2,2)),ROUND(ROUND(Basisbedragen!$D$29*0.6,4)*Basisbedragen!$I$2,2))</f>
        <v>73.98</v>
      </c>
      <c r="J47" s="52">
        <f>MIN(MAX(ROUND(ROUND('Loonschijven_Tranches salariale'!$Q46*0.6,4)*Basisbedragen!$I$2,2),ROUND(Basisbedragen!$D$78*Basisbedragen!$I$2,2)),ROUND(ROUND(Basisbedragen!$D$29*0.6,4)*Basisbedragen!$I$2,2))</f>
        <v>65.17</v>
      </c>
      <c r="L47" s="52">
        <f t="shared" si="4"/>
        <v>42.6</v>
      </c>
      <c r="M47" s="52">
        <f>ROUND(MIN(MAX(ROUND(ROUND('Loonschijven_Tranches salariale'!$Q46*0.6,4)*Basisbedragen!$I$2,2),ROUND(Basisbedragen!$D$47*Basisbedragen!$I$2,2)),ROUND(ROUND(Basisbedragen!$D$30*0.6,4)*Basisbedragen!$I$2,2))/2,2)</f>
        <v>35.5</v>
      </c>
      <c r="O47" s="52">
        <f t="shared" si="5"/>
        <v>34.32</v>
      </c>
      <c r="P47" s="52">
        <f t="shared" si="6"/>
        <v>27.82</v>
      </c>
      <c r="Q47" s="52">
        <f t="shared" si="7"/>
        <v>24.72</v>
      </c>
      <c r="T47" s="160"/>
    </row>
    <row r="48" spans="1:20" ht="15" collapsed="1" thickBot="1">
      <c r="A48" s="47">
        <f t="shared" si="8"/>
        <v>40</v>
      </c>
      <c r="B48" s="52">
        <f t="shared" si="3"/>
        <v>85.19</v>
      </c>
      <c r="C48" s="52">
        <f>IF(MIN(MAX(ROUND(ROUND('Loonschijven_Tranches salariale'!$Q47*0.6,4)*Basisbedragen!$I$7,2),ROUND(Basisbedragen!$D$47*Basisbedragen!$I$7,2)),ROUND(ROUND(Basisbedragen!$D$30*0.6,4)*Basisbedragen!$I$7,2))&lt;= Basisbedragen!$I$8,MIN(MAX(ROUND(ROUND('Loonschijven_Tranches salariale'!$Q47*0.6,4)*Basisbedragen!$I$2,2),ROUND(Basisbedragen!$D$47*Basisbedragen!$I$2,2)),ROUND(ROUND(Basisbedragen!$D$30*0.6,4)*Basisbedragen!$I$2,2)),MIN(MAX(ROUND(ROUND('Loonschijven_Tranches salariale'!$Q47*0.6,4)*Basisbedragen!$I$7,2),ROUND(Basisbedragen!$D$47*Basisbedragen!$I$7,2)),ROUND(ROUND(Basisbedragen!$D$30*0.6,4)*Basisbedragen!$I$7,2))+Basisbedragen!$I$10)</f>
        <v>70.989999999999995</v>
      </c>
      <c r="E48" s="52">
        <f>MIN(MAX(ROUND(ROUND('Loonschijven_Tranches salariale'!$Q47*0.6,4)*Basisbedragen!$I$2,2),ROUND(Basisbedragen!$D$44*Basisbedragen!$I$2,2)),ROUND(ROUND(Basisbedragen!$D$32*0.6,4)*Basisbedragen!$I$2,2))</f>
        <v>68.63</v>
      </c>
      <c r="F48" s="52">
        <f>MIN(MAX(ROUND(ROUND('Loonschijven_Tranches salariale'!$Q47*0.6,4)*Basisbedragen!$I$2,2),ROUND(Basisbedragen!$D$45*Basisbedragen!$I$2,2)),ROUND(ROUND(Basisbedragen!$D$32*0.6,4)*Basisbedragen!$I$2,2))</f>
        <v>55.63</v>
      </c>
      <c r="G48" s="338">
        <f>MIN(MAX(ROUND(ROUND('Loonschijven_Tranches salariale'!$Q47*0.6,4)*Basisbedragen!$I$2,2),ROUND(Basisbedragen!$D$46*Basisbedragen!$I$2,2)),ROUND(ROUND(Basisbedragen!$D$32*0.6,4)*Basisbedragen!$I$2,2))</f>
        <v>49.43</v>
      </c>
      <c r="I48" s="52">
        <f>MIN(MAX(ROUND(ROUND('Loonschijven_Tranches salariale'!$Q47*0.6,4)*Basisbedragen!$I$2,2),ROUND(Basisbedragen!$D$77*Basisbedragen!$I$2,2)),ROUND(ROUND(Basisbedragen!$D$29*0.6,4)*Basisbedragen!$I$2,2))</f>
        <v>73.98</v>
      </c>
      <c r="J48" s="52">
        <f>MIN(MAX(ROUND(ROUND('Loonschijven_Tranches salariale'!$Q47*0.6,4)*Basisbedragen!$I$2,2),ROUND(Basisbedragen!$D$78*Basisbedragen!$I$2,2)),ROUND(ROUND(Basisbedragen!$D$29*0.6,4)*Basisbedragen!$I$2,2))</f>
        <v>65.17</v>
      </c>
      <c r="L48" s="52">
        <f t="shared" si="4"/>
        <v>42.6</v>
      </c>
      <c r="M48" s="52">
        <f>ROUND(MIN(MAX(ROUND(ROUND('Loonschijven_Tranches salariale'!$Q47*0.6,4)*Basisbedragen!$I$2,2),ROUND(Basisbedragen!$D$47*Basisbedragen!$I$2,2)),ROUND(ROUND(Basisbedragen!$D$30*0.6,4)*Basisbedragen!$I$2,2))/2,2)</f>
        <v>35.5</v>
      </c>
      <c r="O48" s="52">
        <f t="shared" si="5"/>
        <v>34.32</v>
      </c>
      <c r="P48" s="52">
        <f t="shared" si="6"/>
        <v>27.82</v>
      </c>
      <c r="Q48" s="52">
        <f t="shared" si="7"/>
        <v>24.72</v>
      </c>
      <c r="T48" s="160"/>
    </row>
    <row r="49" spans="1:20" ht="15" thickBot="1">
      <c r="A49" s="47">
        <f t="shared" si="8"/>
        <v>41</v>
      </c>
      <c r="B49" s="52">
        <f t="shared" si="3"/>
        <v>85.19</v>
      </c>
      <c r="C49" s="52">
        <f>IF(MIN(MAX(ROUND(ROUND('Loonschijven_Tranches salariale'!$Q48*0.6,4)*Basisbedragen!$I$7,2),ROUND(Basisbedragen!$D$47*Basisbedragen!$I$7,2)),ROUND(ROUND(Basisbedragen!$D$30*0.6,4)*Basisbedragen!$I$7,2))&lt;= Basisbedragen!$I$8,MIN(MAX(ROUND(ROUND('Loonschijven_Tranches salariale'!$Q48*0.6,4)*Basisbedragen!$I$2,2),ROUND(Basisbedragen!$D$47*Basisbedragen!$I$2,2)),ROUND(ROUND(Basisbedragen!$D$30*0.6,4)*Basisbedragen!$I$2,2)),MIN(MAX(ROUND(ROUND('Loonschijven_Tranches salariale'!$Q48*0.6,4)*Basisbedragen!$I$7,2),ROUND(Basisbedragen!$D$47*Basisbedragen!$I$7,2)),ROUND(ROUND(Basisbedragen!$D$30*0.6,4)*Basisbedragen!$I$7,2))+Basisbedragen!$I$10)</f>
        <v>70.989999999999995</v>
      </c>
      <c r="E49" s="52">
        <f>MIN(MAX(ROUND(ROUND('Loonschijven_Tranches salariale'!$Q48*0.6,4)*Basisbedragen!$I$2,2),ROUND(Basisbedragen!$D$44*Basisbedragen!$I$2,2)),ROUND(ROUND(Basisbedragen!$D$32*0.6,4)*Basisbedragen!$I$2,2))</f>
        <v>68.63</v>
      </c>
      <c r="F49" s="52">
        <f>MIN(MAX(ROUND(ROUND('Loonschijven_Tranches salariale'!$Q48*0.6,4)*Basisbedragen!$I$2,2),ROUND(Basisbedragen!$D$45*Basisbedragen!$I$2,2)),ROUND(ROUND(Basisbedragen!$D$32*0.6,4)*Basisbedragen!$I$2,2))</f>
        <v>55.63</v>
      </c>
      <c r="G49" s="338">
        <f>MIN(MAX(ROUND(ROUND('Loonschijven_Tranches salariale'!$Q48*0.6,4)*Basisbedragen!$I$2,2),ROUND(Basisbedragen!$D$46*Basisbedragen!$I$2,2)),ROUND(ROUND(Basisbedragen!$D$32*0.6,4)*Basisbedragen!$I$2,2))</f>
        <v>49.72</v>
      </c>
      <c r="H49" s="348"/>
      <c r="I49" s="52">
        <f>MIN(MAX(ROUND(ROUND('Loonschijven_Tranches salariale'!$Q48*0.6,4)*Basisbedragen!$I$2,2),ROUND(Basisbedragen!$D$77*Basisbedragen!$I$2,2)),ROUND(ROUND(Basisbedragen!$D$29*0.6,4)*Basisbedragen!$I$2,2))</f>
        <v>73.98</v>
      </c>
      <c r="J49" s="52">
        <f>MIN(MAX(ROUND(ROUND('Loonschijven_Tranches salariale'!$Q48*0.6,4)*Basisbedragen!$I$2,2),ROUND(Basisbedragen!$D$78*Basisbedragen!$I$2,2)),ROUND(ROUND(Basisbedragen!$D$29*0.6,4)*Basisbedragen!$I$2,2))</f>
        <v>65.17</v>
      </c>
      <c r="L49" s="52">
        <f t="shared" si="4"/>
        <v>42.6</v>
      </c>
      <c r="M49" s="52">
        <f>ROUND(MIN(MAX(ROUND(ROUND('Loonschijven_Tranches salariale'!$Q48*0.6,4)*Basisbedragen!$I$2,2),ROUND(Basisbedragen!$D$47*Basisbedragen!$I$2,2)),ROUND(ROUND(Basisbedragen!$D$30*0.6,4)*Basisbedragen!$I$2,2))/2,2)</f>
        <v>35.5</v>
      </c>
      <c r="O49" s="52">
        <f t="shared" si="5"/>
        <v>34.32</v>
      </c>
      <c r="P49" s="52">
        <f t="shared" si="6"/>
        <v>27.82</v>
      </c>
      <c r="Q49" s="52">
        <f t="shared" si="7"/>
        <v>24.86</v>
      </c>
      <c r="T49" s="160"/>
    </row>
    <row r="50" spans="1:20" ht="15" thickBot="1">
      <c r="A50" s="47">
        <f t="shared" si="8"/>
        <v>42</v>
      </c>
      <c r="B50" s="52">
        <f t="shared" si="3"/>
        <v>85.19</v>
      </c>
      <c r="C50" s="52">
        <f>IF(MIN(MAX(ROUND(ROUND('Loonschijven_Tranches salariale'!$Q49*0.6,4)*Basisbedragen!$I$7,2),ROUND(Basisbedragen!$D$47*Basisbedragen!$I$7,2)),ROUND(ROUND(Basisbedragen!$D$30*0.6,4)*Basisbedragen!$I$7,2))&lt;= Basisbedragen!$I$8,MIN(MAX(ROUND(ROUND('Loonschijven_Tranches salariale'!$Q49*0.6,4)*Basisbedragen!$I$2,2),ROUND(Basisbedragen!$D$47*Basisbedragen!$I$2,2)),ROUND(ROUND(Basisbedragen!$D$30*0.6,4)*Basisbedragen!$I$2,2)),MIN(MAX(ROUND(ROUND('Loonschijven_Tranches salariale'!$Q49*0.6,4)*Basisbedragen!$I$7,2),ROUND(Basisbedragen!$D$47*Basisbedragen!$I$7,2)),ROUND(ROUND(Basisbedragen!$D$30*0.6,4)*Basisbedragen!$I$7,2))+Basisbedragen!$I$10)</f>
        <v>70.989999999999995</v>
      </c>
      <c r="E50" s="52">
        <f>MIN(MAX(ROUND(ROUND('Loonschijven_Tranches salariale'!$Q49*0.6,4)*Basisbedragen!$I$2,2),ROUND(Basisbedragen!$D$44*Basisbedragen!$I$2,2)),ROUND(ROUND(Basisbedragen!$D$32*0.6,4)*Basisbedragen!$I$2,2))</f>
        <v>68.63</v>
      </c>
      <c r="F50" s="52">
        <f>MIN(MAX(ROUND(ROUND('Loonschijven_Tranches salariale'!$Q49*0.6,4)*Basisbedragen!$I$2,2),ROUND(Basisbedragen!$D$45*Basisbedragen!$I$2,2)),ROUND(ROUND(Basisbedragen!$D$32*0.6,4)*Basisbedragen!$I$2,2))</f>
        <v>55.63</v>
      </c>
      <c r="G50" s="338">
        <f>MIN(MAX(ROUND(ROUND('Loonschijven_Tranches salariale'!$Q49*0.6,4)*Basisbedragen!$I$2,2),ROUND(Basisbedragen!$D$46*Basisbedragen!$I$2,2)),ROUND(ROUND(Basisbedragen!$D$32*0.6,4)*Basisbedragen!$I$2,2))</f>
        <v>50.66</v>
      </c>
      <c r="H50" s="348"/>
      <c r="I50" s="52">
        <f>MIN(MAX(ROUND(ROUND('Loonschijven_Tranches salariale'!$Q49*0.6,4)*Basisbedragen!$I$2,2),ROUND(Basisbedragen!$D$77*Basisbedragen!$I$2,2)),ROUND(ROUND(Basisbedragen!$D$29*0.6,4)*Basisbedragen!$I$2,2))</f>
        <v>73.98</v>
      </c>
      <c r="J50" s="52">
        <f>MIN(MAX(ROUND(ROUND('Loonschijven_Tranches salariale'!$Q49*0.6,4)*Basisbedragen!$I$2,2),ROUND(Basisbedragen!$D$78*Basisbedragen!$I$2,2)),ROUND(ROUND(Basisbedragen!$D$29*0.6,4)*Basisbedragen!$I$2,2))</f>
        <v>65.17</v>
      </c>
      <c r="L50" s="52">
        <f t="shared" si="4"/>
        <v>42.6</v>
      </c>
      <c r="M50" s="52">
        <f>ROUND(MIN(MAX(ROUND(ROUND('Loonschijven_Tranches salariale'!$Q49*0.6,4)*Basisbedragen!$I$2,2),ROUND(Basisbedragen!$D$47*Basisbedragen!$I$2,2)),ROUND(ROUND(Basisbedragen!$D$30*0.6,4)*Basisbedragen!$I$2,2))/2,2)</f>
        <v>35.5</v>
      </c>
      <c r="O50" s="52">
        <f t="shared" si="5"/>
        <v>34.32</v>
      </c>
      <c r="P50" s="52">
        <f t="shared" si="6"/>
        <v>27.82</v>
      </c>
      <c r="Q50" s="52">
        <f t="shared" si="7"/>
        <v>25.33</v>
      </c>
      <c r="T50" s="160"/>
    </row>
    <row r="51" spans="1:20" ht="15" thickBot="1">
      <c r="A51" s="47">
        <f t="shared" si="8"/>
        <v>43</v>
      </c>
      <c r="B51" s="52">
        <f t="shared" si="3"/>
        <v>85.19</v>
      </c>
      <c r="C51" s="52">
        <f>IF(MIN(MAX(ROUND(ROUND('Loonschijven_Tranches salariale'!$Q50*0.6,4)*Basisbedragen!$I$7,2),ROUND(Basisbedragen!$D$47*Basisbedragen!$I$7,2)),ROUND(ROUND(Basisbedragen!$D$30*0.6,4)*Basisbedragen!$I$7,2))&lt;= Basisbedragen!$I$8,MIN(MAX(ROUND(ROUND('Loonschijven_Tranches salariale'!$Q50*0.6,4)*Basisbedragen!$I$2,2),ROUND(Basisbedragen!$D$47*Basisbedragen!$I$2,2)),ROUND(ROUND(Basisbedragen!$D$30*0.6,4)*Basisbedragen!$I$2,2)),MIN(MAX(ROUND(ROUND('Loonschijven_Tranches salariale'!$Q50*0.6,4)*Basisbedragen!$I$7,2),ROUND(Basisbedragen!$D$47*Basisbedragen!$I$7,2)),ROUND(ROUND(Basisbedragen!$D$30*0.6,4)*Basisbedragen!$I$7,2))+Basisbedragen!$I$10)</f>
        <v>70.989999999999995</v>
      </c>
      <c r="E51" s="52">
        <f>MIN(MAX(ROUND(ROUND('Loonschijven_Tranches salariale'!$Q50*0.6,4)*Basisbedragen!$I$2,2),ROUND(Basisbedragen!$D$44*Basisbedragen!$I$2,2)),ROUND(ROUND(Basisbedragen!$D$32*0.6,4)*Basisbedragen!$I$2,2))</f>
        <v>68.63</v>
      </c>
      <c r="F51" s="52">
        <f>MIN(MAX(ROUND(ROUND('Loonschijven_Tranches salariale'!$Q50*0.6,4)*Basisbedragen!$I$2,2),ROUND(Basisbedragen!$D$45*Basisbedragen!$I$2,2)),ROUND(ROUND(Basisbedragen!$D$32*0.6,4)*Basisbedragen!$I$2,2))</f>
        <v>55.63</v>
      </c>
      <c r="G51" s="338">
        <f>MIN(MAX(ROUND(ROUND('Loonschijven_Tranches salariale'!$Q50*0.6,4)*Basisbedragen!$I$2,2),ROUND(Basisbedragen!$D$46*Basisbedragen!$I$2,2)),ROUND(ROUND(Basisbedragen!$D$32*0.6,4)*Basisbedragen!$I$2,2))</f>
        <v>51.6</v>
      </c>
      <c r="H51" s="348"/>
      <c r="I51" s="52">
        <f>MIN(MAX(ROUND(ROUND('Loonschijven_Tranches salariale'!$Q50*0.6,4)*Basisbedragen!$I$2,2),ROUND(Basisbedragen!$D$77*Basisbedragen!$I$2,2)),ROUND(ROUND(Basisbedragen!$D$29*0.6,4)*Basisbedragen!$I$2,2))</f>
        <v>73.98</v>
      </c>
      <c r="J51" s="52">
        <f>MIN(MAX(ROUND(ROUND('Loonschijven_Tranches salariale'!$Q50*0.6,4)*Basisbedragen!$I$2,2),ROUND(Basisbedragen!$D$78*Basisbedragen!$I$2,2)),ROUND(ROUND(Basisbedragen!$D$29*0.6,4)*Basisbedragen!$I$2,2))</f>
        <v>65.17</v>
      </c>
      <c r="L51" s="52">
        <f t="shared" si="4"/>
        <v>42.6</v>
      </c>
      <c r="M51" s="52">
        <f>ROUND(MIN(MAX(ROUND(ROUND('Loonschijven_Tranches salariale'!$Q50*0.6,4)*Basisbedragen!$I$2,2),ROUND(Basisbedragen!$D$47*Basisbedragen!$I$2,2)),ROUND(ROUND(Basisbedragen!$D$30*0.6,4)*Basisbedragen!$I$2,2))/2,2)</f>
        <v>35.5</v>
      </c>
      <c r="O51" s="52">
        <f t="shared" si="5"/>
        <v>34.32</v>
      </c>
      <c r="P51" s="52">
        <f t="shared" si="6"/>
        <v>27.82</v>
      </c>
      <c r="Q51" s="52">
        <f t="shared" si="7"/>
        <v>25.8</v>
      </c>
      <c r="T51" s="160"/>
    </row>
    <row r="52" spans="1:20" ht="15" thickBot="1">
      <c r="A52" s="47">
        <f t="shared" si="8"/>
        <v>44</v>
      </c>
      <c r="B52" s="52">
        <f t="shared" si="3"/>
        <v>85.19</v>
      </c>
      <c r="C52" s="52">
        <f>IF(MIN(MAX(ROUND(ROUND('Loonschijven_Tranches salariale'!$Q51*0.6,4)*Basisbedragen!$I$7,2),ROUND(Basisbedragen!$D$47*Basisbedragen!$I$7,2)),ROUND(ROUND(Basisbedragen!$D$30*0.6,4)*Basisbedragen!$I$7,2))&lt;= Basisbedragen!$I$8,MIN(MAX(ROUND(ROUND('Loonschijven_Tranches salariale'!$Q51*0.6,4)*Basisbedragen!$I$2,2),ROUND(Basisbedragen!$D$47*Basisbedragen!$I$2,2)),ROUND(ROUND(Basisbedragen!$D$30*0.6,4)*Basisbedragen!$I$2,2)),MIN(MAX(ROUND(ROUND('Loonschijven_Tranches salariale'!$Q51*0.6,4)*Basisbedragen!$I$7,2),ROUND(Basisbedragen!$D$47*Basisbedragen!$I$7,2)),ROUND(ROUND(Basisbedragen!$D$30*0.6,4)*Basisbedragen!$I$7,2))+Basisbedragen!$I$10)</f>
        <v>70.989999999999995</v>
      </c>
      <c r="E52" s="52">
        <f>MIN(MAX(ROUND(ROUND('Loonschijven_Tranches salariale'!$Q51*0.6,4)*Basisbedragen!$I$2,2),ROUND(Basisbedragen!$D$44*Basisbedragen!$I$2,2)),ROUND(ROUND(Basisbedragen!$D$32*0.6,4)*Basisbedragen!$I$2,2))</f>
        <v>68.63</v>
      </c>
      <c r="F52" s="52">
        <f>MIN(MAX(ROUND(ROUND('Loonschijven_Tranches salariale'!$Q51*0.6,4)*Basisbedragen!$I$2,2),ROUND(Basisbedragen!$D$45*Basisbedragen!$I$2,2)),ROUND(ROUND(Basisbedragen!$D$32*0.6,4)*Basisbedragen!$I$2,2))</f>
        <v>55.63</v>
      </c>
      <c r="G52" s="338">
        <f>MIN(MAX(ROUND(ROUND('Loonschijven_Tranches salariale'!$Q51*0.6,4)*Basisbedragen!$I$2,2),ROUND(Basisbedragen!$D$46*Basisbedragen!$I$2,2)),ROUND(ROUND(Basisbedragen!$D$32*0.6,4)*Basisbedragen!$I$2,2))</f>
        <v>52.53</v>
      </c>
      <c r="H52" s="348"/>
      <c r="I52" s="52">
        <f>MIN(MAX(ROUND(ROUND('Loonschijven_Tranches salariale'!$Q51*0.6,4)*Basisbedragen!$I$2,2),ROUND(Basisbedragen!$D$77*Basisbedragen!$I$2,2)),ROUND(ROUND(Basisbedragen!$D$29*0.6,4)*Basisbedragen!$I$2,2))</f>
        <v>73.98</v>
      </c>
      <c r="J52" s="52">
        <f>MIN(MAX(ROUND(ROUND('Loonschijven_Tranches salariale'!$Q51*0.6,4)*Basisbedragen!$I$2,2),ROUND(Basisbedragen!$D$78*Basisbedragen!$I$2,2)),ROUND(ROUND(Basisbedragen!$D$29*0.6,4)*Basisbedragen!$I$2,2))</f>
        <v>65.17</v>
      </c>
      <c r="L52" s="52">
        <f t="shared" si="4"/>
        <v>42.6</v>
      </c>
      <c r="M52" s="52">
        <f>ROUND(MIN(MAX(ROUND(ROUND('Loonschijven_Tranches salariale'!$Q51*0.6,4)*Basisbedragen!$I$2,2),ROUND(Basisbedragen!$D$47*Basisbedragen!$I$2,2)),ROUND(ROUND(Basisbedragen!$D$30*0.6,4)*Basisbedragen!$I$2,2))/2,2)</f>
        <v>35.5</v>
      </c>
      <c r="O52" s="52">
        <f t="shared" si="5"/>
        <v>34.32</v>
      </c>
      <c r="P52" s="52">
        <f t="shared" si="6"/>
        <v>27.82</v>
      </c>
      <c r="Q52" s="52">
        <f t="shared" si="7"/>
        <v>26.27</v>
      </c>
      <c r="T52" s="160"/>
    </row>
    <row r="53" spans="1:20" ht="15" thickBot="1">
      <c r="A53" s="47">
        <f t="shared" si="8"/>
        <v>45</v>
      </c>
      <c r="B53" s="52">
        <f t="shared" si="3"/>
        <v>85.19</v>
      </c>
      <c r="C53" s="52">
        <f>IF(MIN(MAX(ROUND(ROUND('Loonschijven_Tranches salariale'!$Q52*0.6,4)*Basisbedragen!$I$7,2),ROUND(Basisbedragen!$D$47*Basisbedragen!$I$7,2)),ROUND(ROUND(Basisbedragen!$D$30*0.6,4)*Basisbedragen!$I$7,2))&lt;= Basisbedragen!$I$8,MIN(MAX(ROUND(ROUND('Loonschijven_Tranches salariale'!$Q52*0.6,4)*Basisbedragen!$I$2,2),ROUND(Basisbedragen!$D$47*Basisbedragen!$I$2,2)),ROUND(ROUND(Basisbedragen!$D$30*0.6,4)*Basisbedragen!$I$2,2)),MIN(MAX(ROUND(ROUND('Loonschijven_Tranches salariale'!$Q52*0.6,4)*Basisbedragen!$I$7,2),ROUND(Basisbedragen!$D$47*Basisbedragen!$I$7,2)),ROUND(ROUND(Basisbedragen!$D$30*0.6,4)*Basisbedragen!$I$7,2))+Basisbedragen!$I$10)</f>
        <v>70.989999999999995</v>
      </c>
      <c r="E53" s="52">
        <f>MIN(MAX(ROUND(ROUND('Loonschijven_Tranches salariale'!$Q52*0.6,4)*Basisbedragen!$I$2,2),ROUND(Basisbedragen!$D$44*Basisbedragen!$I$2,2)),ROUND(ROUND(Basisbedragen!$D$32*0.6,4)*Basisbedragen!$I$2,2))</f>
        <v>68.63</v>
      </c>
      <c r="F53" s="52">
        <f>MIN(MAX(ROUND(ROUND('Loonschijven_Tranches salariale'!$Q52*0.6,4)*Basisbedragen!$I$2,2),ROUND(Basisbedragen!$D$45*Basisbedragen!$I$2,2)),ROUND(ROUND(Basisbedragen!$D$32*0.6,4)*Basisbedragen!$I$2,2))</f>
        <v>55.63</v>
      </c>
      <c r="G53" s="338">
        <f>MIN(MAX(ROUND(ROUND('Loonschijven_Tranches salariale'!$Q52*0.6,4)*Basisbedragen!$I$2,2),ROUND(Basisbedragen!$D$46*Basisbedragen!$I$2,2)),ROUND(ROUND(Basisbedragen!$D$32*0.6,4)*Basisbedragen!$I$2,2))</f>
        <v>53.47</v>
      </c>
      <c r="I53" s="52">
        <f>MIN(MAX(ROUND(ROUND('Loonschijven_Tranches salariale'!$Q52*0.6,4)*Basisbedragen!$I$2,2),ROUND(Basisbedragen!$D$77*Basisbedragen!$I$2,2)),ROUND(ROUND(Basisbedragen!$D$29*0.6,4)*Basisbedragen!$I$2,2))</f>
        <v>73.98</v>
      </c>
      <c r="J53" s="52">
        <f>MIN(MAX(ROUND(ROUND('Loonschijven_Tranches salariale'!$Q52*0.6,4)*Basisbedragen!$I$2,2),ROUND(Basisbedragen!$D$78*Basisbedragen!$I$2,2)),ROUND(ROUND(Basisbedragen!$D$29*0.6,4)*Basisbedragen!$I$2,2))</f>
        <v>65.17</v>
      </c>
      <c r="L53" s="52">
        <f t="shared" si="4"/>
        <v>42.6</v>
      </c>
      <c r="M53" s="52">
        <f>ROUND(MIN(MAX(ROUND(ROUND('Loonschijven_Tranches salariale'!$Q52*0.6,4)*Basisbedragen!$I$2,2),ROUND(Basisbedragen!$D$47*Basisbedragen!$I$2,2)),ROUND(ROUND(Basisbedragen!$D$30*0.6,4)*Basisbedragen!$I$2,2))/2,2)</f>
        <v>35.5</v>
      </c>
      <c r="O53" s="52">
        <f t="shared" si="5"/>
        <v>34.32</v>
      </c>
      <c r="P53" s="52">
        <f t="shared" si="6"/>
        <v>27.82</v>
      </c>
      <c r="Q53" s="52">
        <f t="shared" si="7"/>
        <v>26.74</v>
      </c>
      <c r="T53" s="160"/>
    </row>
    <row r="54" spans="1:20" ht="15" thickBot="1">
      <c r="A54" s="47">
        <f t="shared" si="8"/>
        <v>46</v>
      </c>
      <c r="B54" s="52">
        <f t="shared" si="3"/>
        <v>85.19</v>
      </c>
      <c r="C54" s="52">
        <f>IF(MIN(MAX(ROUND(ROUND('Loonschijven_Tranches salariale'!$Q53*0.6,4)*Basisbedragen!$I$7,2),ROUND(Basisbedragen!$D$47*Basisbedragen!$I$7,2)),ROUND(ROUND(Basisbedragen!$D$30*0.6,4)*Basisbedragen!$I$7,2))&lt;= Basisbedragen!$I$8,MIN(MAX(ROUND(ROUND('Loonschijven_Tranches salariale'!$Q53*0.6,4)*Basisbedragen!$I$2,2),ROUND(Basisbedragen!$D$47*Basisbedragen!$I$2,2)),ROUND(ROUND(Basisbedragen!$D$30*0.6,4)*Basisbedragen!$I$2,2)),MIN(MAX(ROUND(ROUND('Loonschijven_Tranches salariale'!$Q53*0.6,4)*Basisbedragen!$I$7,2),ROUND(Basisbedragen!$D$47*Basisbedragen!$I$7,2)),ROUND(ROUND(Basisbedragen!$D$30*0.6,4)*Basisbedragen!$I$7,2))+Basisbedragen!$I$10)</f>
        <v>70.989999999999995</v>
      </c>
      <c r="E54" s="52">
        <f>MIN(MAX(ROUND(ROUND('Loonschijven_Tranches salariale'!$Q53*0.6,4)*Basisbedragen!$I$2,2),ROUND(Basisbedragen!$D$44*Basisbedragen!$I$2,2)),ROUND(ROUND(Basisbedragen!$D$32*0.6,4)*Basisbedragen!$I$2,2))</f>
        <v>68.63</v>
      </c>
      <c r="F54" s="52">
        <f>MIN(MAX(ROUND(ROUND('Loonschijven_Tranches salariale'!$Q53*0.6,4)*Basisbedragen!$I$2,2),ROUND(Basisbedragen!$D$45*Basisbedragen!$I$2,2)),ROUND(ROUND(Basisbedragen!$D$32*0.6,4)*Basisbedragen!$I$2,2))</f>
        <v>55.63</v>
      </c>
      <c r="G54" s="338">
        <f>MIN(MAX(ROUND(ROUND('Loonschijven_Tranches salariale'!$Q53*0.6,4)*Basisbedragen!$I$2,2),ROUND(Basisbedragen!$D$46*Basisbedragen!$I$2,2)),ROUND(ROUND(Basisbedragen!$D$32*0.6,4)*Basisbedragen!$I$2,2))</f>
        <v>54.41</v>
      </c>
      <c r="H54" s="348"/>
      <c r="I54" s="52">
        <f>MIN(MAX(ROUND(ROUND('Loonschijven_Tranches salariale'!$Q53*0.6,4)*Basisbedragen!$I$2,2),ROUND(Basisbedragen!$D$77*Basisbedragen!$I$2,2)),ROUND(ROUND(Basisbedragen!$D$29*0.6,4)*Basisbedragen!$I$2,2))</f>
        <v>73.98</v>
      </c>
      <c r="J54" s="52">
        <f>MIN(MAX(ROUND(ROUND('Loonschijven_Tranches salariale'!$Q53*0.6,4)*Basisbedragen!$I$2,2),ROUND(Basisbedragen!$D$78*Basisbedragen!$I$2,2)),ROUND(ROUND(Basisbedragen!$D$29*0.6,4)*Basisbedragen!$I$2,2))</f>
        <v>65.17</v>
      </c>
      <c r="L54" s="52">
        <f t="shared" si="4"/>
        <v>42.6</v>
      </c>
      <c r="M54" s="52">
        <f>ROUND(MIN(MAX(ROUND(ROUND('Loonschijven_Tranches salariale'!$Q53*0.6,4)*Basisbedragen!$I$2,2),ROUND(Basisbedragen!$D$47*Basisbedragen!$I$2,2)),ROUND(ROUND(Basisbedragen!$D$30*0.6,4)*Basisbedragen!$I$2,2))/2,2)</f>
        <v>35.5</v>
      </c>
      <c r="O54" s="52">
        <f t="shared" si="5"/>
        <v>34.32</v>
      </c>
      <c r="P54" s="52">
        <f t="shared" si="6"/>
        <v>27.82</v>
      </c>
      <c r="Q54" s="52">
        <f t="shared" si="7"/>
        <v>27.21</v>
      </c>
      <c r="T54" s="160"/>
    </row>
    <row r="55" spans="1:20" ht="15" thickBot="1">
      <c r="A55" s="47">
        <f t="shared" si="8"/>
        <v>47</v>
      </c>
      <c r="B55" s="52">
        <f t="shared" si="3"/>
        <v>85.19</v>
      </c>
      <c r="C55" s="52">
        <f>IF(MIN(MAX(ROUND(ROUND('Loonschijven_Tranches salariale'!$Q54*0.6,4)*Basisbedragen!$I$7,2),ROUND(Basisbedragen!$D$47*Basisbedragen!$I$7,2)),ROUND(ROUND(Basisbedragen!$D$30*0.6,4)*Basisbedragen!$I$7,2))&lt;= Basisbedragen!$I$8,MIN(MAX(ROUND(ROUND('Loonschijven_Tranches salariale'!$Q54*0.6,4)*Basisbedragen!$I$2,2),ROUND(Basisbedragen!$D$47*Basisbedragen!$I$2,2)),ROUND(ROUND(Basisbedragen!$D$30*0.6,4)*Basisbedragen!$I$2,2)),MIN(MAX(ROUND(ROUND('Loonschijven_Tranches salariale'!$Q54*0.6,4)*Basisbedragen!$I$7,2),ROUND(Basisbedragen!$D$47*Basisbedragen!$I$7,2)),ROUND(ROUND(Basisbedragen!$D$30*0.6,4)*Basisbedragen!$I$7,2))+Basisbedragen!$I$10)</f>
        <v>70.989999999999995</v>
      </c>
      <c r="E55" s="52">
        <f>MIN(MAX(ROUND(ROUND('Loonschijven_Tranches salariale'!$Q54*0.6,4)*Basisbedragen!$I$2,2),ROUND(Basisbedragen!$D$44*Basisbedragen!$I$2,2)),ROUND(ROUND(Basisbedragen!$D$32*0.6,4)*Basisbedragen!$I$2,2))</f>
        <v>68.63</v>
      </c>
      <c r="F55" s="52">
        <f>MIN(MAX(ROUND(ROUND('Loonschijven_Tranches salariale'!$Q54*0.6,4)*Basisbedragen!$I$2,2),ROUND(Basisbedragen!$D$45*Basisbedragen!$I$2,2)),ROUND(ROUND(Basisbedragen!$D$32*0.6,4)*Basisbedragen!$I$2,2))</f>
        <v>55.63</v>
      </c>
      <c r="G55" s="338">
        <f>MIN(MAX(ROUND(ROUND('Loonschijven_Tranches salariale'!$Q54*0.6,4)*Basisbedragen!$I$2,2),ROUND(Basisbedragen!$D$46*Basisbedragen!$I$2,2)),ROUND(ROUND(Basisbedragen!$D$32*0.6,4)*Basisbedragen!$I$2,2))</f>
        <v>55.35</v>
      </c>
      <c r="H55" s="348"/>
      <c r="I55" s="52">
        <f>MIN(MAX(ROUND(ROUND('Loonschijven_Tranches salariale'!$Q54*0.6,4)*Basisbedragen!$I$2,2),ROUND(Basisbedragen!$D$77*Basisbedragen!$I$2,2)),ROUND(ROUND(Basisbedragen!$D$29*0.6,4)*Basisbedragen!$I$2,2))</f>
        <v>73.98</v>
      </c>
      <c r="J55" s="52">
        <f>MIN(MAX(ROUND(ROUND('Loonschijven_Tranches salariale'!$Q54*0.6,4)*Basisbedragen!$I$2,2),ROUND(Basisbedragen!$D$78*Basisbedragen!$I$2,2)),ROUND(ROUND(Basisbedragen!$D$29*0.6,4)*Basisbedragen!$I$2,2))</f>
        <v>65.17</v>
      </c>
      <c r="L55" s="52">
        <f t="shared" si="4"/>
        <v>42.6</v>
      </c>
      <c r="M55" s="52">
        <f>ROUND(MIN(MAX(ROUND(ROUND('Loonschijven_Tranches salariale'!$Q54*0.6,4)*Basisbedragen!$I$2,2),ROUND(Basisbedragen!$D$47*Basisbedragen!$I$2,2)),ROUND(ROUND(Basisbedragen!$D$30*0.6,4)*Basisbedragen!$I$2,2))/2,2)</f>
        <v>35.5</v>
      </c>
      <c r="O55" s="52">
        <f t="shared" si="5"/>
        <v>34.32</v>
      </c>
      <c r="P55" s="52">
        <f t="shared" si="6"/>
        <v>27.82</v>
      </c>
      <c r="Q55" s="52">
        <f t="shared" si="7"/>
        <v>27.68</v>
      </c>
      <c r="T55" s="160"/>
    </row>
    <row r="56" spans="1:20" ht="15" thickBot="1">
      <c r="A56" s="47">
        <f t="shared" si="8"/>
        <v>48</v>
      </c>
      <c r="B56" s="52">
        <f t="shared" si="3"/>
        <v>85.19</v>
      </c>
      <c r="C56" s="52">
        <f>IF(MIN(MAX(ROUND(ROUND('Loonschijven_Tranches salariale'!$Q55*0.6,4)*Basisbedragen!$I$7,2),ROUND(Basisbedragen!$D$47*Basisbedragen!$I$7,2)),ROUND(ROUND(Basisbedragen!$D$30*0.6,4)*Basisbedragen!$I$7,2))&lt;= Basisbedragen!$I$8,MIN(MAX(ROUND(ROUND('Loonschijven_Tranches salariale'!$Q55*0.6,4)*Basisbedragen!$I$2,2),ROUND(Basisbedragen!$D$47*Basisbedragen!$I$2,2)),ROUND(ROUND(Basisbedragen!$D$30*0.6,4)*Basisbedragen!$I$2,2)),MIN(MAX(ROUND(ROUND('Loonschijven_Tranches salariale'!$Q55*0.6,4)*Basisbedragen!$I$7,2),ROUND(Basisbedragen!$D$47*Basisbedragen!$I$7,2)),ROUND(ROUND(Basisbedragen!$D$30*0.6,4)*Basisbedragen!$I$7,2))+Basisbedragen!$I$10)</f>
        <v>70.989999999999995</v>
      </c>
      <c r="E56" s="52">
        <f>MIN(MAX(ROUND(ROUND('Loonschijven_Tranches salariale'!$Q55*0.6,4)*Basisbedragen!$I$2,2),ROUND(Basisbedragen!$D$44*Basisbedragen!$I$2,2)),ROUND(ROUND(Basisbedragen!$D$32*0.6,4)*Basisbedragen!$I$2,2))</f>
        <v>68.63</v>
      </c>
      <c r="F56" s="52">
        <f>MIN(MAX(ROUND(ROUND('Loonschijven_Tranches salariale'!$Q55*0.6,4)*Basisbedragen!$I$2,2),ROUND(Basisbedragen!$D$45*Basisbedragen!$I$2,2)),ROUND(ROUND(Basisbedragen!$D$32*0.6,4)*Basisbedragen!$I$2,2))</f>
        <v>56.29</v>
      </c>
      <c r="G56" s="338">
        <f>MIN(MAX(ROUND(ROUND('Loonschijven_Tranches salariale'!$Q55*0.6,4)*Basisbedragen!$I$2,2),ROUND(Basisbedragen!$D$46*Basisbedragen!$I$2,2)),ROUND(ROUND(Basisbedragen!$D$32*0.6,4)*Basisbedragen!$I$2,2))</f>
        <v>56.29</v>
      </c>
      <c r="H56" s="348"/>
      <c r="I56" s="52">
        <f>MIN(MAX(ROUND(ROUND('Loonschijven_Tranches salariale'!$Q55*0.6,4)*Basisbedragen!$I$2,2),ROUND(Basisbedragen!$D$77*Basisbedragen!$I$2,2)),ROUND(ROUND(Basisbedragen!$D$29*0.6,4)*Basisbedragen!$I$2,2))</f>
        <v>73.98</v>
      </c>
      <c r="J56" s="52">
        <f>MIN(MAX(ROUND(ROUND('Loonschijven_Tranches salariale'!$Q55*0.6,4)*Basisbedragen!$I$2,2),ROUND(Basisbedragen!$D$78*Basisbedragen!$I$2,2)),ROUND(ROUND(Basisbedragen!$D$29*0.6,4)*Basisbedragen!$I$2,2))</f>
        <v>65.17</v>
      </c>
      <c r="L56" s="52">
        <f t="shared" si="4"/>
        <v>42.6</v>
      </c>
      <c r="M56" s="52">
        <f>ROUND(MIN(MAX(ROUND(ROUND('Loonschijven_Tranches salariale'!$Q55*0.6,4)*Basisbedragen!$I$2,2),ROUND(Basisbedragen!$D$47*Basisbedragen!$I$2,2)),ROUND(ROUND(Basisbedragen!$D$30*0.6,4)*Basisbedragen!$I$2,2))/2,2)</f>
        <v>35.5</v>
      </c>
      <c r="O56" s="52">
        <f t="shared" si="5"/>
        <v>34.32</v>
      </c>
      <c r="P56" s="52">
        <f t="shared" si="6"/>
        <v>28.15</v>
      </c>
      <c r="Q56" s="52">
        <f t="shared" si="7"/>
        <v>28.15</v>
      </c>
      <c r="T56" s="160"/>
    </row>
    <row r="57" spans="1:20" ht="15" thickBot="1">
      <c r="A57" s="47">
        <f t="shared" si="8"/>
        <v>49</v>
      </c>
      <c r="B57" s="52">
        <f t="shared" si="3"/>
        <v>85.19</v>
      </c>
      <c r="C57" s="52">
        <f>IF(MIN(MAX(ROUND(ROUND('Loonschijven_Tranches salariale'!$Q56*0.6,4)*Basisbedragen!$I$7,2),ROUND(Basisbedragen!$D$47*Basisbedragen!$I$7,2)),ROUND(ROUND(Basisbedragen!$D$30*0.6,4)*Basisbedragen!$I$7,2))&lt;= Basisbedragen!$I$8,MIN(MAX(ROUND(ROUND('Loonschijven_Tranches salariale'!$Q56*0.6,4)*Basisbedragen!$I$2,2),ROUND(Basisbedragen!$D$47*Basisbedragen!$I$2,2)),ROUND(ROUND(Basisbedragen!$D$30*0.6,4)*Basisbedragen!$I$2,2)),MIN(MAX(ROUND(ROUND('Loonschijven_Tranches salariale'!$Q56*0.6,4)*Basisbedragen!$I$7,2),ROUND(Basisbedragen!$D$47*Basisbedragen!$I$7,2)),ROUND(ROUND(Basisbedragen!$D$30*0.6,4)*Basisbedragen!$I$7,2))+Basisbedragen!$I$10)</f>
        <v>70.989999999999995</v>
      </c>
      <c r="E57" s="52">
        <f>MIN(MAX(ROUND(ROUND('Loonschijven_Tranches salariale'!$Q56*0.6,4)*Basisbedragen!$I$2,2),ROUND(Basisbedragen!$D$44*Basisbedragen!$I$2,2)),ROUND(ROUND(Basisbedragen!$D$32*0.6,4)*Basisbedragen!$I$2,2))</f>
        <v>68.63</v>
      </c>
      <c r="F57" s="52">
        <f>MIN(MAX(ROUND(ROUND('Loonschijven_Tranches salariale'!$Q56*0.6,4)*Basisbedragen!$I$2,2),ROUND(Basisbedragen!$D$45*Basisbedragen!$I$2,2)),ROUND(ROUND(Basisbedragen!$D$32*0.6,4)*Basisbedragen!$I$2,2))</f>
        <v>57.22</v>
      </c>
      <c r="G57" s="338">
        <f>MIN(MAX(ROUND(ROUND('Loonschijven_Tranches salariale'!$Q56*0.6,4)*Basisbedragen!$I$2,2),ROUND(Basisbedragen!$D$46*Basisbedragen!$I$2,2)),ROUND(ROUND(Basisbedragen!$D$32*0.6,4)*Basisbedragen!$I$2,2))</f>
        <v>57.22</v>
      </c>
      <c r="H57" s="348"/>
      <c r="I57" s="52">
        <f>MIN(MAX(ROUND(ROUND('Loonschijven_Tranches salariale'!$Q56*0.6,4)*Basisbedragen!$I$2,2),ROUND(Basisbedragen!$D$77*Basisbedragen!$I$2,2)),ROUND(ROUND(Basisbedragen!$D$29*0.6,4)*Basisbedragen!$I$2,2))</f>
        <v>73.98</v>
      </c>
      <c r="J57" s="52">
        <f>MIN(MAX(ROUND(ROUND('Loonschijven_Tranches salariale'!$Q56*0.6,4)*Basisbedragen!$I$2,2),ROUND(Basisbedragen!$D$78*Basisbedragen!$I$2,2)),ROUND(ROUND(Basisbedragen!$D$29*0.6,4)*Basisbedragen!$I$2,2))</f>
        <v>65.17</v>
      </c>
      <c r="L57" s="52">
        <f t="shared" si="4"/>
        <v>42.6</v>
      </c>
      <c r="M57" s="52">
        <f>ROUND(MIN(MAX(ROUND(ROUND('Loonschijven_Tranches salariale'!$Q56*0.6,4)*Basisbedragen!$I$2,2),ROUND(Basisbedragen!$D$47*Basisbedragen!$I$2,2)),ROUND(ROUND(Basisbedragen!$D$30*0.6,4)*Basisbedragen!$I$2,2))/2,2)</f>
        <v>35.5</v>
      </c>
      <c r="O57" s="52">
        <f t="shared" si="5"/>
        <v>34.32</v>
      </c>
      <c r="P57" s="52">
        <f t="shared" si="6"/>
        <v>28.61</v>
      </c>
      <c r="Q57" s="52">
        <f t="shared" si="7"/>
        <v>28.61</v>
      </c>
      <c r="T57" s="160"/>
    </row>
    <row r="58" spans="1:20" ht="15" thickBot="1">
      <c r="A58" s="47">
        <f t="shared" si="8"/>
        <v>50</v>
      </c>
      <c r="B58" s="52">
        <f t="shared" si="3"/>
        <v>85.19</v>
      </c>
      <c r="C58" s="52">
        <f>IF(MIN(MAX(ROUND(ROUND('Loonschijven_Tranches salariale'!$Q57*0.6,4)*Basisbedragen!$I$7,2),ROUND(Basisbedragen!$D$47*Basisbedragen!$I$7,2)),ROUND(ROUND(Basisbedragen!$D$30*0.6,4)*Basisbedragen!$I$7,2))&lt;= Basisbedragen!$I$8,MIN(MAX(ROUND(ROUND('Loonschijven_Tranches salariale'!$Q57*0.6,4)*Basisbedragen!$I$2,2),ROUND(Basisbedragen!$D$47*Basisbedragen!$I$2,2)),ROUND(ROUND(Basisbedragen!$D$30*0.6,4)*Basisbedragen!$I$2,2)),MIN(MAX(ROUND(ROUND('Loonschijven_Tranches salariale'!$Q57*0.6,4)*Basisbedragen!$I$7,2),ROUND(Basisbedragen!$D$47*Basisbedragen!$I$7,2)),ROUND(ROUND(Basisbedragen!$D$30*0.6,4)*Basisbedragen!$I$7,2))+Basisbedragen!$I$10)</f>
        <v>70.989999999999995</v>
      </c>
      <c r="E58" s="52">
        <f>MIN(MAX(ROUND(ROUND('Loonschijven_Tranches salariale'!$Q57*0.6,4)*Basisbedragen!$I$2,2),ROUND(Basisbedragen!$D$44*Basisbedragen!$I$2,2)),ROUND(ROUND(Basisbedragen!$D$32*0.6,4)*Basisbedragen!$I$2,2))</f>
        <v>68.63</v>
      </c>
      <c r="F58" s="52">
        <f>MIN(MAX(ROUND(ROUND('Loonschijven_Tranches salariale'!$Q57*0.6,4)*Basisbedragen!$I$2,2),ROUND(Basisbedragen!$D$45*Basisbedragen!$I$2,2)),ROUND(ROUND(Basisbedragen!$D$32*0.6,4)*Basisbedragen!$I$2,2))</f>
        <v>58.16</v>
      </c>
      <c r="G58" s="338">
        <f>MIN(MAX(ROUND(ROUND('Loonschijven_Tranches salariale'!$Q57*0.6,4)*Basisbedragen!$I$2,2),ROUND(Basisbedragen!$D$46*Basisbedragen!$I$2,2)),ROUND(ROUND(Basisbedragen!$D$32*0.6,4)*Basisbedragen!$I$2,2))</f>
        <v>58.16</v>
      </c>
      <c r="I58" s="52">
        <f>MIN(MAX(ROUND(ROUND('Loonschijven_Tranches salariale'!$Q57*0.6,4)*Basisbedragen!$I$2,2),ROUND(Basisbedragen!$D$77*Basisbedragen!$I$2,2)),ROUND(ROUND(Basisbedragen!$D$29*0.6,4)*Basisbedragen!$I$2,2))</f>
        <v>73.98</v>
      </c>
      <c r="J58" s="52">
        <f>MIN(MAX(ROUND(ROUND('Loonschijven_Tranches salariale'!$Q57*0.6,4)*Basisbedragen!$I$2,2),ROUND(Basisbedragen!$D$78*Basisbedragen!$I$2,2)),ROUND(ROUND(Basisbedragen!$D$29*0.6,4)*Basisbedragen!$I$2,2))</f>
        <v>65.17</v>
      </c>
      <c r="L58" s="52">
        <f t="shared" si="4"/>
        <v>42.6</v>
      </c>
      <c r="M58" s="52">
        <f>ROUND(MIN(MAX(ROUND(ROUND('Loonschijven_Tranches salariale'!$Q57*0.6,4)*Basisbedragen!$I$2,2),ROUND(Basisbedragen!$D$47*Basisbedragen!$I$2,2)),ROUND(ROUND(Basisbedragen!$D$30*0.6,4)*Basisbedragen!$I$2,2))/2,2)</f>
        <v>35.5</v>
      </c>
      <c r="O58" s="52">
        <f t="shared" si="5"/>
        <v>34.32</v>
      </c>
      <c r="P58" s="52">
        <f t="shared" si="6"/>
        <v>29.08</v>
      </c>
      <c r="Q58" s="52">
        <f t="shared" si="7"/>
        <v>29.08</v>
      </c>
      <c r="T58" s="160"/>
    </row>
    <row r="59" spans="1:20" ht="15" thickBot="1">
      <c r="A59" s="47">
        <f t="shared" si="8"/>
        <v>51</v>
      </c>
      <c r="B59" s="52">
        <f t="shared" si="3"/>
        <v>85.19</v>
      </c>
      <c r="C59" s="52">
        <f>IF(MIN(MAX(ROUND(ROUND('Loonschijven_Tranches salariale'!$Q58*0.6,4)*Basisbedragen!$I$7,2),ROUND(Basisbedragen!$D$47*Basisbedragen!$I$7,2)),ROUND(ROUND(Basisbedragen!$D$30*0.6,4)*Basisbedragen!$I$7,2))&lt;= Basisbedragen!$I$8,MIN(MAX(ROUND(ROUND('Loonschijven_Tranches salariale'!$Q58*0.6,4)*Basisbedragen!$I$2,2),ROUND(Basisbedragen!$D$47*Basisbedragen!$I$2,2)),ROUND(ROUND(Basisbedragen!$D$30*0.6,4)*Basisbedragen!$I$2,2)),MIN(MAX(ROUND(ROUND('Loonschijven_Tranches salariale'!$Q58*0.6,4)*Basisbedragen!$I$7,2),ROUND(Basisbedragen!$D$47*Basisbedragen!$I$7,2)),ROUND(ROUND(Basisbedragen!$D$30*0.6,4)*Basisbedragen!$I$7,2))+Basisbedragen!$I$10)</f>
        <v>70.989999999999995</v>
      </c>
      <c r="E59" s="52">
        <f>MIN(MAX(ROUND(ROUND('Loonschijven_Tranches salariale'!$Q58*0.6,4)*Basisbedragen!$I$2,2),ROUND(Basisbedragen!$D$44*Basisbedragen!$I$2,2)),ROUND(ROUND(Basisbedragen!$D$32*0.6,4)*Basisbedragen!$I$2,2))</f>
        <v>68.63</v>
      </c>
      <c r="F59" s="52">
        <f>MIN(MAX(ROUND(ROUND('Loonschijven_Tranches salariale'!$Q58*0.6,4)*Basisbedragen!$I$2,2),ROUND(Basisbedragen!$D$45*Basisbedragen!$I$2,2)),ROUND(ROUND(Basisbedragen!$D$32*0.6,4)*Basisbedragen!$I$2,2))</f>
        <v>59.1</v>
      </c>
      <c r="G59" s="338">
        <f>MIN(MAX(ROUND(ROUND('Loonschijven_Tranches salariale'!$Q58*0.6,4)*Basisbedragen!$I$2,2),ROUND(Basisbedragen!$D$46*Basisbedragen!$I$2,2)),ROUND(ROUND(Basisbedragen!$D$32*0.6,4)*Basisbedragen!$I$2,2))</f>
        <v>59.1</v>
      </c>
      <c r="H59" s="348"/>
      <c r="I59" s="52">
        <f>MIN(MAX(ROUND(ROUND('Loonschijven_Tranches salariale'!$Q58*0.6,4)*Basisbedragen!$I$2,2),ROUND(Basisbedragen!$D$77*Basisbedragen!$I$2,2)),ROUND(ROUND(Basisbedragen!$D$29*0.6,4)*Basisbedragen!$I$2,2))</f>
        <v>73.98</v>
      </c>
      <c r="J59" s="52">
        <f>MIN(MAX(ROUND(ROUND('Loonschijven_Tranches salariale'!$Q58*0.6,4)*Basisbedragen!$I$2,2),ROUND(Basisbedragen!$D$78*Basisbedragen!$I$2,2)),ROUND(ROUND(Basisbedragen!$D$29*0.6,4)*Basisbedragen!$I$2,2))</f>
        <v>65.17</v>
      </c>
      <c r="L59" s="52">
        <f t="shared" si="4"/>
        <v>42.6</v>
      </c>
      <c r="M59" s="52">
        <f>ROUND(MIN(MAX(ROUND(ROUND('Loonschijven_Tranches salariale'!$Q58*0.6,4)*Basisbedragen!$I$2,2),ROUND(Basisbedragen!$D$47*Basisbedragen!$I$2,2)),ROUND(ROUND(Basisbedragen!$D$30*0.6,4)*Basisbedragen!$I$2,2))/2,2)</f>
        <v>35.5</v>
      </c>
      <c r="O59" s="52">
        <f t="shared" si="5"/>
        <v>34.32</v>
      </c>
      <c r="P59" s="52">
        <f t="shared" si="6"/>
        <v>29.55</v>
      </c>
      <c r="Q59" s="52">
        <f t="shared" si="7"/>
        <v>29.55</v>
      </c>
      <c r="T59" s="160"/>
    </row>
    <row r="60" spans="1:20" ht="15" thickBot="1">
      <c r="A60" s="47">
        <f t="shared" si="8"/>
        <v>52</v>
      </c>
      <c r="B60" s="52">
        <f t="shared" si="3"/>
        <v>85.19</v>
      </c>
      <c r="C60" s="52">
        <f>IF(MIN(MAX(ROUND(ROUND('Loonschijven_Tranches salariale'!$Q59*0.6,4)*Basisbedragen!$I$7,2),ROUND(Basisbedragen!$D$47*Basisbedragen!$I$7,2)),ROUND(ROUND(Basisbedragen!$D$30*0.6,4)*Basisbedragen!$I$7,2))&lt;= Basisbedragen!$I$8,MIN(MAX(ROUND(ROUND('Loonschijven_Tranches salariale'!$Q59*0.6,4)*Basisbedragen!$I$2,2),ROUND(Basisbedragen!$D$47*Basisbedragen!$I$2,2)),ROUND(ROUND(Basisbedragen!$D$30*0.6,4)*Basisbedragen!$I$2,2)),MIN(MAX(ROUND(ROUND('Loonschijven_Tranches salariale'!$Q59*0.6,4)*Basisbedragen!$I$7,2),ROUND(Basisbedragen!$D$47*Basisbedragen!$I$7,2)),ROUND(ROUND(Basisbedragen!$D$30*0.6,4)*Basisbedragen!$I$7,2))+Basisbedragen!$I$10)</f>
        <v>70.989999999999995</v>
      </c>
      <c r="E60" s="52">
        <f>MIN(MAX(ROUND(ROUND('Loonschijven_Tranches salariale'!$Q59*0.6,4)*Basisbedragen!$I$2,2),ROUND(Basisbedragen!$D$44*Basisbedragen!$I$2,2)),ROUND(ROUND(Basisbedragen!$D$32*0.6,4)*Basisbedragen!$I$2,2))</f>
        <v>68.63</v>
      </c>
      <c r="F60" s="52">
        <f>MIN(MAX(ROUND(ROUND('Loonschijven_Tranches salariale'!$Q59*0.6,4)*Basisbedragen!$I$2,2),ROUND(Basisbedragen!$D$45*Basisbedragen!$I$2,2)),ROUND(ROUND(Basisbedragen!$D$32*0.6,4)*Basisbedragen!$I$2,2))</f>
        <v>60.04</v>
      </c>
      <c r="G60" s="338">
        <f>MIN(MAX(ROUND(ROUND('Loonschijven_Tranches salariale'!$Q59*0.6,4)*Basisbedragen!$I$2,2),ROUND(Basisbedragen!$D$46*Basisbedragen!$I$2,2)),ROUND(ROUND(Basisbedragen!$D$32*0.6,4)*Basisbedragen!$I$2,2))</f>
        <v>60.04</v>
      </c>
      <c r="H60" s="348"/>
      <c r="I60" s="52">
        <f>MIN(MAX(ROUND(ROUND('Loonschijven_Tranches salariale'!$Q59*0.6,4)*Basisbedragen!$I$2,2),ROUND(Basisbedragen!$D$77*Basisbedragen!$I$2,2)),ROUND(ROUND(Basisbedragen!$D$29*0.6,4)*Basisbedragen!$I$2,2))</f>
        <v>73.98</v>
      </c>
      <c r="J60" s="52">
        <f>MIN(MAX(ROUND(ROUND('Loonschijven_Tranches salariale'!$Q59*0.6,4)*Basisbedragen!$I$2,2),ROUND(Basisbedragen!$D$78*Basisbedragen!$I$2,2)),ROUND(ROUND(Basisbedragen!$D$29*0.6,4)*Basisbedragen!$I$2,2))</f>
        <v>65.17</v>
      </c>
      <c r="L60" s="52">
        <f t="shared" si="4"/>
        <v>42.6</v>
      </c>
      <c r="M60" s="52">
        <f>ROUND(MIN(MAX(ROUND(ROUND('Loonschijven_Tranches salariale'!$Q59*0.6,4)*Basisbedragen!$I$2,2),ROUND(Basisbedragen!$D$47*Basisbedragen!$I$2,2)),ROUND(ROUND(Basisbedragen!$D$30*0.6,4)*Basisbedragen!$I$2,2))/2,2)</f>
        <v>35.5</v>
      </c>
      <c r="O60" s="52">
        <f t="shared" si="5"/>
        <v>34.32</v>
      </c>
      <c r="P60" s="52">
        <f t="shared" si="6"/>
        <v>30.02</v>
      </c>
      <c r="Q60" s="52">
        <f t="shared" si="7"/>
        <v>30.02</v>
      </c>
      <c r="T60" s="160"/>
    </row>
    <row r="61" spans="1:20" ht="15" thickBot="1">
      <c r="A61" s="47">
        <f t="shared" si="8"/>
        <v>53</v>
      </c>
      <c r="B61" s="52">
        <f t="shared" si="3"/>
        <v>85.19</v>
      </c>
      <c r="C61" s="52">
        <f>IF(MIN(MAX(ROUND(ROUND('Loonschijven_Tranches salariale'!$Q60*0.6,4)*Basisbedragen!$I$7,2),ROUND(Basisbedragen!$D$47*Basisbedragen!$I$7,2)),ROUND(ROUND(Basisbedragen!$D$30*0.6,4)*Basisbedragen!$I$7,2))&lt;= Basisbedragen!$I$8,MIN(MAX(ROUND(ROUND('Loonschijven_Tranches salariale'!$Q60*0.6,4)*Basisbedragen!$I$2,2),ROUND(Basisbedragen!$D$47*Basisbedragen!$I$2,2)),ROUND(ROUND(Basisbedragen!$D$30*0.6,4)*Basisbedragen!$I$2,2)),MIN(MAX(ROUND(ROUND('Loonschijven_Tranches salariale'!$Q60*0.6,4)*Basisbedragen!$I$7,2),ROUND(Basisbedragen!$D$47*Basisbedragen!$I$7,2)),ROUND(ROUND(Basisbedragen!$D$30*0.6,4)*Basisbedragen!$I$7,2))+Basisbedragen!$I$10)</f>
        <v>70.989999999999995</v>
      </c>
      <c r="E61" s="52">
        <f>MIN(MAX(ROUND(ROUND('Loonschijven_Tranches salariale'!$Q60*0.6,4)*Basisbedragen!$I$2,2),ROUND(Basisbedragen!$D$44*Basisbedragen!$I$2,2)),ROUND(ROUND(Basisbedragen!$D$32*0.6,4)*Basisbedragen!$I$2,2))</f>
        <v>68.63</v>
      </c>
      <c r="F61" s="52">
        <f>MIN(MAX(ROUND(ROUND('Loonschijven_Tranches salariale'!$Q60*0.6,4)*Basisbedragen!$I$2,2),ROUND(Basisbedragen!$D$45*Basisbedragen!$I$2,2)),ROUND(ROUND(Basisbedragen!$D$32*0.6,4)*Basisbedragen!$I$2,2))</f>
        <v>60.98</v>
      </c>
      <c r="G61" s="338">
        <f>MIN(MAX(ROUND(ROUND('Loonschijven_Tranches salariale'!$Q60*0.6,4)*Basisbedragen!$I$2,2),ROUND(Basisbedragen!$D$46*Basisbedragen!$I$2,2)),ROUND(ROUND(Basisbedragen!$D$32*0.6,4)*Basisbedragen!$I$2,2))</f>
        <v>60.98</v>
      </c>
      <c r="H61" s="348"/>
      <c r="I61" s="52">
        <f>MIN(MAX(ROUND(ROUND('Loonschijven_Tranches salariale'!$Q60*0.6,4)*Basisbedragen!$I$2,2),ROUND(Basisbedragen!$D$77*Basisbedragen!$I$2,2)),ROUND(ROUND(Basisbedragen!$D$29*0.6,4)*Basisbedragen!$I$2,2))</f>
        <v>73.98</v>
      </c>
      <c r="J61" s="52">
        <f>MIN(MAX(ROUND(ROUND('Loonschijven_Tranches salariale'!$Q60*0.6,4)*Basisbedragen!$I$2,2),ROUND(Basisbedragen!$D$78*Basisbedragen!$I$2,2)),ROUND(ROUND(Basisbedragen!$D$29*0.6,4)*Basisbedragen!$I$2,2))</f>
        <v>65.17</v>
      </c>
      <c r="L61" s="52">
        <f t="shared" si="4"/>
        <v>42.6</v>
      </c>
      <c r="M61" s="52">
        <f>ROUND(MIN(MAX(ROUND(ROUND('Loonschijven_Tranches salariale'!$Q60*0.6,4)*Basisbedragen!$I$2,2),ROUND(Basisbedragen!$D$47*Basisbedragen!$I$2,2)),ROUND(ROUND(Basisbedragen!$D$30*0.6,4)*Basisbedragen!$I$2,2))/2,2)</f>
        <v>35.5</v>
      </c>
      <c r="O61" s="52">
        <f t="shared" si="5"/>
        <v>34.32</v>
      </c>
      <c r="P61" s="52">
        <f t="shared" si="6"/>
        <v>30.49</v>
      </c>
      <c r="Q61" s="52">
        <f t="shared" si="7"/>
        <v>30.49</v>
      </c>
      <c r="T61" s="160"/>
    </row>
    <row r="62" spans="1:20" ht="15" thickBot="1">
      <c r="A62" s="47">
        <f t="shared" si="8"/>
        <v>54</v>
      </c>
      <c r="B62" s="52">
        <f t="shared" si="3"/>
        <v>85.19</v>
      </c>
      <c r="C62" s="52">
        <f>IF(MIN(MAX(ROUND(ROUND('Loonschijven_Tranches salariale'!$Q61*0.6,4)*Basisbedragen!$I$7,2),ROUND(Basisbedragen!$D$47*Basisbedragen!$I$7,2)),ROUND(ROUND(Basisbedragen!$D$30*0.6,4)*Basisbedragen!$I$7,2))&lt;= Basisbedragen!$I$8,MIN(MAX(ROUND(ROUND('Loonschijven_Tranches salariale'!$Q61*0.6,4)*Basisbedragen!$I$2,2),ROUND(Basisbedragen!$D$47*Basisbedragen!$I$2,2)),ROUND(ROUND(Basisbedragen!$D$30*0.6,4)*Basisbedragen!$I$2,2)),MIN(MAX(ROUND(ROUND('Loonschijven_Tranches salariale'!$Q61*0.6,4)*Basisbedragen!$I$7,2),ROUND(Basisbedragen!$D$47*Basisbedragen!$I$7,2)),ROUND(ROUND(Basisbedragen!$D$30*0.6,4)*Basisbedragen!$I$7,2))+Basisbedragen!$I$10)</f>
        <v>70.989999999999995</v>
      </c>
      <c r="E62" s="52">
        <f>MIN(MAX(ROUND(ROUND('Loonschijven_Tranches salariale'!$Q61*0.6,4)*Basisbedragen!$I$2,2),ROUND(Basisbedragen!$D$44*Basisbedragen!$I$2,2)),ROUND(ROUND(Basisbedragen!$D$32*0.6,4)*Basisbedragen!$I$2,2))</f>
        <v>68.63</v>
      </c>
      <c r="F62" s="52">
        <f>MIN(MAX(ROUND(ROUND('Loonschijven_Tranches salariale'!$Q61*0.6,4)*Basisbedragen!$I$2,2),ROUND(Basisbedragen!$D$45*Basisbedragen!$I$2,2)),ROUND(ROUND(Basisbedragen!$D$32*0.6,4)*Basisbedragen!$I$2,2))</f>
        <v>61.45</v>
      </c>
      <c r="G62" s="338">
        <f>MIN(MAX(ROUND(ROUND('Loonschijven_Tranches salariale'!$Q61*0.6,4)*Basisbedragen!$I$2,2),ROUND(Basisbedragen!$D$46*Basisbedragen!$I$2,2)),ROUND(ROUND(Basisbedragen!$D$32*0.6,4)*Basisbedragen!$I$2,2))</f>
        <v>61.45</v>
      </c>
      <c r="H62" s="348"/>
      <c r="I62" s="52">
        <f>MIN(MAX(ROUND(ROUND('Loonschijven_Tranches salariale'!$Q61*0.6,4)*Basisbedragen!$I$2,2),ROUND(Basisbedragen!$D$77*Basisbedragen!$I$2,2)),ROUND(ROUND(Basisbedragen!$D$29*0.6,4)*Basisbedragen!$I$2,2))</f>
        <v>73.98</v>
      </c>
      <c r="J62" s="52">
        <f>MIN(MAX(ROUND(ROUND('Loonschijven_Tranches salariale'!$Q61*0.6,4)*Basisbedragen!$I$2,2),ROUND(Basisbedragen!$D$78*Basisbedragen!$I$2,2)),ROUND(ROUND(Basisbedragen!$D$29*0.6,4)*Basisbedragen!$I$2,2))</f>
        <v>65.17</v>
      </c>
      <c r="L62" s="52">
        <f t="shared" si="4"/>
        <v>42.6</v>
      </c>
      <c r="M62" s="52">
        <f>ROUND(MIN(MAX(ROUND(ROUND('Loonschijven_Tranches salariale'!$Q61*0.6,4)*Basisbedragen!$I$2,2),ROUND(Basisbedragen!$D$47*Basisbedragen!$I$2,2)),ROUND(ROUND(Basisbedragen!$D$30*0.6,4)*Basisbedragen!$I$2,2))/2,2)</f>
        <v>35.5</v>
      </c>
      <c r="O62" s="52">
        <f t="shared" si="5"/>
        <v>34.32</v>
      </c>
      <c r="P62" s="52">
        <f t="shared" si="6"/>
        <v>30.73</v>
      </c>
      <c r="Q62" s="52">
        <f t="shared" si="7"/>
        <v>30.73</v>
      </c>
      <c r="T62" s="160"/>
    </row>
    <row r="63" spans="1:20" ht="15" thickBot="1">
      <c r="A63" s="47">
        <f t="shared" si="8"/>
        <v>55</v>
      </c>
      <c r="B63" s="52">
        <f t="shared" si="3"/>
        <v>85.19</v>
      </c>
      <c r="C63" s="52">
        <f>IF(MIN(MAX(ROUND(ROUND('Loonschijven_Tranches salariale'!$Q62*0.6,4)*Basisbedragen!$I$7,2),ROUND(Basisbedragen!$D$47*Basisbedragen!$I$7,2)),ROUND(ROUND(Basisbedragen!$D$30*0.6,4)*Basisbedragen!$I$7,2))&lt;= Basisbedragen!$I$8,MIN(MAX(ROUND(ROUND('Loonschijven_Tranches salariale'!$Q62*0.6,4)*Basisbedragen!$I$2,2),ROUND(Basisbedragen!$D$47*Basisbedragen!$I$2,2)),ROUND(ROUND(Basisbedragen!$D$30*0.6,4)*Basisbedragen!$I$2,2)),MIN(MAX(ROUND(ROUND('Loonschijven_Tranches salariale'!$Q62*0.6,4)*Basisbedragen!$I$7,2),ROUND(Basisbedragen!$D$47*Basisbedragen!$I$7,2)),ROUND(ROUND(Basisbedragen!$D$30*0.6,4)*Basisbedragen!$I$7,2))+Basisbedragen!$I$10)</f>
        <v>70.989999999999995</v>
      </c>
      <c r="E63" s="52">
        <f>MIN(MAX(ROUND(ROUND('Loonschijven_Tranches salariale'!$Q62*0.6,4)*Basisbedragen!$I$2,2),ROUND(Basisbedragen!$D$44*Basisbedragen!$I$2,2)),ROUND(ROUND(Basisbedragen!$D$32*0.6,4)*Basisbedragen!$I$2,2))</f>
        <v>68.63</v>
      </c>
      <c r="F63" s="52">
        <f>MIN(MAX(ROUND(ROUND('Loonschijven_Tranches salariale'!$Q62*0.6,4)*Basisbedragen!$I$2,2),ROUND(Basisbedragen!$D$45*Basisbedragen!$I$2,2)),ROUND(ROUND(Basisbedragen!$D$32*0.6,4)*Basisbedragen!$I$2,2))</f>
        <v>61.91</v>
      </c>
      <c r="G63" s="338">
        <f>MIN(MAX(ROUND(ROUND('Loonschijven_Tranches salariale'!$Q62*0.6,4)*Basisbedragen!$I$2,2),ROUND(Basisbedragen!$D$46*Basisbedragen!$I$2,2)),ROUND(ROUND(Basisbedragen!$D$32*0.6,4)*Basisbedragen!$I$2,2))</f>
        <v>61.91</v>
      </c>
      <c r="I63" s="52">
        <f>MIN(MAX(ROUND(ROUND('Loonschijven_Tranches salariale'!$Q62*0.6,4)*Basisbedragen!$I$2,2),ROUND(Basisbedragen!$D$77*Basisbedragen!$I$2,2)),ROUND(ROUND(Basisbedragen!$D$29*0.6,4)*Basisbedragen!$I$2,2))</f>
        <v>73.98</v>
      </c>
      <c r="J63" s="52">
        <f>MIN(MAX(ROUND(ROUND('Loonschijven_Tranches salariale'!$Q62*0.6,4)*Basisbedragen!$I$2,2),ROUND(Basisbedragen!$D$78*Basisbedragen!$I$2,2)),ROUND(ROUND(Basisbedragen!$D$29*0.6,4)*Basisbedragen!$I$2,2))</f>
        <v>65.17</v>
      </c>
      <c r="L63" s="52">
        <f t="shared" si="4"/>
        <v>42.6</v>
      </c>
      <c r="M63" s="52">
        <f>ROUND(MIN(MAX(ROUND(ROUND('Loonschijven_Tranches salariale'!$Q62*0.6,4)*Basisbedragen!$I$2,2),ROUND(Basisbedragen!$D$47*Basisbedragen!$I$2,2)),ROUND(ROUND(Basisbedragen!$D$30*0.6,4)*Basisbedragen!$I$2,2))/2,2)</f>
        <v>35.5</v>
      </c>
      <c r="O63" s="52">
        <f t="shared" si="5"/>
        <v>34.32</v>
      </c>
      <c r="P63" s="52">
        <f t="shared" si="6"/>
        <v>30.96</v>
      </c>
      <c r="Q63" s="52">
        <f t="shared" si="7"/>
        <v>30.96</v>
      </c>
      <c r="T63" s="160"/>
    </row>
    <row r="64" spans="1:20" ht="15" thickBot="1">
      <c r="A64" s="47">
        <f t="shared" si="8"/>
        <v>56</v>
      </c>
      <c r="B64" s="52">
        <f t="shared" si="3"/>
        <v>85.19</v>
      </c>
      <c r="C64" s="52">
        <f>IF(MIN(MAX(ROUND(ROUND('Loonschijven_Tranches salariale'!$Q63*0.6,4)*Basisbedragen!$I$7,2),ROUND(Basisbedragen!$D$47*Basisbedragen!$I$7,2)),ROUND(ROUND(Basisbedragen!$D$30*0.6,4)*Basisbedragen!$I$7,2))&lt;= Basisbedragen!$I$8,MIN(MAX(ROUND(ROUND('Loonschijven_Tranches salariale'!$Q63*0.6,4)*Basisbedragen!$I$2,2),ROUND(Basisbedragen!$D$47*Basisbedragen!$I$2,2)),ROUND(ROUND(Basisbedragen!$D$30*0.6,4)*Basisbedragen!$I$2,2)),MIN(MAX(ROUND(ROUND('Loonschijven_Tranches salariale'!$Q63*0.6,4)*Basisbedragen!$I$7,2),ROUND(Basisbedragen!$D$47*Basisbedragen!$I$7,2)),ROUND(ROUND(Basisbedragen!$D$30*0.6,4)*Basisbedragen!$I$7,2))+Basisbedragen!$I$10)</f>
        <v>70.989999999999995</v>
      </c>
      <c r="E64" s="52">
        <f>MIN(MAX(ROUND(ROUND('Loonschijven_Tranches salariale'!$Q63*0.6,4)*Basisbedragen!$I$2,2),ROUND(Basisbedragen!$D$44*Basisbedragen!$I$2,2)),ROUND(ROUND(Basisbedragen!$D$32*0.6,4)*Basisbedragen!$I$2,2))</f>
        <v>68.63</v>
      </c>
      <c r="F64" s="52">
        <f>MIN(MAX(ROUND(ROUND('Loonschijven_Tranches salariale'!$Q63*0.6,4)*Basisbedragen!$I$2,2),ROUND(Basisbedragen!$D$45*Basisbedragen!$I$2,2)),ROUND(ROUND(Basisbedragen!$D$32*0.6,4)*Basisbedragen!$I$2,2))</f>
        <v>62.85</v>
      </c>
      <c r="G64" s="338">
        <f>MIN(MAX(ROUND(ROUND('Loonschijven_Tranches salariale'!$Q63*0.6,4)*Basisbedragen!$I$2,2),ROUND(Basisbedragen!$D$46*Basisbedragen!$I$2,2)),ROUND(ROUND(Basisbedragen!$D$32*0.6,4)*Basisbedragen!$I$2,2))</f>
        <v>62.85</v>
      </c>
      <c r="H64" s="348"/>
      <c r="I64" s="52">
        <f>MIN(MAX(ROUND(ROUND('Loonschijven_Tranches salariale'!$Q63*0.6,4)*Basisbedragen!$I$2,2),ROUND(Basisbedragen!$D$77*Basisbedragen!$I$2,2)),ROUND(ROUND(Basisbedragen!$D$29*0.6,4)*Basisbedragen!$I$2,2))</f>
        <v>73.98</v>
      </c>
      <c r="J64" s="52">
        <f>MIN(MAX(ROUND(ROUND('Loonschijven_Tranches salariale'!$Q63*0.6,4)*Basisbedragen!$I$2,2),ROUND(Basisbedragen!$D$78*Basisbedragen!$I$2,2)),ROUND(ROUND(Basisbedragen!$D$29*0.6,4)*Basisbedragen!$I$2,2))</f>
        <v>65.17</v>
      </c>
      <c r="L64" s="52">
        <f t="shared" si="4"/>
        <v>42.6</v>
      </c>
      <c r="M64" s="52">
        <f>ROUND(MIN(MAX(ROUND(ROUND('Loonschijven_Tranches salariale'!$Q63*0.6,4)*Basisbedragen!$I$2,2),ROUND(Basisbedragen!$D$47*Basisbedragen!$I$2,2)),ROUND(ROUND(Basisbedragen!$D$30*0.6,4)*Basisbedragen!$I$2,2))/2,2)</f>
        <v>35.5</v>
      </c>
      <c r="O64" s="52">
        <f t="shared" si="5"/>
        <v>34.32</v>
      </c>
      <c r="P64" s="52">
        <f t="shared" si="6"/>
        <v>31.43</v>
      </c>
      <c r="Q64" s="52">
        <f t="shared" si="7"/>
        <v>31.43</v>
      </c>
      <c r="T64" s="160"/>
    </row>
    <row r="65" spans="1:20" ht="15" thickBot="1">
      <c r="A65" s="47">
        <f t="shared" si="8"/>
        <v>57</v>
      </c>
      <c r="B65" s="52">
        <f t="shared" si="3"/>
        <v>85.19</v>
      </c>
      <c r="C65" s="52">
        <f>IF(MIN(MAX(ROUND(ROUND('Loonschijven_Tranches salariale'!$Q64*0.6,4)*Basisbedragen!$I$7,2),ROUND(Basisbedragen!$D$47*Basisbedragen!$I$7,2)),ROUND(ROUND(Basisbedragen!$D$30*0.6,4)*Basisbedragen!$I$7,2))&lt;= Basisbedragen!$I$8,MIN(MAX(ROUND(ROUND('Loonschijven_Tranches salariale'!$Q64*0.6,4)*Basisbedragen!$I$2,2),ROUND(Basisbedragen!$D$47*Basisbedragen!$I$2,2)),ROUND(ROUND(Basisbedragen!$D$30*0.6,4)*Basisbedragen!$I$2,2)),MIN(MAX(ROUND(ROUND('Loonschijven_Tranches salariale'!$Q64*0.6,4)*Basisbedragen!$I$7,2),ROUND(Basisbedragen!$D$47*Basisbedragen!$I$7,2)),ROUND(ROUND(Basisbedragen!$D$30*0.6,4)*Basisbedragen!$I$7,2))+Basisbedragen!$I$10)</f>
        <v>70.989999999999995</v>
      </c>
      <c r="E65" s="52">
        <f>MIN(MAX(ROUND(ROUND('Loonschijven_Tranches salariale'!$Q64*0.6,4)*Basisbedragen!$I$2,2),ROUND(Basisbedragen!$D$44*Basisbedragen!$I$2,2)),ROUND(ROUND(Basisbedragen!$D$32*0.6,4)*Basisbedragen!$I$2,2))</f>
        <v>68.63</v>
      </c>
      <c r="F65" s="52">
        <f>MIN(MAX(ROUND(ROUND('Loonschijven_Tranches salariale'!$Q64*0.6,4)*Basisbedragen!$I$2,2),ROUND(Basisbedragen!$D$45*Basisbedragen!$I$2,2)),ROUND(ROUND(Basisbedragen!$D$32*0.6,4)*Basisbedragen!$I$2,2))</f>
        <v>63.79</v>
      </c>
      <c r="G65" s="338">
        <f>MIN(MAX(ROUND(ROUND('Loonschijven_Tranches salariale'!$Q64*0.6,4)*Basisbedragen!$I$2,2),ROUND(Basisbedragen!$D$46*Basisbedragen!$I$2,2)),ROUND(ROUND(Basisbedragen!$D$32*0.6,4)*Basisbedragen!$I$2,2))</f>
        <v>63.79</v>
      </c>
      <c r="H65" s="348"/>
      <c r="I65" s="52">
        <f>MIN(MAX(ROUND(ROUND('Loonschijven_Tranches salariale'!$Q64*0.6,4)*Basisbedragen!$I$2,2),ROUND(Basisbedragen!$D$77*Basisbedragen!$I$2,2)),ROUND(ROUND(Basisbedragen!$D$29*0.6,4)*Basisbedragen!$I$2,2))</f>
        <v>73.98</v>
      </c>
      <c r="J65" s="52">
        <f>MIN(MAX(ROUND(ROUND('Loonschijven_Tranches salariale'!$Q64*0.6,4)*Basisbedragen!$I$2,2),ROUND(Basisbedragen!$D$78*Basisbedragen!$I$2,2)),ROUND(ROUND(Basisbedragen!$D$29*0.6,4)*Basisbedragen!$I$2,2))</f>
        <v>65.17</v>
      </c>
      <c r="L65" s="52">
        <f t="shared" si="4"/>
        <v>42.6</v>
      </c>
      <c r="M65" s="52">
        <f>ROUND(MIN(MAX(ROUND(ROUND('Loonschijven_Tranches salariale'!$Q64*0.6,4)*Basisbedragen!$I$2,2),ROUND(Basisbedragen!$D$47*Basisbedragen!$I$2,2)),ROUND(ROUND(Basisbedragen!$D$30*0.6,4)*Basisbedragen!$I$2,2))/2,2)</f>
        <v>35.5</v>
      </c>
      <c r="O65" s="52">
        <f t="shared" si="5"/>
        <v>34.32</v>
      </c>
      <c r="P65" s="52">
        <f t="shared" si="6"/>
        <v>31.9</v>
      </c>
      <c r="Q65" s="52">
        <f t="shared" si="7"/>
        <v>31.9</v>
      </c>
      <c r="T65" s="160"/>
    </row>
    <row r="66" spans="1:20" ht="15" thickBot="1">
      <c r="A66" s="47">
        <f t="shared" si="8"/>
        <v>58</v>
      </c>
      <c r="B66" s="52">
        <f t="shared" si="3"/>
        <v>85.19</v>
      </c>
      <c r="C66" s="52">
        <f>IF(MIN(MAX(ROUND(ROUND('Loonschijven_Tranches salariale'!$Q65*0.6,4)*Basisbedragen!$I$7,2),ROUND(Basisbedragen!$D$47*Basisbedragen!$I$7,2)),ROUND(ROUND(Basisbedragen!$D$30*0.6,4)*Basisbedragen!$I$7,2))&lt;= Basisbedragen!$I$8,MIN(MAX(ROUND(ROUND('Loonschijven_Tranches salariale'!$Q65*0.6,4)*Basisbedragen!$I$2,2),ROUND(Basisbedragen!$D$47*Basisbedragen!$I$2,2)),ROUND(ROUND(Basisbedragen!$D$30*0.6,4)*Basisbedragen!$I$2,2)),MIN(MAX(ROUND(ROUND('Loonschijven_Tranches salariale'!$Q65*0.6,4)*Basisbedragen!$I$7,2),ROUND(Basisbedragen!$D$47*Basisbedragen!$I$7,2)),ROUND(ROUND(Basisbedragen!$D$30*0.6,4)*Basisbedragen!$I$7,2))+Basisbedragen!$I$10)</f>
        <v>70.989999999999995</v>
      </c>
      <c r="E66" s="52">
        <f>MIN(MAX(ROUND(ROUND('Loonschijven_Tranches salariale'!$Q65*0.6,4)*Basisbedragen!$I$2,2),ROUND(Basisbedragen!$D$44*Basisbedragen!$I$2,2)),ROUND(ROUND(Basisbedragen!$D$32*0.6,4)*Basisbedragen!$I$2,2))</f>
        <v>68.63</v>
      </c>
      <c r="F66" s="52">
        <f>MIN(MAX(ROUND(ROUND('Loonschijven_Tranches salariale'!$Q65*0.6,4)*Basisbedragen!$I$2,2),ROUND(Basisbedragen!$D$45*Basisbedragen!$I$2,2)),ROUND(ROUND(Basisbedragen!$D$32*0.6,4)*Basisbedragen!$I$2,2))</f>
        <v>64.73</v>
      </c>
      <c r="G66" s="338">
        <f>MIN(MAX(ROUND(ROUND('Loonschijven_Tranches salariale'!$Q65*0.6,4)*Basisbedragen!$I$2,2),ROUND(Basisbedragen!$D$46*Basisbedragen!$I$2,2)),ROUND(ROUND(Basisbedragen!$D$32*0.6,4)*Basisbedragen!$I$2,2))</f>
        <v>64.73</v>
      </c>
      <c r="H66" s="348"/>
      <c r="I66" s="52">
        <f>MIN(MAX(ROUND(ROUND('Loonschijven_Tranches salariale'!$Q65*0.6,4)*Basisbedragen!$I$2,2),ROUND(Basisbedragen!$D$77*Basisbedragen!$I$2,2)),ROUND(ROUND(Basisbedragen!$D$29*0.6,4)*Basisbedragen!$I$2,2))</f>
        <v>73.98</v>
      </c>
      <c r="J66" s="52">
        <f>MIN(MAX(ROUND(ROUND('Loonschijven_Tranches salariale'!$Q65*0.6,4)*Basisbedragen!$I$2,2),ROUND(Basisbedragen!$D$78*Basisbedragen!$I$2,2)),ROUND(ROUND(Basisbedragen!$D$29*0.6,4)*Basisbedragen!$I$2,2))</f>
        <v>65.17</v>
      </c>
      <c r="L66" s="52">
        <f t="shared" si="4"/>
        <v>42.6</v>
      </c>
      <c r="M66" s="52">
        <f>ROUND(MIN(MAX(ROUND(ROUND('Loonschijven_Tranches salariale'!$Q65*0.6,4)*Basisbedragen!$I$2,2),ROUND(Basisbedragen!$D$47*Basisbedragen!$I$2,2)),ROUND(ROUND(Basisbedragen!$D$30*0.6,4)*Basisbedragen!$I$2,2))/2,2)</f>
        <v>35.5</v>
      </c>
      <c r="O66" s="52">
        <f t="shared" si="5"/>
        <v>34.32</v>
      </c>
      <c r="P66" s="52">
        <f t="shared" si="6"/>
        <v>32.369999999999997</v>
      </c>
      <c r="Q66" s="52">
        <f t="shared" si="7"/>
        <v>32.369999999999997</v>
      </c>
      <c r="T66" s="160"/>
    </row>
    <row r="67" spans="1:20" ht="15" thickBot="1">
      <c r="A67" s="47">
        <f t="shared" si="8"/>
        <v>59</v>
      </c>
      <c r="B67" s="52">
        <f t="shared" si="3"/>
        <v>85.19</v>
      </c>
      <c r="C67" s="52">
        <f>IF(MIN(MAX(ROUND(ROUND('Loonschijven_Tranches salariale'!$Q66*0.6,4)*Basisbedragen!$I$7,2),ROUND(Basisbedragen!$D$47*Basisbedragen!$I$7,2)),ROUND(ROUND(Basisbedragen!$D$30*0.6,4)*Basisbedragen!$I$7,2))&lt;= Basisbedragen!$I$8,MIN(MAX(ROUND(ROUND('Loonschijven_Tranches salariale'!$Q66*0.6,4)*Basisbedragen!$I$2,2),ROUND(Basisbedragen!$D$47*Basisbedragen!$I$2,2)),ROUND(ROUND(Basisbedragen!$D$30*0.6,4)*Basisbedragen!$I$2,2)),MIN(MAX(ROUND(ROUND('Loonschijven_Tranches salariale'!$Q66*0.6,4)*Basisbedragen!$I$7,2),ROUND(Basisbedragen!$D$47*Basisbedragen!$I$7,2)),ROUND(ROUND(Basisbedragen!$D$30*0.6,4)*Basisbedragen!$I$7,2))+Basisbedragen!$I$10)</f>
        <v>70.989999999999995</v>
      </c>
      <c r="E67" s="52">
        <f>MIN(MAX(ROUND(ROUND('Loonschijven_Tranches salariale'!$Q66*0.6,4)*Basisbedragen!$I$2,2),ROUND(Basisbedragen!$D$44*Basisbedragen!$I$2,2)),ROUND(ROUND(Basisbedragen!$D$32*0.6,4)*Basisbedragen!$I$2,2))</f>
        <v>68.63</v>
      </c>
      <c r="F67" s="52">
        <f>MIN(MAX(ROUND(ROUND('Loonschijven_Tranches salariale'!$Q66*0.6,4)*Basisbedragen!$I$2,2),ROUND(Basisbedragen!$D$45*Basisbedragen!$I$2,2)),ROUND(ROUND(Basisbedragen!$D$32*0.6,4)*Basisbedragen!$I$2,2))</f>
        <v>65.900000000000006</v>
      </c>
      <c r="G67" s="338">
        <f>MIN(MAX(ROUND(ROUND('Loonschijven_Tranches salariale'!$Q66*0.6,4)*Basisbedragen!$I$2,2),ROUND(Basisbedragen!$D$46*Basisbedragen!$I$2,2)),ROUND(ROUND(Basisbedragen!$D$32*0.6,4)*Basisbedragen!$I$2,2))</f>
        <v>65.900000000000006</v>
      </c>
      <c r="H67" s="348"/>
      <c r="I67" s="52">
        <f>MIN(MAX(ROUND(ROUND('Loonschijven_Tranches salariale'!$Q66*0.6,4)*Basisbedragen!$I$2,2),ROUND(Basisbedragen!$D$77*Basisbedragen!$I$2,2)),ROUND(ROUND(Basisbedragen!$D$29*0.6,4)*Basisbedragen!$I$2,2))</f>
        <v>73.98</v>
      </c>
      <c r="J67" s="52">
        <f>MIN(MAX(ROUND(ROUND('Loonschijven_Tranches salariale'!$Q66*0.6,4)*Basisbedragen!$I$2,2),ROUND(Basisbedragen!$D$78*Basisbedragen!$I$2,2)),ROUND(ROUND(Basisbedragen!$D$29*0.6,4)*Basisbedragen!$I$2,2))</f>
        <v>65.900000000000006</v>
      </c>
      <c r="L67" s="52">
        <f t="shared" si="4"/>
        <v>42.6</v>
      </c>
      <c r="M67" s="52">
        <f>ROUND(MIN(MAX(ROUND(ROUND('Loonschijven_Tranches salariale'!$Q66*0.6,4)*Basisbedragen!$I$2,2),ROUND(Basisbedragen!$D$47*Basisbedragen!$I$2,2)),ROUND(ROUND(Basisbedragen!$D$30*0.6,4)*Basisbedragen!$I$2,2))/2,2)</f>
        <v>35.5</v>
      </c>
      <c r="O67" s="52">
        <f t="shared" si="5"/>
        <v>34.32</v>
      </c>
      <c r="P67" s="52">
        <f t="shared" si="6"/>
        <v>32.950000000000003</v>
      </c>
      <c r="Q67" s="52">
        <f t="shared" si="7"/>
        <v>32.950000000000003</v>
      </c>
      <c r="T67" s="160"/>
    </row>
    <row r="68" spans="1:20" ht="15" thickBot="1">
      <c r="A68" s="47">
        <f t="shared" si="8"/>
        <v>60</v>
      </c>
      <c r="B68" s="52">
        <f t="shared" si="3"/>
        <v>85.19</v>
      </c>
      <c r="C68" s="52">
        <f>IF(MIN(MAX(ROUND(ROUND('Loonschijven_Tranches salariale'!$Q67*0.6,4)*Basisbedragen!$I$7,2),ROUND(Basisbedragen!$D$47*Basisbedragen!$I$7,2)),ROUND(ROUND(Basisbedragen!$D$30*0.6,4)*Basisbedragen!$I$7,2))&lt;= Basisbedragen!$I$8,MIN(MAX(ROUND(ROUND('Loonschijven_Tranches salariale'!$Q67*0.6,4)*Basisbedragen!$I$2,2),ROUND(Basisbedragen!$D$47*Basisbedragen!$I$2,2)),ROUND(ROUND(Basisbedragen!$D$30*0.6,4)*Basisbedragen!$I$2,2)),MIN(MAX(ROUND(ROUND('Loonschijven_Tranches salariale'!$Q67*0.6,4)*Basisbedragen!$I$7,2),ROUND(Basisbedragen!$D$47*Basisbedragen!$I$7,2)),ROUND(ROUND(Basisbedragen!$D$30*0.6,4)*Basisbedragen!$I$7,2))+Basisbedragen!$I$10)</f>
        <v>70.989999999999995</v>
      </c>
      <c r="E68" s="52">
        <f>MIN(MAX(ROUND(ROUND('Loonschijven_Tranches salariale'!$Q67*0.6,4)*Basisbedragen!$I$2,2),ROUND(Basisbedragen!$D$44*Basisbedragen!$I$2,2)),ROUND(ROUND(Basisbedragen!$D$32*0.6,4)*Basisbedragen!$I$2,2))</f>
        <v>68.63</v>
      </c>
      <c r="F68" s="52">
        <f>MIN(MAX(ROUND(ROUND('Loonschijven_Tranches salariale'!$Q67*0.6,4)*Basisbedragen!$I$2,2),ROUND(Basisbedragen!$D$45*Basisbedragen!$I$2,2)),ROUND(ROUND(Basisbedragen!$D$32*0.6,4)*Basisbedragen!$I$2,2))</f>
        <v>66.72</v>
      </c>
      <c r="G68" s="338">
        <f>MIN(MAX(ROUND(ROUND('Loonschijven_Tranches salariale'!$Q67*0.6,4)*Basisbedragen!$I$2,2),ROUND(Basisbedragen!$D$46*Basisbedragen!$I$2,2)),ROUND(ROUND(Basisbedragen!$D$32*0.6,4)*Basisbedragen!$I$2,2))</f>
        <v>66.72</v>
      </c>
      <c r="I68" s="52">
        <f>MIN(MAX(ROUND(ROUND('Loonschijven_Tranches salariale'!$Q67*0.6,4)*Basisbedragen!$I$2,2),ROUND(Basisbedragen!$D$77*Basisbedragen!$I$2,2)),ROUND(ROUND(Basisbedragen!$D$29*0.6,4)*Basisbedragen!$I$2,2))</f>
        <v>73.98</v>
      </c>
      <c r="J68" s="52">
        <f>MIN(MAX(ROUND(ROUND('Loonschijven_Tranches salariale'!$Q67*0.6,4)*Basisbedragen!$I$2,2),ROUND(Basisbedragen!$D$78*Basisbedragen!$I$2,2)),ROUND(ROUND(Basisbedragen!$D$29*0.6,4)*Basisbedragen!$I$2,2))</f>
        <v>66.72</v>
      </c>
      <c r="L68" s="52">
        <f t="shared" si="4"/>
        <v>42.6</v>
      </c>
      <c r="M68" s="52">
        <f>ROUND(MIN(MAX(ROUND(ROUND('Loonschijven_Tranches salariale'!$Q67*0.6,4)*Basisbedragen!$I$2,2),ROUND(Basisbedragen!$D$47*Basisbedragen!$I$2,2)),ROUND(ROUND(Basisbedragen!$D$30*0.6,4)*Basisbedragen!$I$2,2))/2,2)</f>
        <v>35.5</v>
      </c>
      <c r="O68" s="52">
        <f t="shared" ref="O68:Q69" si="9">ROUND(E68/2,2)</f>
        <v>34.32</v>
      </c>
      <c r="P68" s="52">
        <f t="shared" si="9"/>
        <v>33.36</v>
      </c>
      <c r="Q68" s="52">
        <f t="shared" si="9"/>
        <v>33.36</v>
      </c>
      <c r="T68" s="160"/>
    </row>
    <row r="69" spans="1:20" ht="15" thickBot="1">
      <c r="A69" s="47">
        <f t="shared" si="8"/>
        <v>61</v>
      </c>
      <c r="B69" s="52">
        <f t="shared" si="3"/>
        <v>85.19</v>
      </c>
      <c r="C69" s="52">
        <f>IF(MIN(MAX(ROUND(ROUND('Loonschijven_Tranches salariale'!$Q68*0.6,4)*Basisbedragen!$I$7,2),ROUND(Basisbedragen!$D$47*Basisbedragen!$I$7,2)),ROUND(ROUND(Basisbedragen!$D$30*0.6,4)*Basisbedragen!$I$7,2))&lt;= Basisbedragen!$I$8,MIN(MAX(ROUND(ROUND('Loonschijven_Tranches salariale'!$Q68*0.6,4)*Basisbedragen!$I$2,2),ROUND(Basisbedragen!$D$47*Basisbedragen!$I$2,2)),ROUND(ROUND(Basisbedragen!$D$30*0.6,4)*Basisbedragen!$I$2,2)),MIN(MAX(ROUND(ROUND('Loonschijven_Tranches salariale'!$Q68*0.6,4)*Basisbedragen!$I$7,2),ROUND(Basisbedragen!$D$47*Basisbedragen!$I$7,2)),ROUND(ROUND(Basisbedragen!$D$30*0.6,4)*Basisbedragen!$I$7,2))+Basisbedragen!$I$10)</f>
        <v>70.989999999999995</v>
      </c>
      <c r="E69" s="52">
        <f>MIN(MAX(ROUND(ROUND('Loonschijven_Tranches salariale'!$Q68*0.6,4)*Basisbedragen!$I$2,2),ROUND(Basisbedragen!$D$44*Basisbedragen!$I$2,2)),ROUND(ROUND(Basisbedragen!$D$32*0.6,4)*Basisbedragen!$I$2,2))</f>
        <v>68.63</v>
      </c>
      <c r="F69" s="52">
        <f>MIN(MAX(ROUND(ROUND('Loonschijven_Tranches salariale'!$Q68*0.6,4)*Basisbedragen!$I$2,2),ROUND(Basisbedragen!$D$45*Basisbedragen!$I$2,2)),ROUND(ROUND(Basisbedragen!$D$32*0.6,4)*Basisbedragen!$I$2,2))</f>
        <v>67.540000000000006</v>
      </c>
      <c r="G69" s="338">
        <f>MIN(MAX(ROUND(ROUND('Loonschijven_Tranches salariale'!$Q68*0.6,4)*Basisbedragen!$I$2,2),ROUND(Basisbedragen!$D$46*Basisbedragen!$I$2,2)),ROUND(ROUND(Basisbedragen!$D$32*0.6,4)*Basisbedragen!$I$2,2))</f>
        <v>67.540000000000006</v>
      </c>
      <c r="H69" s="348"/>
      <c r="I69" s="52">
        <f>MIN(MAX(ROUND(ROUND('Loonschijven_Tranches salariale'!$Q68*0.6,4)*Basisbedragen!$I$2,2),ROUND(Basisbedragen!$D$77*Basisbedragen!$I$2,2)),ROUND(ROUND(Basisbedragen!$D$29*0.6,4)*Basisbedragen!$I$2,2))</f>
        <v>73.98</v>
      </c>
      <c r="J69" s="52">
        <f>MIN(MAX(ROUND(ROUND('Loonschijven_Tranches salariale'!$Q68*0.6,4)*Basisbedragen!$I$2,2),ROUND(Basisbedragen!$D$78*Basisbedragen!$I$2,2)),ROUND(ROUND(Basisbedragen!$D$29*0.6,4)*Basisbedragen!$I$2,2))</f>
        <v>67.540000000000006</v>
      </c>
      <c r="L69" s="52">
        <f t="shared" si="4"/>
        <v>42.6</v>
      </c>
      <c r="M69" s="52">
        <f>ROUND(MIN(MAX(ROUND(ROUND('Loonschijven_Tranches salariale'!$Q68*0.6,4)*Basisbedragen!$I$2,2),ROUND(Basisbedragen!$D$47*Basisbedragen!$I$2,2)),ROUND(ROUND(Basisbedragen!$D$30*0.6,4)*Basisbedragen!$I$2,2))/2,2)</f>
        <v>35.5</v>
      </c>
      <c r="O69" s="52">
        <f t="shared" si="9"/>
        <v>34.32</v>
      </c>
      <c r="P69" s="52">
        <f t="shared" si="9"/>
        <v>33.770000000000003</v>
      </c>
      <c r="Q69" s="52">
        <f t="shared" si="9"/>
        <v>33.770000000000003</v>
      </c>
      <c r="T69" s="160"/>
    </row>
    <row r="70" spans="1:20" ht="15" thickBot="1">
      <c r="A70" s="47">
        <f t="shared" si="8"/>
        <v>62</v>
      </c>
      <c r="B70" s="52">
        <f t="shared" si="3"/>
        <v>85.19</v>
      </c>
      <c r="C70" s="52">
        <f>IF(MIN(MAX(ROUND(ROUND('Loonschijven_Tranches salariale'!$Q69*0.6,4)*Basisbedragen!$I$7,2),ROUND(Basisbedragen!$D$47*Basisbedragen!$I$7,2)),ROUND(ROUND(Basisbedragen!$D$30*0.6,4)*Basisbedragen!$I$7,2))&lt;= Basisbedragen!$I$8,MIN(MAX(ROUND(ROUND('Loonschijven_Tranches salariale'!$Q69*0.6,4)*Basisbedragen!$I$2,2),ROUND(Basisbedragen!$D$47*Basisbedragen!$I$2,2)),ROUND(ROUND(Basisbedragen!$D$30*0.6,4)*Basisbedragen!$I$2,2)),MIN(MAX(ROUND(ROUND('Loonschijven_Tranches salariale'!$Q69*0.6,4)*Basisbedragen!$I$7,2),ROUND(Basisbedragen!$D$47*Basisbedragen!$I$7,2)),ROUND(ROUND(Basisbedragen!$D$30*0.6,4)*Basisbedragen!$I$7,2))+Basisbedragen!$I$10)</f>
        <v>70.989999999999995</v>
      </c>
      <c r="E70" s="52">
        <f>MIN(MAX(ROUND(ROUND('Loonschijven_Tranches salariale'!$Q69*0.6,4)*Basisbedragen!$I$2,2),ROUND(Basisbedragen!$D$44*Basisbedragen!$I$2,2)),ROUND(ROUND(Basisbedragen!$D$32*0.6,4)*Basisbedragen!$I$2,2))</f>
        <v>68.63</v>
      </c>
      <c r="F70" s="52">
        <f>MIN(MAX(ROUND(ROUND('Loonschijven_Tranches salariale'!$Q69*0.6,4)*Basisbedragen!$I$2,2),ROUND(Basisbedragen!$D$45*Basisbedragen!$I$2,2)),ROUND(ROUND(Basisbedragen!$D$32*0.6,4)*Basisbedragen!$I$2,2))</f>
        <v>68.48</v>
      </c>
      <c r="G70" s="338">
        <f>MIN(MAX(ROUND(ROUND('Loonschijven_Tranches salariale'!$Q69*0.6,4)*Basisbedragen!$I$2,2),ROUND(Basisbedragen!$D$46*Basisbedragen!$I$2,2)),ROUND(ROUND(Basisbedragen!$D$32*0.6,4)*Basisbedragen!$I$2,2))</f>
        <v>68.48</v>
      </c>
      <c r="H70" s="348"/>
      <c r="I70" s="52">
        <f>MIN(MAX(ROUND(ROUND('Loonschijven_Tranches salariale'!$Q69*0.6,4)*Basisbedragen!$I$2,2),ROUND(Basisbedragen!$D$77*Basisbedragen!$I$2,2)),ROUND(ROUND(Basisbedragen!$D$29*0.6,4)*Basisbedragen!$I$2,2))</f>
        <v>73.98</v>
      </c>
      <c r="J70" s="52">
        <f>MIN(MAX(ROUND(ROUND('Loonschijven_Tranches salariale'!$Q69*0.6,4)*Basisbedragen!$I$2,2),ROUND(Basisbedragen!$D$78*Basisbedragen!$I$2,2)),ROUND(ROUND(Basisbedragen!$D$29*0.6,4)*Basisbedragen!$I$2,2))</f>
        <v>68.48</v>
      </c>
      <c r="L70" s="52">
        <f t="shared" si="4"/>
        <v>42.6</v>
      </c>
      <c r="M70" s="52">
        <f>ROUND(MIN(MAX(ROUND(ROUND('Loonschijven_Tranches salariale'!$Q69*0.6,4)*Basisbedragen!$I$2,2),ROUND(Basisbedragen!$D$47*Basisbedragen!$I$2,2)),ROUND(ROUND(Basisbedragen!$D$30*0.6,4)*Basisbedragen!$I$2,2))/2,2)</f>
        <v>35.5</v>
      </c>
      <c r="O70" s="52">
        <f t="shared" ref="O70" si="10">ROUND(E70/2,2)</f>
        <v>34.32</v>
      </c>
      <c r="P70" s="52">
        <f t="shared" ref="P70" si="11">ROUND(F70/2,2)</f>
        <v>34.24</v>
      </c>
      <c r="Q70" s="52">
        <f t="shared" ref="Q70" si="12">ROUND(G70/2,2)</f>
        <v>34.24</v>
      </c>
      <c r="T70" s="160"/>
    </row>
    <row r="71" spans="1:20" ht="15" thickBot="1">
      <c r="A71" s="47">
        <f t="shared" si="8"/>
        <v>63</v>
      </c>
      <c r="B71" s="52">
        <f t="shared" si="3"/>
        <v>85.19</v>
      </c>
      <c r="C71" s="52">
        <f>IF(MIN(MAX(ROUND(ROUND('Loonschijven_Tranches salariale'!$Q70*0.6,4)*Basisbedragen!$I$7,2),ROUND(Basisbedragen!$D$47*Basisbedragen!$I$7,2)),ROUND(ROUND(Basisbedragen!$D$30*0.6,4)*Basisbedragen!$I$7,2))&lt;= Basisbedragen!$I$8,MIN(MAX(ROUND(ROUND('Loonschijven_Tranches salariale'!$Q70*0.6,4)*Basisbedragen!$I$2,2),ROUND(Basisbedragen!$D$47*Basisbedragen!$I$2,2)),ROUND(ROUND(Basisbedragen!$D$30*0.6,4)*Basisbedragen!$I$2,2)),MIN(MAX(ROUND(ROUND('Loonschijven_Tranches salariale'!$Q70*0.6,4)*Basisbedragen!$I$7,2),ROUND(Basisbedragen!$D$47*Basisbedragen!$I$7,2)),ROUND(ROUND(Basisbedragen!$D$30*0.6,4)*Basisbedragen!$I$7,2))+Basisbedragen!$I$10)</f>
        <v>70.989999999999995</v>
      </c>
      <c r="E71" s="52">
        <f>MIN(MAX(ROUND(ROUND('Loonschijven_Tranches salariale'!$Q70*0.6,4)*Basisbedragen!$I$2,2),ROUND(Basisbedragen!$D$44*Basisbedragen!$I$2,2)),ROUND(ROUND(Basisbedragen!$D$32*0.6,4)*Basisbedragen!$I$2,2))</f>
        <v>69.09</v>
      </c>
      <c r="F71" s="52">
        <f>MIN(MAX(ROUND(ROUND('Loonschijven_Tranches salariale'!$Q70*0.6,4)*Basisbedragen!$I$2,2),ROUND(Basisbedragen!$D$45*Basisbedragen!$I$2,2)),ROUND(ROUND(Basisbedragen!$D$32*0.6,4)*Basisbedragen!$I$2,2))</f>
        <v>69.09</v>
      </c>
      <c r="G71" s="338">
        <f>MIN(MAX(ROUND(ROUND('Loonschijven_Tranches salariale'!$Q70*0.6,4)*Basisbedragen!$I$2,2),ROUND(Basisbedragen!$D$46*Basisbedragen!$I$2,2)),ROUND(ROUND(Basisbedragen!$D$32*0.6,4)*Basisbedragen!$I$2,2))</f>
        <v>69.09</v>
      </c>
      <c r="H71" s="348"/>
      <c r="I71" s="52">
        <f>MIN(MAX(ROUND(ROUND('Loonschijven_Tranches salariale'!$Q70*0.6,4)*Basisbedragen!$I$2,2),ROUND(Basisbedragen!$D$77*Basisbedragen!$I$2,2)),ROUND(ROUND(Basisbedragen!$D$29*0.6,4)*Basisbedragen!$I$2,2))</f>
        <v>73.98</v>
      </c>
      <c r="J71" s="52">
        <f>MIN(MAX(ROUND(ROUND('Loonschijven_Tranches salariale'!$Q70*0.6,4)*Basisbedragen!$I$2,2),ROUND(Basisbedragen!$D$78*Basisbedragen!$I$2,2)),ROUND(ROUND(Basisbedragen!$D$29*0.6,4)*Basisbedragen!$I$2,2))</f>
        <v>69.42</v>
      </c>
      <c r="L71" s="52">
        <f t="shared" si="4"/>
        <v>42.6</v>
      </c>
      <c r="M71" s="52">
        <f>ROUND(MIN(MAX(ROUND(ROUND('Loonschijven_Tranches salariale'!$Q70*0.6,4)*Basisbedragen!$I$2,2),ROUND(Basisbedragen!$D$47*Basisbedragen!$I$2,2)),ROUND(ROUND(Basisbedragen!$D$30*0.6,4)*Basisbedragen!$I$2,2))/2,2)</f>
        <v>35.5</v>
      </c>
      <c r="O71" s="52">
        <f t="shared" ref="O71" si="13">ROUND(E71/2,2)</f>
        <v>34.549999999999997</v>
      </c>
      <c r="P71" s="52">
        <f t="shared" ref="P71" si="14">ROUND(F71/2,2)</f>
        <v>34.549999999999997</v>
      </c>
      <c r="Q71" s="52">
        <f t="shared" ref="Q71" si="15">ROUND(G71/2,2)</f>
        <v>34.549999999999997</v>
      </c>
      <c r="T71" s="160"/>
    </row>
    <row r="72" spans="1:20" ht="15" thickBot="1">
      <c r="A72" s="47">
        <f t="shared" si="8"/>
        <v>64</v>
      </c>
      <c r="B72" s="52">
        <f t="shared" si="3"/>
        <v>85.19</v>
      </c>
      <c r="C72" s="52">
        <f>IF(MIN(MAX(ROUND(ROUND('Loonschijven_Tranches salariale'!$Q71*0.6,4)*Basisbedragen!$I$7,2),ROUND(Basisbedragen!$D$47*Basisbedragen!$I$7,2)),ROUND(ROUND(Basisbedragen!$D$30*0.6,4)*Basisbedragen!$I$7,2))&lt;= Basisbedragen!$I$8,MIN(MAX(ROUND(ROUND('Loonschijven_Tranches salariale'!$Q71*0.6,4)*Basisbedragen!$I$2,2),ROUND(Basisbedragen!$D$47*Basisbedragen!$I$2,2)),ROUND(ROUND(Basisbedragen!$D$30*0.6,4)*Basisbedragen!$I$2,2)),MIN(MAX(ROUND(ROUND('Loonschijven_Tranches salariale'!$Q71*0.6,4)*Basisbedragen!$I$7,2),ROUND(Basisbedragen!$D$47*Basisbedragen!$I$7,2)),ROUND(ROUND(Basisbedragen!$D$30*0.6,4)*Basisbedragen!$I$7,2))+Basisbedragen!$I$10)</f>
        <v>70.989999999999995</v>
      </c>
      <c r="I72" s="52">
        <f>MIN(MAX(ROUND(ROUND('Loonschijven_Tranches salariale'!$Q71*0.6,4)*Basisbedragen!$I$2,2),ROUND(Basisbedragen!$D$77*Basisbedragen!$I$2,2)),ROUND(ROUND(Basisbedragen!$D$29*0.6,4)*Basisbedragen!$I$2,2))</f>
        <v>73.98</v>
      </c>
      <c r="J72" s="52">
        <f>MIN(MAX(ROUND(ROUND('Loonschijven_Tranches salariale'!$Q71*0.6,4)*Basisbedragen!$I$2,2),ROUND(Basisbedragen!$D$78*Basisbedragen!$I$2,2)),ROUND(ROUND(Basisbedragen!$D$29*0.6,4)*Basisbedragen!$I$2,2))</f>
        <v>70.52</v>
      </c>
      <c r="L72" s="52">
        <f t="shared" si="4"/>
        <v>42.6</v>
      </c>
      <c r="M72" s="52">
        <f>ROUND(MIN(MAX(ROUND(ROUND('Loonschijven_Tranches salariale'!$Q71*0.6,4)*Basisbedragen!$I$2,2),ROUND(Basisbedragen!$D$47*Basisbedragen!$I$2,2)),ROUND(ROUND(Basisbedragen!$D$30*0.6,4)*Basisbedragen!$I$2,2))/2,2)</f>
        <v>35.5</v>
      </c>
      <c r="T72" s="160"/>
    </row>
    <row r="73" spans="1:20" ht="15" thickBot="1">
      <c r="A73" s="47">
        <f t="shared" si="8"/>
        <v>65</v>
      </c>
      <c r="B73" s="52">
        <f>ROUND(C73*1.2,2)</f>
        <v>85.68</v>
      </c>
      <c r="C73" s="52">
        <f>IF(MIN(MAX(ROUND(ROUND('Loonschijven_Tranches salariale'!$Q72*0.6,4)*Basisbedragen!$I$7,2),ROUND(Basisbedragen!$D$47*Basisbedragen!$I$7,2)),ROUND(ROUND(Basisbedragen!$D$30*0.6,4)*Basisbedragen!$I$7,2))&lt;= Basisbedragen!$I$8,MIN(MAX(ROUND(ROUND('Loonschijven_Tranches salariale'!$Q72*0.6,4)*Basisbedragen!$I$2,2),ROUND(Basisbedragen!$D$47*Basisbedragen!$I$2,2)),ROUND(ROUND(Basisbedragen!$D$30*0.6,4)*Basisbedragen!$I$2,2)),MIN(MAX(ROUND(ROUND('Loonschijven_Tranches salariale'!$Q72*0.6,4)*Basisbedragen!$I$7,2),ROUND(Basisbedragen!$D$47*Basisbedragen!$I$7,2)),ROUND(ROUND(Basisbedragen!$D$30*0.6,4)*Basisbedragen!$I$7,2))+Basisbedragen!$I$10)</f>
        <v>71.400000000000006</v>
      </c>
      <c r="I73" s="52">
        <f>MIN(MAX(ROUND(ROUND('Loonschijven_Tranches salariale'!$Q72*0.6,4)*Basisbedragen!$I$2,2),ROUND(Basisbedragen!$D$77*Basisbedragen!$I$2,2)),ROUND(ROUND(Basisbedragen!$D$29*0.6,4)*Basisbedragen!$I$2,2))</f>
        <v>73.98</v>
      </c>
      <c r="J73" s="52">
        <f>MIN(MAX(ROUND(ROUND('Loonschijven_Tranches salariale'!$Q72*0.6,4)*Basisbedragen!$I$2,2),ROUND(Basisbedragen!$D$78*Basisbedragen!$I$2,2)),ROUND(ROUND(Basisbedragen!$D$29*0.6,4)*Basisbedragen!$I$2,2))</f>
        <v>71.400000000000006</v>
      </c>
      <c r="L73" s="52">
        <f t="shared" si="4"/>
        <v>42.84</v>
      </c>
      <c r="M73" s="52">
        <f>ROUND(MIN(MAX(ROUND(ROUND('Loonschijven_Tranches salariale'!$Q72*0.6,4)*Basisbedragen!$I$2,2),ROUND(Basisbedragen!$D$47*Basisbedragen!$I$2,2)),ROUND(ROUND(Basisbedragen!$D$30*0.6,4)*Basisbedragen!$I$2,2))/2,2)</f>
        <v>35.700000000000003</v>
      </c>
      <c r="T73" s="160"/>
    </row>
    <row r="74" spans="1:20" ht="15" thickBot="1">
      <c r="A74" s="47">
        <f t="shared" si="8"/>
        <v>66</v>
      </c>
      <c r="B74" s="52">
        <f>ROUND(C74*1.2,2)</f>
        <v>86.68</v>
      </c>
      <c r="C74" s="52">
        <f>IF(MIN(MAX(ROUND(ROUND('Loonschijven_Tranches salariale'!$Q73*0.6,4)*Basisbedragen!$I$7,2),ROUND(Basisbedragen!$D$47*Basisbedragen!$I$7,2)),ROUND(ROUND(Basisbedragen!$D$30*0.6,4)*Basisbedragen!$I$7,2))&lt;= Basisbedragen!$I$8,MIN(MAX(ROUND(ROUND('Loonschijven_Tranches salariale'!$Q73*0.6,4)*Basisbedragen!$I$2,2),ROUND(Basisbedragen!$D$47*Basisbedragen!$I$2,2)),ROUND(ROUND(Basisbedragen!$D$30*0.6,4)*Basisbedragen!$I$2,2)),MIN(MAX(ROUND(ROUND('Loonschijven_Tranches salariale'!$Q73*0.6,4)*Basisbedragen!$I$7,2),ROUND(Basisbedragen!$D$47*Basisbedragen!$I$7,2)),ROUND(ROUND(Basisbedragen!$D$30*0.6,4)*Basisbedragen!$I$7,2))+Basisbedragen!$I$10)</f>
        <v>72.23</v>
      </c>
      <c r="I74" s="52">
        <f>MIN(MAX(ROUND(ROUND('Loonschijven_Tranches salariale'!$Q73*0.6,4)*Basisbedragen!$I$2,2),ROUND(Basisbedragen!$D$77*Basisbedragen!$I$2,2)),ROUND(ROUND(Basisbedragen!$D$29*0.6,4)*Basisbedragen!$I$2,2))</f>
        <v>73.98</v>
      </c>
      <c r="J74" s="52">
        <f>MIN(MAX(ROUND(ROUND('Loonschijven_Tranches salariale'!$Q73*0.6,4)*Basisbedragen!$I$2,2),ROUND(Basisbedragen!$D$78*Basisbedragen!$I$2,2)),ROUND(ROUND(Basisbedragen!$D$29*0.6,4)*Basisbedragen!$I$2,2))</f>
        <v>72.23</v>
      </c>
      <c r="L74" s="52">
        <f t="shared" ref="L74:L107" si="16">ROUND(M74*1.2,2)</f>
        <v>43.34</v>
      </c>
      <c r="M74" s="52">
        <f>ROUND(MIN(MAX(ROUND(ROUND('Loonschijven_Tranches salariale'!$Q73*0.6,4)*Basisbedragen!$I$2,2),ROUND(Basisbedragen!$D$47*Basisbedragen!$I$2,2)),ROUND(ROUND(Basisbedragen!$D$30*0.6,4)*Basisbedragen!$I$2,2))/2,2)</f>
        <v>36.119999999999997</v>
      </c>
      <c r="T74" s="160"/>
    </row>
    <row r="75" spans="1:20" ht="15" thickBot="1">
      <c r="A75" s="47">
        <f t="shared" ref="A75:A82" si="17">A74+1</f>
        <v>67</v>
      </c>
      <c r="B75" s="52">
        <f t="shared" ref="B75:B78" si="18">ROUND(C75*1.2,2)</f>
        <v>87.8</v>
      </c>
      <c r="C75" s="52">
        <f>IF(MIN(MAX(ROUND(ROUND('Loonschijven_Tranches salariale'!$Q74*0.6,4)*Basisbedragen!$I$7,2),ROUND(Basisbedragen!$D$47*Basisbedragen!$I$7,2)),ROUND(ROUND(Basisbedragen!$D$30*0.6,4)*Basisbedragen!$I$7,2))&lt;= Basisbedragen!$I$8,MIN(MAX(ROUND(ROUND('Loonschijven_Tranches salariale'!$Q74*0.6,4)*Basisbedragen!$I$2,2),ROUND(Basisbedragen!$D$47*Basisbedragen!$I$2,2)),ROUND(ROUND(Basisbedragen!$D$30*0.6,4)*Basisbedragen!$I$2,2)),MIN(MAX(ROUND(ROUND('Loonschijven_Tranches salariale'!$Q74*0.6,4)*Basisbedragen!$I$7,2),ROUND(Basisbedragen!$D$47*Basisbedragen!$I$7,2)),ROUND(ROUND(Basisbedragen!$D$30*0.6,4)*Basisbedragen!$I$7,2))+Basisbedragen!$I$10)</f>
        <v>73.17</v>
      </c>
      <c r="I75" s="52">
        <f>MIN(MAX(ROUND(ROUND('Loonschijven_Tranches salariale'!$Q74*0.6,4)*Basisbedragen!$I$2,2),ROUND(Basisbedragen!$D$77*Basisbedragen!$I$2,2)),ROUND(ROUND(Basisbedragen!$D$29*0.6,4)*Basisbedragen!$I$2,2))</f>
        <v>73.98</v>
      </c>
      <c r="J75" s="52">
        <f>MIN(MAX(ROUND(ROUND('Loonschijven_Tranches salariale'!$Q74*0.6,4)*Basisbedragen!$I$2,2),ROUND(Basisbedragen!$D$78*Basisbedragen!$I$2,2)),ROUND(ROUND(Basisbedragen!$D$29*0.6,4)*Basisbedragen!$I$2,2))</f>
        <v>73.17</v>
      </c>
      <c r="L75" s="52">
        <f t="shared" si="16"/>
        <v>43.91</v>
      </c>
      <c r="M75" s="52">
        <f>ROUND(MIN(MAX(ROUND(ROUND('Loonschijven_Tranches salariale'!$Q74*0.6,4)*Basisbedragen!$I$2,2),ROUND(Basisbedragen!$D$47*Basisbedragen!$I$2,2)),ROUND(ROUND(Basisbedragen!$D$30*0.6,4)*Basisbedragen!$I$2,2))/2,2)</f>
        <v>36.590000000000003</v>
      </c>
      <c r="T75" s="160"/>
    </row>
    <row r="76" spans="1:20" ht="15" thickBot="1">
      <c r="A76" s="47">
        <f t="shared" si="17"/>
        <v>68</v>
      </c>
      <c r="B76" s="52">
        <f t="shared" si="18"/>
        <v>88.93</v>
      </c>
      <c r="C76" s="52">
        <f>IF(MIN(MAX(ROUND(ROUND('Loonschijven_Tranches salariale'!$Q75*0.6,4)*Basisbedragen!$I$7,2),ROUND(Basisbedragen!$D$47*Basisbedragen!$I$7,2)),ROUND(ROUND(Basisbedragen!$D$30*0.6,4)*Basisbedragen!$I$7,2))&lt;= Basisbedragen!$I$8,MIN(MAX(ROUND(ROUND('Loonschijven_Tranches salariale'!$Q75*0.6,4)*Basisbedragen!$I$2,2),ROUND(Basisbedragen!$D$47*Basisbedragen!$I$2,2)),ROUND(ROUND(Basisbedragen!$D$30*0.6,4)*Basisbedragen!$I$2,2)),MIN(MAX(ROUND(ROUND('Loonschijven_Tranches salariale'!$Q75*0.6,4)*Basisbedragen!$I$7,2),ROUND(Basisbedragen!$D$47*Basisbedragen!$I$7,2)),ROUND(ROUND(Basisbedragen!$D$30*0.6,4)*Basisbedragen!$I$7,2))+Basisbedragen!$I$10)</f>
        <v>74.11</v>
      </c>
      <c r="I76" s="52">
        <f>MIN(MAX(ROUND(ROUND('Loonschijven_Tranches salariale'!$Q75*0.6,4)*Basisbedragen!$I$2,2),ROUND(Basisbedragen!$D$77*Basisbedragen!$I$2,2)),ROUND(ROUND(Basisbedragen!$D$29*0.6,4)*Basisbedragen!$I$2,2))</f>
        <v>74.11</v>
      </c>
      <c r="J76" s="52">
        <f>MIN(MAX(ROUND(ROUND('Loonschijven_Tranches salariale'!$Q75*0.6,4)*Basisbedragen!$I$2,2),ROUND(Basisbedragen!$D$78*Basisbedragen!$I$2,2)),ROUND(ROUND(Basisbedragen!$D$29*0.6,4)*Basisbedragen!$I$2,2))</f>
        <v>74.11</v>
      </c>
      <c r="L76" s="52">
        <f t="shared" si="16"/>
        <v>44.47</v>
      </c>
      <c r="M76" s="52">
        <f>ROUND(MIN(MAX(ROUND(ROUND('Loonschijven_Tranches salariale'!$Q75*0.6,4)*Basisbedragen!$I$2,2),ROUND(Basisbedragen!$D$47*Basisbedragen!$I$2,2)),ROUND(ROUND(Basisbedragen!$D$30*0.6,4)*Basisbedragen!$I$2,2))/2,2)</f>
        <v>37.06</v>
      </c>
      <c r="T76" s="160"/>
    </row>
    <row r="77" spans="1:20" ht="15" thickBot="1">
      <c r="A77" s="47">
        <f t="shared" si="17"/>
        <v>69</v>
      </c>
      <c r="B77" s="52">
        <f t="shared" si="18"/>
        <v>90.06</v>
      </c>
      <c r="C77" s="52">
        <f>IF(MIN(MAX(ROUND(ROUND('Loonschijven_Tranches salariale'!$Q76*0.6,4)*Basisbedragen!$I$7,2),ROUND(Basisbedragen!$D$47*Basisbedragen!$I$7,2)),ROUND(ROUND(Basisbedragen!$D$30*0.6,4)*Basisbedragen!$I$7,2))&lt;= Basisbedragen!$I$8,MIN(MAX(ROUND(ROUND('Loonschijven_Tranches salariale'!$Q76*0.6,4)*Basisbedragen!$I$2,2),ROUND(Basisbedragen!$D$47*Basisbedragen!$I$2,2)),ROUND(ROUND(Basisbedragen!$D$30*0.6,4)*Basisbedragen!$I$2,2)),MIN(MAX(ROUND(ROUND('Loonschijven_Tranches salariale'!$Q76*0.6,4)*Basisbedragen!$I$7,2),ROUND(Basisbedragen!$D$47*Basisbedragen!$I$7,2)),ROUND(ROUND(Basisbedragen!$D$30*0.6,4)*Basisbedragen!$I$7,2))+Basisbedragen!$I$10)</f>
        <v>75.05</v>
      </c>
      <c r="I77" s="52">
        <f>MIN(MAX(ROUND(ROUND('Loonschijven_Tranches salariale'!$Q76*0.6,4)*Basisbedragen!$I$2,2),ROUND(Basisbedragen!$D$77*Basisbedragen!$I$2,2)),ROUND(ROUND(Basisbedragen!$D$29*0.6,4)*Basisbedragen!$I$2,2))</f>
        <v>75.05</v>
      </c>
      <c r="J77" s="52">
        <f>MIN(MAX(ROUND(ROUND('Loonschijven_Tranches salariale'!$Q76*0.6,4)*Basisbedragen!$I$2,2),ROUND(Basisbedragen!$D$78*Basisbedragen!$I$2,2)),ROUND(ROUND(Basisbedragen!$D$29*0.6,4)*Basisbedragen!$I$2,2))</f>
        <v>75.05</v>
      </c>
      <c r="L77" s="52">
        <f t="shared" si="16"/>
        <v>45.04</v>
      </c>
      <c r="M77" s="52">
        <f>ROUND(MIN(MAX(ROUND(ROUND('Loonschijven_Tranches salariale'!$Q76*0.6,4)*Basisbedragen!$I$2,2),ROUND(Basisbedragen!$D$47*Basisbedragen!$I$2,2)),ROUND(ROUND(Basisbedragen!$D$30*0.6,4)*Basisbedragen!$I$2,2))/2,2)</f>
        <v>37.53</v>
      </c>
      <c r="T77" s="160"/>
    </row>
    <row r="78" spans="1:20" ht="15" thickBot="1">
      <c r="A78" s="47">
        <f t="shared" si="17"/>
        <v>70</v>
      </c>
      <c r="B78" s="52">
        <f t="shared" si="18"/>
        <v>90.79</v>
      </c>
      <c r="C78" s="52">
        <f>IF(MIN(MAX(ROUND(ROUND('Loonschijven_Tranches salariale'!$Q77*0.6,4)*Basisbedragen!$I$7,2),ROUND(Basisbedragen!$D$47*Basisbedragen!$I$7,2)),ROUND(ROUND(Basisbedragen!$D$30*0.6,4)*Basisbedragen!$I$7,2))&lt;= Basisbedragen!$I$8,MIN(MAX(ROUND(ROUND('Loonschijven_Tranches salariale'!$Q77*0.6,4)*Basisbedragen!$I$2,2),ROUND(Basisbedragen!$D$47*Basisbedragen!$I$2,2)),ROUND(ROUND(Basisbedragen!$D$30*0.6,4)*Basisbedragen!$I$2,2)),MIN(MAX(ROUND(ROUND('Loonschijven_Tranches salariale'!$Q77*0.6,4)*Basisbedragen!$I$7,2),ROUND(Basisbedragen!$D$47*Basisbedragen!$I$7,2)),ROUND(ROUND(Basisbedragen!$D$30*0.6,4)*Basisbedragen!$I$7,2))+Basisbedragen!$I$10)</f>
        <v>75.66</v>
      </c>
      <c r="I78" s="52">
        <f>MIN(MAX(ROUND(ROUND('Loonschijven_Tranches salariale'!$Q77*0.6,4)*Basisbedragen!$I$2,2),ROUND(Basisbedragen!$D$77*Basisbedragen!$I$2,2)),ROUND(ROUND(Basisbedragen!$D$29*0.6,4)*Basisbedragen!$I$2,2))</f>
        <v>75.66</v>
      </c>
      <c r="J78" s="52">
        <f>MIN(MAX(ROUND(ROUND('Loonschijven_Tranches salariale'!$Q77*0.6,4)*Basisbedragen!$I$2,2),ROUND(Basisbedragen!$D$78*Basisbedragen!$I$2,2)),ROUND(ROUND(Basisbedragen!$D$29*0.6,4)*Basisbedragen!$I$2,2))</f>
        <v>75.66</v>
      </c>
      <c r="L78" s="52">
        <f t="shared" si="16"/>
        <v>45.4</v>
      </c>
      <c r="M78" s="52">
        <f>ROUND(MIN(MAX(ROUND(ROUND('Loonschijven_Tranches salariale'!$Q77*0.6,4)*Basisbedragen!$I$2,2),ROUND(Basisbedragen!$D$47*Basisbedragen!$I$2,2)),ROUND(ROUND(Basisbedragen!$D$30*0.6,4)*Basisbedragen!$I$2,2))/2,2)</f>
        <v>37.83</v>
      </c>
      <c r="T78" s="160"/>
    </row>
    <row r="79" spans="1:20" ht="15" thickBot="1">
      <c r="A79" s="47">
        <f t="shared" si="17"/>
        <v>71</v>
      </c>
      <c r="B79" s="52">
        <f>ROUND(C79*1.2,2)</f>
        <v>91.37</v>
      </c>
      <c r="C79" s="52">
        <f>IF(MIN(MAX(ROUND(ROUND('Loonschijven_Tranches salariale'!$Q78*0.6,4)*Basisbedragen!$I$7,2),ROUND(Basisbedragen!$D$47*Basisbedragen!$I$7,2)),ROUND(ROUND(Basisbedragen!$D$30*0.6,4)*Basisbedragen!$I$7,2))&lt;= Basisbedragen!$I$8,MIN(MAX(ROUND(ROUND('Loonschijven_Tranches salariale'!$Q78*0.6,4)*Basisbedragen!$I$2,2),ROUND(Basisbedragen!$D$47*Basisbedragen!$I$2,2)),ROUND(ROUND(Basisbedragen!$D$30*0.6,4)*Basisbedragen!$I$2,2)),MIN(MAX(ROUND(ROUND('Loonschijven_Tranches salariale'!$Q78*0.6,4)*Basisbedragen!$I$7,2),ROUND(Basisbedragen!$D$47*Basisbedragen!$I$7,2)),ROUND(ROUND(Basisbedragen!$D$30*0.6,4)*Basisbedragen!$I$7,2))+Basisbedragen!$I$10)</f>
        <v>76.14</v>
      </c>
      <c r="I79" s="52">
        <f>MIN(MAX(ROUND(ROUND('Loonschijven_Tranches salariale'!$Q78*0.6,4)*Basisbedragen!$I$2,2),ROUND(Basisbedragen!$D$77*Basisbedragen!$I$2,2)),ROUND(ROUND(Basisbedragen!$D$29*0.6,4)*Basisbedragen!$I$2,2))</f>
        <v>76.14</v>
      </c>
      <c r="J79" s="52">
        <f>MIN(MAX(ROUND(ROUND('Loonschijven_Tranches salariale'!$Q78*0.6,4)*Basisbedragen!$I$2,2),ROUND(Basisbedragen!$D$78*Basisbedragen!$I$2,2)),ROUND(ROUND(Basisbedragen!$D$29*0.6,4)*Basisbedragen!$I$2,2))</f>
        <v>76.14</v>
      </c>
      <c r="L79" s="52">
        <f t="shared" si="16"/>
        <v>45.68</v>
      </c>
      <c r="M79" s="52">
        <f>ROUND(MIN(MAX(ROUND(ROUND('Loonschijven_Tranches salariale'!$Q78*0.6,4)*Basisbedragen!$I$2,2),ROUND(Basisbedragen!$D$47*Basisbedragen!$I$2,2)),ROUND(ROUND(Basisbedragen!$D$30*0.6,4)*Basisbedragen!$I$2,2))/2,2)</f>
        <v>38.07</v>
      </c>
      <c r="T79" s="160"/>
    </row>
    <row r="80" spans="1:20" ht="15" thickBot="1">
      <c r="A80" s="47">
        <f t="shared" si="17"/>
        <v>72</v>
      </c>
      <c r="B80" s="52">
        <f t="shared" ref="B80:B83" si="19">ROUND(C80*1.2,2)</f>
        <v>91.93</v>
      </c>
      <c r="C80" s="52">
        <f>IF(MIN(MAX(ROUND(ROUND('Loonschijven_Tranches salariale'!$Q79*0.6,4)*Basisbedragen!$I$7,2),ROUND(Basisbedragen!$D$47*Basisbedragen!$I$7,2)),ROUND(ROUND(Basisbedragen!$D$30*0.6,4)*Basisbedragen!$I$7,2))&lt;= Basisbedragen!$I$8,MIN(MAX(ROUND(ROUND('Loonschijven_Tranches salariale'!$Q79*0.6,4)*Basisbedragen!$I$2,2),ROUND(Basisbedragen!$D$47*Basisbedragen!$I$2,2)),ROUND(ROUND(Basisbedragen!$D$30*0.6,4)*Basisbedragen!$I$2,2)),MIN(MAX(ROUND(ROUND('Loonschijven_Tranches salariale'!$Q79*0.6,4)*Basisbedragen!$I$7,2),ROUND(Basisbedragen!$D$47*Basisbedragen!$I$7,2)),ROUND(ROUND(Basisbedragen!$D$30*0.6,4)*Basisbedragen!$I$7,2))+Basisbedragen!$I$10)</f>
        <v>76.61</v>
      </c>
      <c r="I80" s="52">
        <f>MIN(MAX(ROUND(ROUND('Loonschijven_Tranches salariale'!$Q79*0.6,4)*Basisbedragen!$I$2,2),ROUND(Basisbedragen!$D$77*Basisbedragen!$I$2,2)),ROUND(ROUND(Basisbedragen!$D$29*0.6,4)*Basisbedragen!$I$2,2))</f>
        <v>76.61</v>
      </c>
      <c r="J80" s="52">
        <f>MIN(MAX(ROUND(ROUND('Loonschijven_Tranches salariale'!$Q79*0.6,4)*Basisbedragen!$I$2,2),ROUND(Basisbedragen!$D$78*Basisbedragen!$I$2,2)),ROUND(ROUND(Basisbedragen!$D$29*0.6,4)*Basisbedragen!$I$2,2))</f>
        <v>76.61</v>
      </c>
      <c r="L80" s="52">
        <f t="shared" si="16"/>
        <v>45.97</v>
      </c>
      <c r="M80" s="52">
        <f>ROUND(MIN(MAX(ROUND(ROUND('Loonschijven_Tranches salariale'!$Q79*0.6,4)*Basisbedragen!$I$2,2),ROUND(Basisbedragen!$D$47*Basisbedragen!$I$2,2)),ROUND(ROUND(Basisbedragen!$D$30*0.6,4)*Basisbedragen!$I$2,2))/2,2)</f>
        <v>38.31</v>
      </c>
      <c r="T80" s="160"/>
    </row>
    <row r="81" spans="1:20" ht="15" thickBot="1">
      <c r="A81" s="47">
        <f t="shared" si="17"/>
        <v>73</v>
      </c>
      <c r="B81" s="52">
        <f t="shared" si="19"/>
        <v>93.2</v>
      </c>
      <c r="C81" s="52">
        <f>IF(MIN(MAX(ROUND(ROUND('Loonschijven_Tranches salariale'!$Q80*0.6,4)*Basisbedragen!$I$7,2),ROUND(Basisbedragen!$D$47*Basisbedragen!$I$7,2)),ROUND(ROUND(Basisbedragen!$D$30*0.6,4)*Basisbedragen!$I$7,2))&lt;= Basisbedragen!$I$8,MIN(MAX(ROUND(ROUND('Loonschijven_Tranches salariale'!$Q80*0.6,4)*Basisbedragen!$I$2,2),ROUND(Basisbedragen!$D$47*Basisbedragen!$I$2,2)),ROUND(ROUND(Basisbedragen!$D$30*0.6,4)*Basisbedragen!$I$2,2)),MIN(MAX(ROUND(ROUND('Loonschijven_Tranches salariale'!$Q80*0.6,4)*Basisbedragen!$I$7,2),ROUND(Basisbedragen!$D$47*Basisbedragen!$I$7,2)),ROUND(ROUND(Basisbedragen!$D$30*0.6,4)*Basisbedragen!$I$7,2))+Basisbedragen!$I$10)</f>
        <v>77.67</v>
      </c>
      <c r="I81" s="52">
        <f>MIN(MAX(ROUND(ROUND('Loonschijven_Tranches salariale'!$Q80*0.6,4)*Basisbedragen!$I$2,2),ROUND(Basisbedragen!$D$77*Basisbedragen!$I$2,2)),ROUND(ROUND(Basisbedragen!$D$29*0.6,4)*Basisbedragen!$I$2,2))</f>
        <v>76.81</v>
      </c>
      <c r="J81" s="52">
        <f>MIN(MAX(ROUND(ROUND('Loonschijven_Tranches salariale'!$Q80*0.6,4)*Basisbedragen!$I$2,2),ROUND(Basisbedragen!$D$78*Basisbedragen!$I$2,2)),ROUND(ROUND(Basisbedragen!$D$29*0.6,4)*Basisbedragen!$I$2,2))</f>
        <v>76.81</v>
      </c>
      <c r="L81" s="52">
        <f t="shared" si="16"/>
        <v>46.61</v>
      </c>
      <c r="M81" s="52">
        <f>ROUND(MIN(MAX(ROUND(ROUND('Loonschijven_Tranches salariale'!$Q80*0.6,4)*Basisbedragen!$I$2,2),ROUND(Basisbedragen!$D$47*Basisbedragen!$I$2,2)),ROUND(ROUND(Basisbedragen!$D$30*0.6,4)*Basisbedragen!$I$2,2))/2,2)</f>
        <v>38.840000000000003</v>
      </c>
      <c r="T81" s="160"/>
    </row>
    <row r="82" spans="1:20" ht="15" thickBot="1">
      <c r="A82" s="47">
        <f t="shared" si="17"/>
        <v>74</v>
      </c>
      <c r="B82" s="52">
        <f t="shared" si="19"/>
        <v>93.77</v>
      </c>
      <c r="C82" s="52">
        <f>IF(MIN(MAX(ROUND(ROUND('Loonschijven_Tranches salariale'!$Q81*0.6,4)*Basisbedragen!$I$7,2),ROUND(Basisbedragen!$D$47*Basisbedragen!$I$7,2)),ROUND(ROUND(Basisbedragen!$D$30*0.6,4)*Basisbedragen!$I$7,2))&lt;= Basisbedragen!$I$8,MIN(MAX(ROUND(ROUND('Loonschijven_Tranches salariale'!$Q81*0.6,4)*Basisbedragen!$I$2,2),ROUND(Basisbedragen!$D$47*Basisbedragen!$I$2,2)),ROUND(ROUND(Basisbedragen!$D$30*0.6,4)*Basisbedragen!$I$2,2)),MIN(MAX(ROUND(ROUND('Loonschijven_Tranches salariale'!$Q81*0.6,4)*Basisbedragen!$I$7,2),ROUND(Basisbedragen!$D$47*Basisbedragen!$I$7,2)),ROUND(ROUND(Basisbedragen!$D$30*0.6,4)*Basisbedragen!$I$7,2))+Basisbedragen!$I$10)</f>
        <v>78.14</v>
      </c>
      <c r="I82" s="52">
        <f>MIN(MAX(ROUND(ROUND('Loonschijven_Tranches salariale'!$Q81*0.6,4)*Basisbedragen!$I$2,2),ROUND(Basisbedragen!$D$77*Basisbedragen!$I$2,2)),ROUND(ROUND(Basisbedragen!$D$29*0.6,4)*Basisbedragen!$I$2,2))</f>
        <v>76.81</v>
      </c>
      <c r="J82" s="52">
        <f>MIN(MAX(ROUND(ROUND('Loonschijven_Tranches salariale'!$Q81*0.6,4)*Basisbedragen!$I$2,2),ROUND(Basisbedragen!$D$78*Basisbedragen!$I$2,2)),ROUND(ROUND(Basisbedragen!$D$29*0.6,4)*Basisbedragen!$I$2,2))</f>
        <v>76.81</v>
      </c>
      <c r="L82" s="52">
        <f t="shared" si="16"/>
        <v>46.88</v>
      </c>
      <c r="M82" s="52">
        <f>ROUND(MIN(MAX(ROUND(ROUND('Loonschijven_Tranches salariale'!$Q81*0.6,4)*Basisbedragen!$I$2,2),ROUND(Basisbedragen!$D$47*Basisbedragen!$I$2,2)),ROUND(ROUND(Basisbedragen!$D$30*0.6,4)*Basisbedragen!$I$2,2))/2,2)</f>
        <v>39.07</v>
      </c>
      <c r="T82" s="160"/>
    </row>
    <row r="83" spans="1:20" ht="15" thickBot="1">
      <c r="A83" s="47">
        <f>A82+1</f>
        <v>75</v>
      </c>
      <c r="B83" s="52">
        <f t="shared" si="19"/>
        <v>94.92</v>
      </c>
      <c r="C83" s="52">
        <f>IF(MIN(MAX(ROUND(ROUND('Loonschijven_Tranches salariale'!$Q82*0.6,4)*Basisbedragen!$I$7,2),ROUND(Basisbedragen!$D$47*Basisbedragen!$I$7,2)),ROUND(ROUND(Basisbedragen!$D$30*0.6,4)*Basisbedragen!$I$7,2))&lt;= Basisbedragen!$I$8,MIN(MAX(ROUND(ROUND('Loonschijven_Tranches salariale'!$Q82*0.6,4)*Basisbedragen!$I$2,2),ROUND(Basisbedragen!$D$47*Basisbedragen!$I$2,2)),ROUND(ROUND(Basisbedragen!$D$30*0.6,4)*Basisbedragen!$I$2,2)),MIN(MAX(ROUND(ROUND('Loonschijven_Tranches salariale'!$Q82*0.6,4)*Basisbedragen!$I$7,2),ROUND(Basisbedragen!$D$47*Basisbedragen!$I$7,2)),ROUND(ROUND(Basisbedragen!$D$30*0.6,4)*Basisbedragen!$I$7,2))+Basisbedragen!$I$10)</f>
        <v>79.100000000000009</v>
      </c>
      <c r="I83" s="52">
        <f>MIN(MAX(ROUND(ROUND('Loonschijven_Tranches salariale'!$Q82*0.6,4)*Basisbedragen!$I$2,2),ROUND(Basisbedragen!$D$77*Basisbedragen!$I$2,2)),ROUND(ROUND(Basisbedragen!$D$29*0.6,4)*Basisbedragen!$I$2,2))</f>
        <v>76.81</v>
      </c>
      <c r="J83" s="52">
        <f>MIN(MAX(ROUND(ROUND('Loonschijven_Tranches salariale'!$Q82*0.6,4)*Basisbedragen!$I$2,2),ROUND(Basisbedragen!$D$78*Basisbedragen!$I$2,2)),ROUND(ROUND(Basisbedragen!$D$29*0.6,4)*Basisbedragen!$I$2,2))</f>
        <v>76.81</v>
      </c>
      <c r="L83" s="52">
        <f t="shared" si="16"/>
        <v>47.47</v>
      </c>
      <c r="M83" s="52">
        <f>ROUND(MIN(MAX(ROUND(ROUND('Loonschijven_Tranches salariale'!$Q82*0.6,4)*Basisbedragen!$I$2,2),ROUND(Basisbedragen!$D$47*Basisbedragen!$I$2,2)),ROUND(ROUND(Basisbedragen!$D$30*0.6,4)*Basisbedragen!$I$2,2))/2,2)</f>
        <v>39.56</v>
      </c>
      <c r="T83" s="160"/>
    </row>
    <row r="84" spans="1:20" ht="15" thickBot="1">
      <c r="A84" s="47">
        <f>A83+1</f>
        <v>76</v>
      </c>
      <c r="B84" s="52">
        <f>ROUND(C84*1.2,2)</f>
        <v>95.66</v>
      </c>
      <c r="C84" s="52">
        <f>IF(MIN(MAX(ROUND(ROUND('Loonschijven_Tranches salariale'!$Q83*0.6,4)*Basisbedragen!$I$7,2),ROUND(Basisbedragen!$D$47*Basisbedragen!$I$7,2)),ROUND(ROUND(Basisbedragen!$D$30*0.6,4)*Basisbedragen!$I$7,2))&lt;= Basisbedragen!$I$8,MIN(MAX(ROUND(ROUND('Loonschijven_Tranches salariale'!$Q83*0.6,4)*Basisbedragen!$I$2,2),ROUND(Basisbedragen!$D$47*Basisbedragen!$I$2,2)),ROUND(ROUND(Basisbedragen!$D$30*0.6,4)*Basisbedragen!$I$2,2)),MIN(MAX(ROUND(ROUND('Loonschijven_Tranches salariale'!$Q83*0.6,4)*Basisbedragen!$I$7,2),ROUND(Basisbedragen!$D$47*Basisbedragen!$I$7,2)),ROUND(ROUND(Basisbedragen!$D$30*0.6,4)*Basisbedragen!$I$7,2))+Basisbedragen!$I$10)</f>
        <v>79.720000000000013</v>
      </c>
      <c r="I84" s="52">
        <f>MIN(MAX(ROUND(ROUND('Loonschijven_Tranches salariale'!$Q83*0.6,4)*Basisbedragen!$I$2,2),ROUND(Basisbedragen!$D$77*Basisbedragen!$I$2,2)),ROUND(ROUND(Basisbedragen!$D$29*0.6,4)*Basisbedragen!$I$2,2))</f>
        <v>76.81</v>
      </c>
      <c r="J84" s="52">
        <f>MIN(MAX(ROUND(ROUND('Loonschijven_Tranches salariale'!$Q83*0.6,4)*Basisbedragen!$I$2,2),ROUND(Basisbedragen!$D$78*Basisbedragen!$I$2,2)),ROUND(ROUND(Basisbedragen!$D$29*0.6,4)*Basisbedragen!$I$2,2))</f>
        <v>76.81</v>
      </c>
      <c r="L84" s="52">
        <f t="shared" si="16"/>
        <v>47.86</v>
      </c>
      <c r="M84" s="52">
        <f>ROUND(MIN(MAX(ROUND(ROUND('Loonschijven_Tranches salariale'!$Q83*0.6,4)*Basisbedragen!$I$2,2),ROUND(Basisbedragen!$D$47*Basisbedragen!$I$2,2)),ROUND(ROUND(Basisbedragen!$D$30*0.6,4)*Basisbedragen!$I$2,2))/2,2)</f>
        <v>39.880000000000003</v>
      </c>
      <c r="T84" s="160"/>
    </row>
    <row r="85" spans="1:20" ht="15.6" customHeight="1" thickBot="1">
      <c r="A85" s="47">
        <f>A84+1</f>
        <v>77</v>
      </c>
      <c r="B85" s="52">
        <f t="shared" ref="B85:B88" si="20">ROUND(C85*1.2,2)</f>
        <v>96.7</v>
      </c>
      <c r="C85" s="52">
        <f>IF(MIN(MAX(ROUND(ROUND('Loonschijven_Tranches salariale'!$Q84*0.6,4)*Basisbedragen!$I$7,2),ROUND(Basisbedragen!$D$47*Basisbedragen!$I$7,2)),ROUND(ROUND(Basisbedragen!$D$30*0.6,4)*Basisbedragen!$I$7,2))&lt;= Basisbedragen!$I$8,MIN(MAX(ROUND(ROUND('Loonschijven_Tranches salariale'!$Q84*0.6,4)*Basisbedragen!$I$2,2),ROUND(Basisbedragen!$D$47*Basisbedragen!$I$2,2)),ROUND(ROUND(Basisbedragen!$D$30*0.6,4)*Basisbedragen!$I$2,2)),MIN(MAX(ROUND(ROUND('Loonschijven_Tranches salariale'!$Q84*0.6,4)*Basisbedragen!$I$7,2),ROUND(Basisbedragen!$D$47*Basisbedragen!$I$7,2)),ROUND(ROUND(Basisbedragen!$D$30*0.6,4)*Basisbedragen!$I$7,2))+Basisbedragen!$I$10)</f>
        <v>80.580000000000013</v>
      </c>
      <c r="I85" s="52">
        <f>MIN(MAX(ROUND(ROUND('Loonschijven_Tranches salariale'!$Q84*0.6,4)*Basisbedragen!$I$2,2),ROUND(Basisbedragen!$D$77*Basisbedragen!$I$2,2)),ROUND(ROUND(Basisbedragen!$D$29*0.6,4)*Basisbedragen!$I$2,2))</f>
        <v>76.81</v>
      </c>
      <c r="J85" s="52">
        <f>MIN(MAX(ROUND(ROUND('Loonschijven_Tranches salariale'!$Q84*0.6,4)*Basisbedragen!$I$2,2),ROUND(Basisbedragen!$D$78*Basisbedragen!$I$2,2)),ROUND(ROUND(Basisbedragen!$D$29*0.6,4)*Basisbedragen!$I$2,2))</f>
        <v>76.81</v>
      </c>
      <c r="L85" s="52">
        <f t="shared" si="16"/>
        <v>48.38</v>
      </c>
      <c r="M85" s="52">
        <f>ROUND(MIN(MAX(ROUND(ROUND('Loonschijven_Tranches salariale'!$Q84*0.6,4)*Basisbedragen!$I$2,2),ROUND(Basisbedragen!$D$47*Basisbedragen!$I$2,2)),ROUND(ROUND(Basisbedragen!$D$30*0.6,4)*Basisbedragen!$I$2,2))/2,2)</f>
        <v>40.32</v>
      </c>
      <c r="T85" s="160"/>
    </row>
    <row r="86" spans="1:20" ht="15" thickBot="1">
      <c r="A86" s="47">
        <f>A85+1</f>
        <v>78</v>
      </c>
      <c r="B86" s="52">
        <f t="shared" si="20"/>
        <v>97.74</v>
      </c>
      <c r="C86" s="52">
        <f>IF(MIN(MAX(ROUND(ROUND('Loonschijven_Tranches salariale'!$Q85*0.6,4)*Basisbedragen!$I$7,2),ROUND(Basisbedragen!$D$47*Basisbedragen!$I$7,2)),ROUND(ROUND(Basisbedragen!$D$30*0.6,4)*Basisbedragen!$I$7,2))&lt;= Basisbedragen!$I$8,MIN(MAX(ROUND(ROUND('Loonschijven_Tranches salariale'!$Q85*0.6,4)*Basisbedragen!$I$2,2),ROUND(Basisbedragen!$D$47*Basisbedragen!$I$2,2)),ROUND(ROUND(Basisbedragen!$D$30*0.6,4)*Basisbedragen!$I$2,2)),MIN(MAX(ROUND(ROUND('Loonschijven_Tranches salariale'!$Q85*0.6,4)*Basisbedragen!$I$7,2),ROUND(Basisbedragen!$D$47*Basisbedragen!$I$7,2)),ROUND(ROUND(Basisbedragen!$D$30*0.6,4)*Basisbedragen!$I$7,2))+Basisbedragen!$I$10)</f>
        <v>81.45</v>
      </c>
      <c r="I86" s="52">
        <f>MIN(MAX(ROUND(ROUND('Loonschijven_Tranches salariale'!$Q85*0.6,4)*Basisbedragen!$I$2,2),ROUND(Basisbedragen!$D$77*Basisbedragen!$I$2,2)),ROUND(ROUND(Basisbedragen!$D$29*0.6,4)*Basisbedragen!$I$2,2))</f>
        <v>76.81</v>
      </c>
      <c r="J86" s="52">
        <f>MIN(MAX(ROUND(ROUND('Loonschijven_Tranches salariale'!$Q85*0.6,4)*Basisbedragen!$I$2,2),ROUND(Basisbedragen!$D$78*Basisbedragen!$I$2,2)),ROUND(ROUND(Basisbedragen!$D$29*0.6,4)*Basisbedragen!$I$2,2))</f>
        <v>76.81</v>
      </c>
      <c r="L86" s="52">
        <f t="shared" si="16"/>
        <v>48.91</v>
      </c>
      <c r="M86" s="52">
        <f>ROUND(MIN(MAX(ROUND(ROUND('Loonschijven_Tranches salariale'!$Q85*0.6,4)*Basisbedragen!$I$2,2),ROUND(Basisbedragen!$D$47*Basisbedragen!$I$2,2)),ROUND(ROUND(Basisbedragen!$D$30*0.6,4)*Basisbedragen!$I$2,2))/2,2)</f>
        <v>40.76</v>
      </c>
      <c r="T86" s="160"/>
    </row>
    <row r="87" spans="1:20" ht="15" thickBot="1">
      <c r="A87" s="47">
        <f>A86+1</f>
        <v>79</v>
      </c>
      <c r="B87" s="52">
        <f t="shared" si="20"/>
        <v>98.8</v>
      </c>
      <c r="C87" s="52">
        <f>IF(MIN(MAX(ROUND(ROUND('Loonschijven_Tranches salariale'!$Q86*0.6,4)*Basisbedragen!$I$7,2),ROUND(Basisbedragen!$D$47*Basisbedragen!$I$7,2)),ROUND(ROUND(Basisbedragen!$D$30*0.6,4)*Basisbedragen!$I$7,2))&lt;= Basisbedragen!$I$8,MIN(MAX(ROUND(ROUND('Loonschijven_Tranches salariale'!$Q86*0.6,4)*Basisbedragen!$I$2,2),ROUND(Basisbedragen!$D$47*Basisbedragen!$I$2,2)),ROUND(ROUND(Basisbedragen!$D$30*0.6,4)*Basisbedragen!$I$2,2)),MIN(MAX(ROUND(ROUND('Loonschijven_Tranches salariale'!$Q86*0.6,4)*Basisbedragen!$I$7,2),ROUND(Basisbedragen!$D$47*Basisbedragen!$I$7,2)),ROUND(ROUND(Basisbedragen!$D$30*0.6,4)*Basisbedragen!$I$7,2))+Basisbedragen!$I$10)</f>
        <v>82.330000000000013</v>
      </c>
      <c r="I87" s="52">
        <f>MIN(MAX(ROUND(ROUND('Loonschijven_Tranches salariale'!$Q86*0.6,4)*Basisbedragen!$I$2,2),ROUND(Basisbedragen!$D$77*Basisbedragen!$I$2,2)),ROUND(ROUND(Basisbedragen!$D$29*0.6,4)*Basisbedragen!$I$2,2))</f>
        <v>76.81</v>
      </c>
      <c r="J87" s="52">
        <f>MIN(MAX(ROUND(ROUND('Loonschijven_Tranches salariale'!$Q86*0.6,4)*Basisbedragen!$I$2,2),ROUND(Basisbedragen!$D$78*Basisbedragen!$I$2,2)),ROUND(ROUND(Basisbedragen!$D$29*0.6,4)*Basisbedragen!$I$2,2))</f>
        <v>76.81</v>
      </c>
      <c r="L87" s="52">
        <f t="shared" si="16"/>
        <v>49.45</v>
      </c>
      <c r="M87" s="52">
        <f>ROUND(MIN(MAX(ROUND(ROUND('Loonschijven_Tranches salariale'!$Q86*0.6,4)*Basisbedragen!$I$2,2),ROUND(Basisbedragen!$D$47*Basisbedragen!$I$2,2)),ROUND(ROUND(Basisbedragen!$D$30*0.6,4)*Basisbedragen!$I$2,2))/2,2)</f>
        <v>41.21</v>
      </c>
      <c r="T87" s="160"/>
    </row>
    <row r="88" spans="1:20" ht="15" thickBot="1">
      <c r="A88" s="47">
        <f t="shared" ref="A88:A100" si="21">A87+1</f>
        <v>80</v>
      </c>
      <c r="B88" s="52">
        <f t="shared" si="20"/>
        <v>98.8</v>
      </c>
      <c r="C88" s="52">
        <f>IF(MIN(MAX(ROUND(ROUND('Loonschijven_Tranches salariale'!$Q87*0.6,4)*Basisbedragen!$I$7,2),ROUND(Basisbedragen!$D$47*Basisbedragen!$I$7,2)),ROUND(ROUND(Basisbedragen!$D$30*0.6,4)*Basisbedragen!$I$7,2))&lt;= Basisbedragen!$I$8,MIN(MAX(ROUND(ROUND('Loonschijven_Tranches salariale'!$Q87*0.6,4)*Basisbedragen!$I$2,2),ROUND(Basisbedragen!$D$47*Basisbedragen!$I$2,2)),ROUND(ROUND(Basisbedragen!$D$30*0.6,4)*Basisbedragen!$I$2,2)),MIN(MAX(ROUND(ROUND('Loonschijven_Tranches salariale'!$Q87*0.6,4)*Basisbedragen!$I$7,2),ROUND(Basisbedragen!$D$47*Basisbedragen!$I$7,2)),ROUND(ROUND(Basisbedragen!$D$30*0.6,4)*Basisbedragen!$I$7,2))+Basisbedragen!$I$10)</f>
        <v>82.330000000000013</v>
      </c>
      <c r="I88" s="52">
        <f>MIN(MAX(ROUND(ROUND('Loonschijven_Tranches salariale'!$Q87*0.6,4)*Basisbedragen!$I$2,2),ROUND(Basisbedragen!$D$77*Basisbedragen!$I$2,2)),ROUND(ROUND(Basisbedragen!$D$29*0.6,4)*Basisbedragen!$I$2,2))</f>
        <v>76.81</v>
      </c>
      <c r="J88" s="52">
        <f>MIN(MAX(ROUND(ROUND('Loonschijven_Tranches salariale'!$Q87*0.6,4)*Basisbedragen!$I$2,2),ROUND(Basisbedragen!$D$78*Basisbedragen!$I$2,2)),ROUND(ROUND(Basisbedragen!$D$29*0.6,4)*Basisbedragen!$I$2,2))</f>
        <v>76.81</v>
      </c>
      <c r="L88" s="52">
        <f t="shared" si="16"/>
        <v>49.45</v>
      </c>
      <c r="M88" s="52">
        <f>ROUND(MIN(MAX(ROUND(ROUND('Loonschijven_Tranches salariale'!$Q87*0.6,4)*Basisbedragen!$I$2,2),ROUND(Basisbedragen!$D$47*Basisbedragen!$I$2,2)),ROUND(ROUND(Basisbedragen!$D$30*0.6,4)*Basisbedragen!$I$2,2))/2,2)</f>
        <v>41.21</v>
      </c>
      <c r="T88" s="160"/>
    </row>
    <row r="89" spans="1:20" ht="15" thickBot="1">
      <c r="A89" s="47">
        <f t="shared" si="21"/>
        <v>81</v>
      </c>
      <c r="B89" s="52">
        <f>ROUND(C89*1.2,2)</f>
        <v>98.8</v>
      </c>
      <c r="C89" s="52">
        <f>IF(MIN(MAX(ROUND(ROUND('Loonschijven_Tranches salariale'!$Q88*0.6,4)*Basisbedragen!$I$7,2),ROUND(Basisbedragen!$D$47*Basisbedragen!$I$7,2)),ROUND(ROUND(Basisbedragen!$D$30*0.6,4)*Basisbedragen!$I$7,2))&lt;= Basisbedragen!$I$8,MIN(MAX(ROUND(ROUND('Loonschijven_Tranches salariale'!$Q88*0.6,4)*Basisbedragen!$I$2,2),ROUND(Basisbedragen!$D$47*Basisbedragen!$I$2,2)),ROUND(ROUND(Basisbedragen!$D$30*0.6,4)*Basisbedragen!$I$2,2)),MIN(MAX(ROUND(ROUND('Loonschijven_Tranches salariale'!$Q88*0.6,4)*Basisbedragen!$I$7,2),ROUND(Basisbedragen!$D$47*Basisbedragen!$I$7,2)),ROUND(ROUND(Basisbedragen!$D$30*0.6,4)*Basisbedragen!$I$7,2))+Basisbedragen!$I$10)</f>
        <v>82.330000000000013</v>
      </c>
      <c r="I89" s="52">
        <f>MIN(MAX(ROUND(ROUND('Loonschijven_Tranches salariale'!$Q88*0.6,4)*Basisbedragen!$I$2,2),ROUND(Basisbedragen!$D$77*Basisbedragen!$I$2,2)),ROUND(ROUND(Basisbedragen!$D$29*0.6,4)*Basisbedragen!$I$2,2))</f>
        <v>76.81</v>
      </c>
      <c r="J89" s="52">
        <f>MIN(MAX(ROUND(ROUND('Loonschijven_Tranches salariale'!$Q88*0.6,4)*Basisbedragen!$I$2,2),ROUND(Basisbedragen!$D$78*Basisbedragen!$I$2,2)),ROUND(ROUND(Basisbedragen!$D$29*0.6,4)*Basisbedragen!$I$2,2))</f>
        <v>76.81</v>
      </c>
      <c r="L89" s="52">
        <f t="shared" si="16"/>
        <v>49.45</v>
      </c>
      <c r="M89" s="52">
        <f>ROUND(MIN(MAX(ROUND(ROUND('Loonschijven_Tranches salariale'!$Q88*0.6,4)*Basisbedragen!$I$2,2),ROUND(Basisbedragen!$D$47*Basisbedragen!$I$2,2)),ROUND(ROUND(Basisbedragen!$D$30*0.6,4)*Basisbedragen!$I$2,2))/2,2)</f>
        <v>41.21</v>
      </c>
      <c r="T89" s="160"/>
    </row>
    <row r="90" spans="1:20" ht="15" thickBot="1">
      <c r="A90" s="47">
        <f t="shared" si="21"/>
        <v>82</v>
      </c>
      <c r="B90" s="52">
        <f t="shared" ref="B90:B107" si="22">ROUND(C90*1.2,2)</f>
        <v>98.8</v>
      </c>
      <c r="C90" s="52">
        <f>IF(MIN(MAX(ROUND(ROUND('Loonschijven_Tranches salariale'!$Q89*0.6,4)*Basisbedragen!$I$7,2),ROUND(Basisbedragen!$D$47*Basisbedragen!$I$7,2)),ROUND(ROUND(Basisbedragen!$D$30*0.6,4)*Basisbedragen!$I$7,2))&lt;= Basisbedragen!$I$8,MIN(MAX(ROUND(ROUND('Loonschijven_Tranches salariale'!$Q89*0.6,4)*Basisbedragen!$I$2,2),ROUND(Basisbedragen!$D$47*Basisbedragen!$I$2,2)),ROUND(ROUND(Basisbedragen!$D$30*0.6,4)*Basisbedragen!$I$2,2)),MIN(MAX(ROUND(ROUND('Loonschijven_Tranches salariale'!$Q89*0.6,4)*Basisbedragen!$I$7,2),ROUND(Basisbedragen!$D$47*Basisbedragen!$I$7,2)),ROUND(ROUND(Basisbedragen!$D$30*0.6,4)*Basisbedragen!$I$7,2))+Basisbedragen!$I$10)</f>
        <v>82.330000000000013</v>
      </c>
      <c r="I90" s="52">
        <f>MIN(MAX(ROUND(ROUND('Loonschijven_Tranches salariale'!$Q89*0.6,4)*Basisbedragen!$I$2,2),ROUND(Basisbedragen!$D$77*Basisbedragen!$I$2,2)),ROUND(ROUND(Basisbedragen!$D$29*0.6,4)*Basisbedragen!$I$2,2))</f>
        <v>76.81</v>
      </c>
      <c r="J90" s="52">
        <f>MIN(MAX(ROUND(ROUND('Loonschijven_Tranches salariale'!$Q89*0.6,4)*Basisbedragen!$I$2,2),ROUND(Basisbedragen!$D$78*Basisbedragen!$I$2,2)),ROUND(ROUND(Basisbedragen!$D$29*0.6,4)*Basisbedragen!$I$2,2))</f>
        <v>76.81</v>
      </c>
      <c r="L90" s="52">
        <f t="shared" si="16"/>
        <v>49.45</v>
      </c>
      <c r="M90" s="52">
        <f>ROUND(MIN(MAX(ROUND(ROUND('Loonschijven_Tranches salariale'!$Q89*0.6,4)*Basisbedragen!$I$2,2),ROUND(Basisbedragen!$D$47*Basisbedragen!$I$2,2)),ROUND(ROUND(Basisbedragen!$D$30*0.6,4)*Basisbedragen!$I$2,2))/2,2)</f>
        <v>41.21</v>
      </c>
      <c r="T90" s="160"/>
    </row>
    <row r="91" spans="1:20" ht="15" thickBot="1">
      <c r="A91" s="47">
        <f t="shared" si="21"/>
        <v>83</v>
      </c>
      <c r="B91" s="52">
        <f t="shared" si="22"/>
        <v>98.8</v>
      </c>
      <c r="C91" s="52">
        <f>IF(MIN(MAX(ROUND(ROUND('Loonschijven_Tranches salariale'!$Q90*0.6,4)*Basisbedragen!$I$7,2),ROUND(Basisbedragen!$D$47*Basisbedragen!$I$7,2)),ROUND(ROUND(Basisbedragen!$D$30*0.6,4)*Basisbedragen!$I$7,2))&lt;= Basisbedragen!$I$8,MIN(MAX(ROUND(ROUND('Loonschijven_Tranches salariale'!$Q90*0.6,4)*Basisbedragen!$I$2,2),ROUND(Basisbedragen!$D$47*Basisbedragen!$I$2,2)),ROUND(ROUND(Basisbedragen!$D$30*0.6,4)*Basisbedragen!$I$2,2)),MIN(MAX(ROUND(ROUND('Loonschijven_Tranches salariale'!$Q90*0.6,4)*Basisbedragen!$I$7,2),ROUND(Basisbedragen!$D$47*Basisbedragen!$I$7,2)),ROUND(ROUND(Basisbedragen!$D$30*0.6,4)*Basisbedragen!$I$7,2))+Basisbedragen!$I$10)</f>
        <v>82.330000000000013</v>
      </c>
      <c r="I91" s="52">
        <f>MIN(MAX(ROUND(ROUND('Loonschijven_Tranches salariale'!$Q90*0.6,4)*Basisbedragen!$I$2,2),ROUND(Basisbedragen!$D$77*Basisbedragen!$I$2,2)),ROUND(ROUND(Basisbedragen!$D$29*0.6,4)*Basisbedragen!$I$2,2))</f>
        <v>76.81</v>
      </c>
      <c r="J91" s="52">
        <f>MIN(MAX(ROUND(ROUND('Loonschijven_Tranches salariale'!$Q90*0.6,4)*Basisbedragen!$I$2,2),ROUND(Basisbedragen!$D$78*Basisbedragen!$I$2,2)),ROUND(ROUND(Basisbedragen!$D$29*0.6,4)*Basisbedragen!$I$2,2))</f>
        <v>76.81</v>
      </c>
      <c r="L91" s="52">
        <f t="shared" si="16"/>
        <v>49.45</v>
      </c>
      <c r="M91" s="52">
        <f>ROUND(MIN(MAX(ROUND(ROUND('Loonschijven_Tranches salariale'!$Q90*0.6,4)*Basisbedragen!$I$2,2),ROUND(Basisbedragen!$D$47*Basisbedragen!$I$2,2)),ROUND(ROUND(Basisbedragen!$D$30*0.6,4)*Basisbedragen!$I$2,2))/2,2)</f>
        <v>41.21</v>
      </c>
      <c r="T91" s="160"/>
    </row>
    <row r="92" spans="1:20" ht="15" thickBot="1">
      <c r="A92" s="47">
        <f t="shared" si="21"/>
        <v>84</v>
      </c>
      <c r="B92" s="52">
        <f t="shared" si="22"/>
        <v>98.8</v>
      </c>
      <c r="C92" s="52">
        <f>IF(MIN(MAX(ROUND(ROUND('Loonschijven_Tranches salariale'!$Q91*0.6,4)*Basisbedragen!$I$7,2),ROUND(Basisbedragen!$D$47*Basisbedragen!$I$7,2)),ROUND(ROUND(Basisbedragen!$D$30*0.6,4)*Basisbedragen!$I$7,2))&lt;= Basisbedragen!$I$8,MIN(MAX(ROUND(ROUND('Loonschijven_Tranches salariale'!$Q91*0.6,4)*Basisbedragen!$I$2,2),ROUND(Basisbedragen!$D$47*Basisbedragen!$I$2,2)),ROUND(ROUND(Basisbedragen!$D$30*0.6,4)*Basisbedragen!$I$2,2)),MIN(MAX(ROUND(ROUND('Loonschijven_Tranches salariale'!$Q91*0.6,4)*Basisbedragen!$I$7,2),ROUND(Basisbedragen!$D$47*Basisbedragen!$I$7,2)),ROUND(ROUND(Basisbedragen!$D$30*0.6,4)*Basisbedragen!$I$7,2))+Basisbedragen!$I$10)</f>
        <v>82.330000000000013</v>
      </c>
      <c r="I92" s="52">
        <f>MIN(MAX(ROUND(ROUND('Loonschijven_Tranches salariale'!$Q91*0.6,4)*Basisbedragen!$I$2,2),ROUND(Basisbedragen!$D$77*Basisbedragen!$I$2,2)),ROUND(ROUND(Basisbedragen!$D$29*0.6,4)*Basisbedragen!$I$2,2))</f>
        <v>76.81</v>
      </c>
      <c r="J92" s="52">
        <f>MIN(MAX(ROUND(ROUND('Loonschijven_Tranches salariale'!$Q91*0.6,4)*Basisbedragen!$I$2,2),ROUND(Basisbedragen!$D$78*Basisbedragen!$I$2,2)),ROUND(ROUND(Basisbedragen!$D$29*0.6,4)*Basisbedragen!$I$2,2))</f>
        <v>76.81</v>
      </c>
      <c r="L92" s="52">
        <f t="shared" si="16"/>
        <v>49.45</v>
      </c>
      <c r="M92" s="52">
        <f>ROUND(MIN(MAX(ROUND(ROUND('Loonschijven_Tranches salariale'!$Q91*0.6,4)*Basisbedragen!$I$2,2),ROUND(Basisbedragen!$D$47*Basisbedragen!$I$2,2)),ROUND(ROUND(Basisbedragen!$D$30*0.6,4)*Basisbedragen!$I$2,2))/2,2)</f>
        <v>41.21</v>
      </c>
      <c r="T92" s="160"/>
    </row>
    <row r="93" spans="1:20" ht="15" thickBot="1">
      <c r="A93" s="47">
        <f t="shared" si="21"/>
        <v>85</v>
      </c>
      <c r="B93" s="52">
        <f t="shared" si="22"/>
        <v>98.8</v>
      </c>
      <c r="C93" s="52">
        <f>IF(MIN(MAX(ROUND(ROUND('Loonschijven_Tranches salariale'!$Q92*0.6,4)*Basisbedragen!$I$7,2),ROUND(Basisbedragen!$D$47*Basisbedragen!$I$7,2)),ROUND(ROUND(Basisbedragen!$D$30*0.6,4)*Basisbedragen!$I$7,2))&lt;= Basisbedragen!$I$8,MIN(MAX(ROUND(ROUND('Loonschijven_Tranches salariale'!$Q92*0.6,4)*Basisbedragen!$I$2,2),ROUND(Basisbedragen!$D$47*Basisbedragen!$I$2,2)),ROUND(ROUND(Basisbedragen!$D$30*0.6,4)*Basisbedragen!$I$2,2)),MIN(MAX(ROUND(ROUND('Loonschijven_Tranches salariale'!$Q92*0.6,4)*Basisbedragen!$I$7,2),ROUND(Basisbedragen!$D$47*Basisbedragen!$I$7,2)),ROUND(ROUND(Basisbedragen!$D$30*0.6,4)*Basisbedragen!$I$7,2))+Basisbedragen!$I$10)</f>
        <v>82.330000000000013</v>
      </c>
      <c r="I93" s="52">
        <f>MIN(MAX(ROUND(ROUND('Loonschijven_Tranches salariale'!$Q92*0.6,4)*Basisbedragen!$I$2,2),ROUND(Basisbedragen!$D$77*Basisbedragen!$I$2,2)),ROUND(ROUND(Basisbedragen!$D$29*0.6,4)*Basisbedragen!$I$2,2))</f>
        <v>76.81</v>
      </c>
      <c r="J93" s="52">
        <f>MIN(MAX(ROUND(ROUND('Loonschijven_Tranches salariale'!$Q92*0.6,4)*Basisbedragen!$I$2,2),ROUND(Basisbedragen!$D$78*Basisbedragen!$I$2,2)),ROUND(ROUND(Basisbedragen!$D$29*0.6,4)*Basisbedragen!$I$2,2))</f>
        <v>76.81</v>
      </c>
      <c r="L93" s="52">
        <f t="shared" si="16"/>
        <v>49.45</v>
      </c>
      <c r="M93" s="52">
        <f>ROUND(MIN(MAX(ROUND(ROUND('Loonschijven_Tranches salariale'!$Q92*0.6,4)*Basisbedragen!$I$2,2),ROUND(Basisbedragen!$D$47*Basisbedragen!$I$2,2)),ROUND(ROUND(Basisbedragen!$D$30*0.6,4)*Basisbedragen!$I$2,2))/2,2)</f>
        <v>41.21</v>
      </c>
      <c r="T93" s="160"/>
    </row>
    <row r="94" spans="1:20" ht="15" thickBot="1">
      <c r="A94" s="47">
        <f t="shared" si="21"/>
        <v>86</v>
      </c>
      <c r="B94" s="52">
        <f t="shared" si="22"/>
        <v>98.8</v>
      </c>
      <c r="C94" s="52">
        <f>IF(MIN(MAX(ROUND(ROUND('Loonschijven_Tranches salariale'!$Q93*0.6,4)*Basisbedragen!$I$7,2),ROUND(Basisbedragen!$D$47*Basisbedragen!$I$7,2)),ROUND(ROUND(Basisbedragen!$D$30*0.6,4)*Basisbedragen!$I$7,2))&lt;= Basisbedragen!$I$8,MIN(MAX(ROUND(ROUND('Loonschijven_Tranches salariale'!$Q93*0.6,4)*Basisbedragen!$I$2,2),ROUND(Basisbedragen!$D$47*Basisbedragen!$I$2,2)),ROUND(ROUND(Basisbedragen!$D$30*0.6,4)*Basisbedragen!$I$2,2)),MIN(MAX(ROUND(ROUND('Loonschijven_Tranches salariale'!$Q93*0.6,4)*Basisbedragen!$I$7,2),ROUND(Basisbedragen!$D$47*Basisbedragen!$I$7,2)),ROUND(ROUND(Basisbedragen!$D$30*0.6,4)*Basisbedragen!$I$7,2))+Basisbedragen!$I$10)</f>
        <v>82.330000000000013</v>
      </c>
      <c r="I94" s="52">
        <f>MIN(MAX(ROUND(ROUND('Loonschijven_Tranches salariale'!$Q93*0.6,4)*Basisbedragen!$I$2,2),ROUND(Basisbedragen!$D$77*Basisbedragen!$I$2,2)),ROUND(ROUND(Basisbedragen!$D$29*0.6,4)*Basisbedragen!$I$2,2))</f>
        <v>76.81</v>
      </c>
      <c r="J94" s="52">
        <f>MIN(MAX(ROUND(ROUND('Loonschijven_Tranches salariale'!$Q93*0.6,4)*Basisbedragen!$I$2,2),ROUND(Basisbedragen!$D$78*Basisbedragen!$I$2,2)),ROUND(ROUND(Basisbedragen!$D$29*0.6,4)*Basisbedragen!$I$2,2))</f>
        <v>76.81</v>
      </c>
      <c r="L94" s="52">
        <f t="shared" si="16"/>
        <v>49.45</v>
      </c>
      <c r="M94" s="52">
        <f>ROUND(MIN(MAX(ROUND(ROUND('Loonschijven_Tranches salariale'!$Q93*0.6,4)*Basisbedragen!$I$2,2),ROUND(Basisbedragen!$D$47*Basisbedragen!$I$2,2)),ROUND(ROUND(Basisbedragen!$D$30*0.6,4)*Basisbedragen!$I$2,2))/2,2)</f>
        <v>41.21</v>
      </c>
      <c r="T94" s="160"/>
    </row>
    <row r="95" spans="1:20" ht="15" thickBot="1">
      <c r="A95" s="47">
        <f t="shared" si="21"/>
        <v>87</v>
      </c>
      <c r="B95" s="52">
        <f t="shared" si="22"/>
        <v>98.8</v>
      </c>
      <c r="C95" s="52">
        <f>IF(MIN(MAX(ROUND(ROUND('Loonschijven_Tranches salariale'!$Q94*0.6,4)*Basisbedragen!$I$7,2),ROUND(Basisbedragen!$D$47*Basisbedragen!$I$7,2)),ROUND(ROUND(Basisbedragen!$D$30*0.6,4)*Basisbedragen!$I$7,2))&lt;= Basisbedragen!$I$8,MIN(MAX(ROUND(ROUND('Loonschijven_Tranches salariale'!$Q94*0.6,4)*Basisbedragen!$I$2,2),ROUND(Basisbedragen!$D$47*Basisbedragen!$I$2,2)),ROUND(ROUND(Basisbedragen!$D$30*0.6,4)*Basisbedragen!$I$2,2)),MIN(MAX(ROUND(ROUND('Loonschijven_Tranches salariale'!$Q94*0.6,4)*Basisbedragen!$I$7,2),ROUND(Basisbedragen!$D$47*Basisbedragen!$I$7,2)),ROUND(ROUND(Basisbedragen!$D$30*0.6,4)*Basisbedragen!$I$7,2))+Basisbedragen!$I$10)</f>
        <v>82.330000000000013</v>
      </c>
      <c r="I95" s="52">
        <f>MIN(MAX(ROUND(ROUND('Loonschijven_Tranches salariale'!$Q94*0.6,4)*Basisbedragen!$I$2,2),ROUND(Basisbedragen!$D$77*Basisbedragen!$I$2,2)),ROUND(ROUND(Basisbedragen!$D$29*0.6,4)*Basisbedragen!$I$2,2))</f>
        <v>76.81</v>
      </c>
      <c r="J95" s="52">
        <f>MIN(MAX(ROUND(ROUND('Loonschijven_Tranches salariale'!$Q94*0.6,4)*Basisbedragen!$I$2,2),ROUND(Basisbedragen!$D$78*Basisbedragen!$I$2,2)),ROUND(ROUND(Basisbedragen!$D$29*0.6,4)*Basisbedragen!$I$2,2))</f>
        <v>76.81</v>
      </c>
      <c r="L95" s="52">
        <f t="shared" si="16"/>
        <v>49.45</v>
      </c>
      <c r="M95" s="52">
        <f>ROUND(MIN(MAX(ROUND(ROUND('Loonschijven_Tranches salariale'!$Q94*0.6,4)*Basisbedragen!$I$2,2),ROUND(Basisbedragen!$D$47*Basisbedragen!$I$2,2)),ROUND(ROUND(Basisbedragen!$D$30*0.6,4)*Basisbedragen!$I$2,2))/2,2)</f>
        <v>41.21</v>
      </c>
      <c r="T95" s="160"/>
    </row>
    <row r="96" spans="1:20" ht="15" thickBot="1">
      <c r="A96" s="47">
        <f t="shared" si="21"/>
        <v>88</v>
      </c>
      <c r="B96" s="52">
        <f t="shared" si="22"/>
        <v>98.8</v>
      </c>
      <c r="C96" s="52">
        <f>IF(MIN(MAX(ROUND(ROUND('Loonschijven_Tranches salariale'!$Q95*0.6,4)*Basisbedragen!$I$7,2),ROUND(Basisbedragen!$D$47*Basisbedragen!$I$7,2)),ROUND(ROUND(Basisbedragen!$D$30*0.6,4)*Basisbedragen!$I$7,2))&lt;= Basisbedragen!$I$8,MIN(MAX(ROUND(ROUND('Loonschijven_Tranches salariale'!$Q95*0.6,4)*Basisbedragen!$I$2,2),ROUND(Basisbedragen!$D$47*Basisbedragen!$I$2,2)),ROUND(ROUND(Basisbedragen!$D$30*0.6,4)*Basisbedragen!$I$2,2)),MIN(MAX(ROUND(ROUND('Loonschijven_Tranches salariale'!$Q95*0.6,4)*Basisbedragen!$I$7,2),ROUND(Basisbedragen!$D$47*Basisbedragen!$I$7,2)),ROUND(ROUND(Basisbedragen!$D$30*0.6,4)*Basisbedragen!$I$7,2))+Basisbedragen!$I$10)</f>
        <v>82.330000000000013</v>
      </c>
      <c r="I96" s="52">
        <f>MIN(MAX(ROUND(ROUND('Loonschijven_Tranches salariale'!$Q95*0.6,4)*Basisbedragen!$I$2,2),ROUND(Basisbedragen!$D$77*Basisbedragen!$I$2,2)),ROUND(ROUND(Basisbedragen!$D$29*0.6,4)*Basisbedragen!$I$2,2))</f>
        <v>76.81</v>
      </c>
      <c r="J96" s="52">
        <f>MIN(MAX(ROUND(ROUND('Loonschijven_Tranches salariale'!$Q95*0.6,4)*Basisbedragen!$I$2,2),ROUND(Basisbedragen!$D$78*Basisbedragen!$I$2,2)),ROUND(ROUND(Basisbedragen!$D$29*0.6,4)*Basisbedragen!$I$2,2))</f>
        <v>76.81</v>
      </c>
      <c r="L96" s="52">
        <f t="shared" si="16"/>
        <v>49.45</v>
      </c>
      <c r="M96" s="52">
        <f>ROUND(MIN(MAX(ROUND(ROUND('Loonschijven_Tranches salariale'!$Q95*0.6,4)*Basisbedragen!$I$2,2),ROUND(Basisbedragen!$D$47*Basisbedragen!$I$2,2)),ROUND(ROUND(Basisbedragen!$D$30*0.6,4)*Basisbedragen!$I$2,2))/2,2)</f>
        <v>41.21</v>
      </c>
      <c r="T96" s="160"/>
    </row>
    <row r="97" spans="1:20" ht="15" thickBot="1">
      <c r="A97" s="47">
        <f t="shared" si="21"/>
        <v>89</v>
      </c>
      <c r="B97" s="52">
        <f t="shared" si="22"/>
        <v>98.8</v>
      </c>
      <c r="C97" s="52">
        <f>IF(MIN(MAX(ROUND(ROUND('Loonschijven_Tranches salariale'!$Q96*0.6,4)*Basisbedragen!$I$7,2),ROUND(Basisbedragen!$D$47*Basisbedragen!$I$7,2)),ROUND(ROUND(Basisbedragen!$D$30*0.6,4)*Basisbedragen!$I$7,2))&lt;= Basisbedragen!$I$8,MIN(MAX(ROUND(ROUND('Loonschijven_Tranches salariale'!$Q96*0.6,4)*Basisbedragen!$I$2,2),ROUND(Basisbedragen!$D$47*Basisbedragen!$I$2,2)),ROUND(ROUND(Basisbedragen!$D$30*0.6,4)*Basisbedragen!$I$2,2)),MIN(MAX(ROUND(ROUND('Loonschijven_Tranches salariale'!$Q96*0.6,4)*Basisbedragen!$I$7,2),ROUND(Basisbedragen!$D$47*Basisbedragen!$I$7,2)),ROUND(ROUND(Basisbedragen!$D$30*0.6,4)*Basisbedragen!$I$7,2))+Basisbedragen!$I$10)</f>
        <v>82.330000000000013</v>
      </c>
      <c r="I97" s="52">
        <f>MIN(MAX(ROUND(ROUND('Loonschijven_Tranches salariale'!$Q96*0.6,4)*Basisbedragen!$I$2,2),ROUND(Basisbedragen!$D$77*Basisbedragen!$I$2,2)),ROUND(ROUND(Basisbedragen!$D$29*0.6,4)*Basisbedragen!$I$2,2))</f>
        <v>76.81</v>
      </c>
      <c r="J97" s="52">
        <f>MIN(MAX(ROUND(ROUND('Loonschijven_Tranches salariale'!$Q96*0.6,4)*Basisbedragen!$I$2,2),ROUND(Basisbedragen!$D$78*Basisbedragen!$I$2,2)),ROUND(ROUND(Basisbedragen!$D$29*0.6,4)*Basisbedragen!$I$2,2))</f>
        <v>76.81</v>
      </c>
      <c r="L97" s="52">
        <f t="shared" si="16"/>
        <v>49.45</v>
      </c>
      <c r="M97" s="52">
        <f>ROUND(MIN(MAX(ROUND(ROUND('Loonschijven_Tranches salariale'!$Q96*0.6,4)*Basisbedragen!$I$2,2),ROUND(Basisbedragen!$D$47*Basisbedragen!$I$2,2)),ROUND(ROUND(Basisbedragen!$D$30*0.6,4)*Basisbedragen!$I$2,2))/2,2)</f>
        <v>41.21</v>
      </c>
      <c r="T97" s="160"/>
    </row>
    <row r="98" spans="1:20" ht="15" thickBot="1">
      <c r="A98" s="47">
        <f t="shared" si="21"/>
        <v>90</v>
      </c>
      <c r="B98" s="52">
        <f t="shared" si="22"/>
        <v>98.8</v>
      </c>
      <c r="C98" s="52">
        <f>IF(MIN(MAX(ROUND(ROUND('Loonschijven_Tranches salariale'!$Q97*0.6,4)*Basisbedragen!$I$7,2),ROUND(Basisbedragen!$D$47*Basisbedragen!$I$7,2)),ROUND(ROUND(Basisbedragen!$D$30*0.6,4)*Basisbedragen!$I$7,2))&lt;= Basisbedragen!$I$8,MIN(MAX(ROUND(ROUND('Loonschijven_Tranches salariale'!$Q97*0.6,4)*Basisbedragen!$I$2,2),ROUND(Basisbedragen!$D$47*Basisbedragen!$I$2,2)),ROUND(ROUND(Basisbedragen!$D$30*0.6,4)*Basisbedragen!$I$2,2)),MIN(MAX(ROUND(ROUND('Loonschijven_Tranches salariale'!$Q97*0.6,4)*Basisbedragen!$I$7,2),ROUND(Basisbedragen!$D$47*Basisbedragen!$I$7,2)),ROUND(ROUND(Basisbedragen!$D$30*0.6,4)*Basisbedragen!$I$7,2))+Basisbedragen!$I$10)</f>
        <v>82.330000000000013</v>
      </c>
      <c r="I98" s="52">
        <f>MIN(MAX(ROUND(ROUND('Loonschijven_Tranches salariale'!$Q97*0.6,4)*Basisbedragen!$I$2,2),ROUND(Basisbedragen!$D$77*Basisbedragen!$I$2,2)),ROUND(ROUND(Basisbedragen!$D$29*0.6,4)*Basisbedragen!$I$2,2))</f>
        <v>76.81</v>
      </c>
      <c r="J98" s="52">
        <f>MIN(MAX(ROUND(ROUND('Loonschijven_Tranches salariale'!$Q97*0.6,4)*Basisbedragen!$I$2,2),ROUND(Basisbedragen!$D$78*Basisbedragen!$I$2,2)),ROUND(ROUND(Basisbedragen!$D$29*0.6,4)*Basisbedragen!$I$2,2))</f>
        <v>76.81</v>
      </c>
      <c r="L98" s="52">
        <f t="shared" si="16"/>
        <v>49.45</v>
      </c>
      <c r="M98" s="52">
        <f>ROUND(MIN(MAX(ROUND(ROUND('Loonschijven_Tranches salariale'!$Q97*0.6,4)*Basisbedragen!$I$2,2),ROUND(Basisbedragen!$D$47*Basisbedragen!$I$2,2)),ROUND(ROUND(Basisbedragen!$D$30*0.6,4)*Basisbedragen!$I$2,2))/2,2)</f>
        <v>41.21</v>
      </c>
      <c r="T98" s="160"/>
    </row>
    <row r="99" spans="1:20" ht="15" thickBot="1">
      <c r="A99" s="47">
        <f t="shared" si="21"/>
        <v>91</v>
      </c>
      <c r="B99" s="52">
        <f t="shared" si="22"/>
        <v>98.8</v>
      </c>
      <c r="C99" s="52">
        <f>IF(MIN(MAX(ROUND(ROUND('Loonschijven_Tranches salariale'!$Q98*0.6,4)*Basisbedragen!$I$7,2),ROUND(Basisbedragen!$D$47*Basisbedragen!$I$7,2)),ROUND(ROUND(Basisbedragen!$D$30*0.6,4)*Basisbedragen!$I$7,2))&lt;= Basisbedragen!$I$8,MIN(MAX(ROUND(ROUND('Loonschijven_Tranches salariale'!$Q98*0.6,4)*Basisbedragen!$I$2,2),ROUND(Basisbedragen!$D$47*Basisbedragen!$I$2,2)),ROUND(ROUND(Basisbedragen!$D$30*0.6,4)*Basisbedragen!$I$2,2)),MIN(MAX(ROUND(ROUND('Loonschijven_Tranches salariale'!$Q98*0.6,4)*Basisbedragen!$I$7,2),ROUND(Basisbedragen!$D$47*Basisbedragen!$I$7,2)),ROUND(ROUND(Basisbedragen!$D$30*0.6,4)*Basisbedragen!$I$7,2))+Basisbedragen!$I$10)</f>
        <v>82.330000000000013</v>
      </c>
      <c r="I99" s="52">
        <f>MIN(MAX(ROUND(ROUND('Loonschijven_Tranches salariale'!$Q98*0.6,4)*Basisbedragen!$I$2,2),ROUND(Basisbedragen!$D$77*Basisbedragen!$I$2,2)),ROUND(ROUND(Basisbedragen!$D$29*0.6,4)*Basisbedragen!$I$2,2))</f>
        <v>76.81</v>
      </c>
      <c r="J99" s="52">
        <f>MIN(MAX(ROUND(ROUND('Loonschijven_Tranches salariale'!$Q98*0.6,4)*Basisbedragen!$I$2,2),ROUND(Basisbedragen!$D$78*Basisbedragen!$I$2,2)),ROUND(ROUND(Basisbedragen!$D$29*0.6,4)*Basisbedragen!$I$2,2))</f>
        <v>76.81</v>
      </c>
      <c r="L99" s="52">
        <f t="shared" si="16"/>
        <v>49.45</v>
      </c>
      <c r="M99" s="52">
        <f>ROUND(MIN(MAX(ROUND(ROUND('Loonschijven_Tranches salariale'!$Q98*0.6,4)*Basisbedragen!$I$2,2),ROUND(Basisbedragen!$D$47*Basisbedragen!$I$2,2)),ROUND(ROUND(Basisbedragen!$D$30*0.6,4)*Basisbedragen!$I$2,2))/2,2)</f>
        <v>41.21</v>
      </c>
      <c r="T99" s="160"/>
    </row>
    <row r="100" spans="1:20" ht="15" thickBot="1">
      <c r="A100" s="47">
        <f t="shared" si="21"/>
        <v>92</v>
      </c>
      <c r="B100" s="52">
        <f t="shared" si="22"/>
        <v>98.8</v>
      </c>
      <c r="C100" s="52">
        <f>IF(MIN(MAX(ROUND(ROUND('Loonschijven_Tranches salariale'!$Q99*0.6,4)*Basisbedragen!$I$7,2),ROUND(Basisbedragen!$D$47*Basisbedragen!$I$7,2)),ROUND(ROUND(Basisbedragen!$D$30*0.6,4)*Basisbedragen!$I$7,2))&lt;= Basisbedragen!$I$8,MIN(MAX(ROUND(ROUND('Loonschijven_Tranches salariale'!$Q99*0.6,4)*Basisbedragen!$I$2,2),ROUND(Basisbedragen!$D$47*Basisbedragen!$I$2,2)),ROUND(ROUND(Basisbedragen!$D$30*0.6,4)*Basisbedragen!$I$2,2)),MIN(MAX(ROUND(ROUND('Loonschijven_Tranches salariale'!$Q99*0.6,4)*Basisbedragen!$I$7,2),ROUND(Basisbedragen!$D$47*Basisbedragen!$I$7,2)),ROUND(ROUND(Basisbedragen!$D$30*0.6,4)*Basisbedragen!$I$7,2))+Basisbedragen!$I$10)</f>
        <v>82.330000000000013</v>
      </c>
      <c r="I100" s="52">
        <f>MIN(MAX(ROUND(ROUND('Loonschijven_Tranches salariale'!$Q99*0.6,4)*Basisbedragen!$I$2,2),ROUND(Basisbedragen!$D$77*Basisbedragen!$I$2,2)),ROUND(ROUND(Basisbedragen!$D$29*0.6,4)*Basisbedragen!$I$2,2))</f>
        <v>76.81</v>
      </c>
      <c r="J100" s="52">
        <f>MIN(MAX(ROUND(ROUND('Loonschijven_Tranches salariale'!$Q99*0.6,4)*Basisbedragen!$I$2,2),ROUND(Basisbedragen!$D$78*Basisbedragen!$I$2,2)),ROUND(ROUND(Basisbedragen!$D$29*0.6,4)*Basisbedragen!$I$2,2))</f>
        <v>76.81</v>
      </c>
      <c r="L100" s="52">
        <f t="shared" si="16"/>
        <v>49.45</v>
      </c>
      <c r="M100" s="52">
        <f>ROUND(MIN(MAX(ROUND(ROUND('Loonschijven_Tranches salariale'!$Q99*0.6,4)*Basisbedragen!$I$2,2),ROUND(Basisbedragen!$D$47*Basisbedragen!$I$2,2)),ROUND(ROUND(Basisbedragen!$D$30*0.6,4)*Basisbedragen!$I$2,2))/2,2)</f>
        <v>41.21</v>
      </c>
      <c r="T100" s="160"/>
    </row>
    <row r="101" spans="1:20" ht="15" thickBot="1">
      <c r="A101" s="47">
        <f>A100+1</f>
        <v>93</v>
      </c>
      <c r="B101" s="52">
        <f t="shared" si="22"/>
        <v>98.8</v>
      </c>
      <c r="C101" s="52">
        <f>IF(MIN(MAX(ROUND(ROUND('Loonschijven_Tranches salariale'!$Q100*0.6,4)*Basisbedragen!$I$7,2),ROUND(Basisbedragen!$D$47*Basisbedragen!$I$7,2)),ROUND(ROUND(Basisbedragen!$D$30*0.6,4)*Basisbedragen!$I$7,2))&lt;= Basisbedragen!$I$8,MIN(MAX(ROUND(ROUND('Loonschijven_Tranches salariale'!$Q100*0.6,4)*Basisbedragen!$I$2,2),ROUND(Basisbedragen!$D$47*Basisbedragen!$I$2,2)),ROUND(ROUND(Basisbedragen!$D$30*0.6,4)*Basisbedragen!$I$2,2)),MIN(MAX(ROUND(ROUND('Loonschijven_Tranches salariale'!$Q100*0.6,4)*Basisbedragen!$I$7,2),ROUND(Basisbedragen!$D$47*Basisbedragen!$I$7,2)),ROUND(ROUND(Basisbedragen!$D$30*0.6,4)*Basisbedragen!$I$7,2))+Basisbedragen!$I$10)</f>
        <v>82.330000000000013</v>
      </c>
      <c r="I101" s="52">
        <f>MIN(MAX(ROUND(ROUND('Loonschijven_Tranches salariale'!$Q100*0.6,4)*Basisbedragen!$I$2,2),ROUND(Basisbedragen!$D$77*Basisbedragen!$I$2,2)),ROUND(ROUND(Basisbedragen!$D$29*0.6,4)*Basisbedragen!$I$2,2))</f>
        <v>76.81</v>
      </c>
      <c r="J101" s="52">
        <f>MIN(MAX(ROUND(ROUND('Loonschijven_Tranches salariale'!$Q100*0.6,4)*Basisbedragen!$I$2,2),ROUND(Basisbedragen!$D$78*Basisbedragen!$I$2,2)),ROUND(ROUND(Basisbedragen!$D$29*0.6,4)*Basisbedragen!$I$2,2))</f>
        <v>76.81</v>
      </c>
      <c r="L101" s="52">
        <f t="shared" si="16"/>
        <v>49.45</v>
      </c>
      <c r="M101" s="52">
        <f>ROUND(MIN(MAX(ROUND(ROUND('Loonschijven_Tranches salariale'!$Q100*0.6,4)*Basisbedragen!$I$2,2),ROUND(Basisbedragen!$D$47*Basisbedragen!$I$2,2)),ROUND(ROUND(Basisbedragen!$D$30*0.6,4)*Basisbedragen!$I$2,2))/2,2)</f>
        <v>41.21</v>
      </c>
      <c r="T101" s="160"/>
    </row>
    <row r="102" spans="1:20" ht="15" thickBot="1">
      <c r="A102" s="47">
        <f>A101+1</f>
        <v>94</v>
      </c>
      <c r="B102" s="52">
        <f t="shared" si="22"/>
        <v>98.8</v>
      </c>
      <c r="C102" s="52">
        <f>IF(MIN(MAX(ROUND(ROUND('Loonschijven_Tranches salariale'!$Q101*0.6,4)*Basisbedragen!$I$7,2),ROUND(Basisbedragen!$D$47*Basisbedragen!$I$7,2)),ROUND(ROUND(Basisbedragen!$D$30*0.6,4)*Basisbedragen!$I$7,2))&lt;= Basisbedragen!$I$8,MIN(MAX(ROUND(ROUND('Loonschijven_Tranches salariale'!$Q101*0.6,4)*Basisbedragen!$I$2,2),ROUND(Basisbedragen!$D$47*Basisbedragen!$I$2,2)),ROUND(ROUND(Basisbedragen!$D$30*0.6,4)*Basisbedragen!$I$2,2)),MIN(MAX(ROUND(ROUND('Loonschijven_Tranches salariale'!$Q101*0.6,4)*Basisbedragen!$I$7,2),ROUND(Basisbedragen!$D$47*Basisbedragen!$I$7,2)),ROUND(ROUND(Basisbedragen!$D$30*0.6,4)*Basisbedragen!$I$7,2))+Basisbedragen!$I$10)</f>
        <v>82.330000000000013</v>
      </c>
      <c r="I102" s="52">
        <f>MIN(MAX(ROUND(ROUND('Loonschijven_Tranches salariale'!$Q101*0.6,4)*Basisbedragen!$I$2,2),ROUND(Basisbedragen!$D$77*Basisbedragen!$I$2,2)),ROUND(ROUND(Basisbedragen!$D$29*0.6,4)*Basisbedragen!$I$2,2))</f>
        <v>76.81</v>
      </c>
      <c r="J102" s="52">
        <f>MIN(MAX(ROUND(ROUND('Loonschijven_Tranches salariale'!$Q101*0.6,4)*Basisbedragen!$I$2,2),ROUND(Basisbedragen!$D$78*Basisbedragen!$I$2,2)),ROUND(ROUND(Basisbedragen!$D$29*0.6,4)*Basisbedragen!$I$2,2))</f>
        <v>76.81</v>
      </c>
      <c r="L102" s="52">
        <f t="shared" si="16"/>
        <v>49.45</v>
      </c>
      <c r="M102" s="52">
        <f>ROUND(MIN(MAX(ROUND(ROUND('Loonschijven_Tranches salariale'!$Q101*0.6,4)*Basisbedragen!$I$2,2),ROUND(Basisbedragen!$D$47*Basisbedragen!$I$2,2)),ROUND(ROUND(Basisbedragen!$D$30*0.6,4)*Basisbedragen!$I$2,2))/2,2)</f>
        <v>41.21</v>
      </c>
      <c r="T102" s="160"/>
    </row>
    <row r="103" spans="1:20" ht="15" thickBot="1">
      <c r="A103" s="47">
        <f t="shared" ref="A103:A104" si="23">A102+1</f>
        <v>95</v>
      </c>
      <c r="B103" s="52">
        <f t="shared" si="22"/>
        <v>98.8</v>
      </c>
      <c r="C103" s="52">
        <f>IF(MIN(MAX(ROUND(ROUND('Loonschijven_Tranches salariale'!$Q102*0.6,4)*Basisbedragen!$I$7,2),ROUND(Basisbedragen!$D$47*Basisbedragen!$I$7,2)),ROUND(ROUND(Basisbedragen!$D$30*0.6,4)*Basisbedragen!$I$7,2))&lt;= Basisbedragen!$I$8,MIN(MAX(ROUND(ROUND('Loonschijven_Tranches salariale'!$Q102*0.6,4)*Basisbedragen!$I$2,2),ROUND(Basisbedragen!$D$47*Basisbedragen!$I$2,2)),ROUND(ROUND(Basisbedragen!$D$30*0.6,4)*Basisbedragen!$I$2,2)),MIN(MAX(ROUND(ROUND('Loonschijven_Tranches salariale'!$Q102*0.6,4)*Basisbedragen!$I$7,2),ROUND(Basisbedragen!$D$47*Basisbedragen!$I$7,2)),ROUND(ROUND(Basisbedragen!$D$30*0.6,4)*Basisbedragen!$I$7,2))+Basisbedragen!$I$10)</f>
        <v>82.330000000000013</v>
      </c>
      <c r="I103" s="52">
        <f>MIN(MAX(ROUND(ROUND('Loonschijven_Tranches salariale'!$Q102*0.6,4)*Basisbedragen!$I$2,2),ROUND(Basisbedragen!$D$77*Basisbedragen!$I$2,2)),ROUND(ROUND(Basisbedragen!$D$29*0.6,4)*Basisbedragen!$I$2,2))</f>
        <v>76.81</v>
      </c>
      <c r="J103" s="52">
        <f>MIN(MAX(ROUND(ROUND('Loonschijven_Tranches salariale'!$Q102*0.6,4)*Basisbedragen!$I$2,2),ROUND(Basisbedragen!$D$78*Basisbedragen!$I$2,2)),ROUND(ROUND(Basisbedragen!$D$29*0.6,4)*Basisbedragen!$I$2,2))</f>
        <v>76.81</v>
      </c>
      <c r="L103" s="52">
        <f t="shared" si="16"/>
        <v>49.45</v>
      </c>
      <c r="M103" s="52">
        <f>ROUND(MIN(MAX(ROUND(ROUND('Loonschijven_Tranches salariale'!$Q102*0.6,4)*Basisbedragen!$I$2,2),ROUND(Basisbedragen!$D$47*Basisbedragen!$I$2,2)),ROUND(ROUND(Basisbedragen!$D$30*0.6,4)*Basisbedragen!$I$2,2))/2,2)</f>
        <v>41.21</v>
      </c>
      <c r="T103" s="160"/>
    </row>
    <row r="104" spans="1:20" ht="15" thickBot="1">
      <c r="A104" s="47">
        <f t="shared" si="23"/>
        <v>96</v>
      </c>
      <c r="B104" s="52">
        <f t="shared" si="22"/>
        <v>98.8</v>
      </c>
      <c r="C104" s="52">
        <f>IF(MIN(MAX(ROUND(ROUND('Loonschijven_Tranches salariale'!$Q103*0.6,4)*Basisbedragen!$I$7,2),ROUND(Basisbedragen!$D$47*Basisbedragen!$I$7,2)),ROUND(ROUND(Basisbedragen!$D$30*0.6,4)*Basisbedragen!$I$7,2))&lt;= Basisbedragen!$I$8,MIN(MAX(ROUND(ROUND('Loonschijven_Tranches salariale'!$Q103*0.6,4)*Basisbedragen!$I$2,2),ROUND(Basisbedragen!$D$47*Basisbedragen!$I$2,2)),ROUND(ROUND(Basisbedragen!$D$30*0.6,4)*Basisbedragen!$I$2,2)),MIN(MAX(ROUND(ROUND('Loonschijven_Tranches salariale'!$Q103*0.6,4)*Basisbedragen!$I$7,2),ROUND(Basisbedragen!$D$47*Basisbedragen!$I$7,2)),ROUND(ROUND(Basisbedragen!$D$30*0.6,4)*Basisbedragen!$I$7,2))+Basisbedragen!$I$10)</f>
        <v>82.330000000000013</v>
      </c>
      <c r="I104" s="52">
        <f>MIN(MAX(ROUND(ROUND('Loonschijven_Tranches salariale'!$Q103*0.6,4)*Basisbedragen!$I$2,2),ROUND(Basisbedragen!$D$77*Basisbedragen!$I$2,2)),ROUND(ROUND(Basisbedragen!$D$29*0.6,4)*Basisbedragen!$I$2,2))</f>
        <v>76.81</v>
      </c>
      <c r="J104" s="52">
        <f>MIN(MAX(ROUND(ROUND('Loonschijven_Tranches salariale'!$Q103*0.6,4)*Basisbedragen!$I$2,2),ROUND(Basisbedragen!$D$78*Basisbedragen!$I$2,2)),ROUND(ROUND(Basisbedragen!$D$29*0.6,4)*Basisbedragen!$I$2,2))</f>
        <v>76.81</v>
      </c>
      <c r="L104" s="52">
        <f t="shared" si="16"/>
        <v>49.45</v>
      </c>
      <c r="M104" s="52">
        <f>ROUND(MIN(MAX(ROUND(ROUND('Loonschijven_Tranches salariale'!$Q103*0.6,4)*Basisbedragen!$I$2,2),ROUND(Basisbedragen!$D$47*Basisbedragen!$I$2,2)),ROUND(ROUND(Basisbedragen!$D$30*0.6,4)*Basisbedragen!$I$2,2))/2,2)</f>
        <v>41.21</v>
      </c>
      <c r="T104" s="160"/>
    </row>
    <row r="105" spans="1:20" ht="15" thickBot="1">
      <c r="A105" s="47">
        <f>A104+1</f>
        <v>97</v>
      </c>
      <c r="B105" s="52">
        <f t="shared" si="22"/>
        <v>98.8</v>
      </c>
      <c r="C105" s="52">
        <f>IF(MIN(MAX(ROUND(ROUND('Loonschijven_Tranches salariale'!$Q104*0.6,4)*Basisbedragen!$I$7,2),ROUND(Basisbedragen!$D$47*Basisbedragen!$I$7,2)),ROUND(ROUND(Basisbedragen!$D$30*0.6,4)*Basisbedragen!$I$7,2))&lt;= Basisbedragen!$I$8,MIN(MAX(ROUND(ROUND('Loonschijven_Tranches salariale'!$Q104*0.6,4)*Basisbedragen!$I$2,2),ROUND(Basisbedragen!$D$47*Basisbedragen!$I$2,2)),ROUND(ROUND(Basisbedragen!$D$30*0.6,4)*Basisbedragen!$I$2,2)),MIN(MAX(ROUND(ROUND('Loonschijven_Tranches salariale'!$Q104*0.6,4)*Basisbedragen!$I$7,2),ROUND(Basisbedragen!$D$47*Basisbedragen!$I$7,2)),ROUND(ROUND(Basisbedragen!$D$30*0.6,4)*Basisbedragen!$I$7,2))+Basisbedragen!$I$10)</f>
        <v>82.330000000000013</v>
      </c>
      <c r="I105" s="52">
        <f>MIN(MAX(ROUND(ROUND('Loonschijven_Tranches salariale'!$Q104*0.6,4)*Basisbedragen!$I$2,2),ROUND(Basisbedragen!$D$77*Basisbedragen!$I$2,2)),ROUND(ROUND(Basisbedragen!$D$29*0.6,4)*Basisbedragen!$I$2,2))</f>
        <v>76.81</v>
      </c>
      <c r="J105" s="52">
        <f>MIN(MAX(ROUND(ROUND('Loonschijven_Tranches salariale'!$Q104*0.6,4)*Basisbedragen!$I$2,2),ROUND(Basisbedragen!$D$78*Basisbedragen!$I$2,2)),ROUND(ROUND(Basisbedragen!$D$29*0.6,4)*Basisbedragen!$I$2,2))</f>
        <v>76.81</v>
      </c>
      <c r="L105" s="52">
        <f t="shared" si="16"/>
        <v>49.45</v>
      </c>
      <c r="M105" s="52">
        <f>ROUND(MIN(MAX(ROUND(ROUND('Loonschijven_Tranches salariale'!$Q104*0.6,4)*Basisbedragen!$I$2,2),ROUND(Basisbedragen!$D$47*Basisbedragen!$I$2,2)),ROUND(ROUND(Basisbedragen!$D$30*0.6,4)*Basisbedragen!$I$2,2))/2,2)</f>
        <v>41.21</v>
      </c>
      <c r="T105" s="160"/>
    </row>
    <row r="106" spans="1:20" ht="15" thickBot="1">
      <c r="A106" s="47">
        <f>A105+1</f>
        <v>98</v>
      </c>
      <c r="B106" s="52">
        <f t="shared" si="22"/>
        <v>98.8</v>
      </c>
      <c r="C106" s="52">
        <f>IF(MIN(MAX(ROUND(ROUND('Loonschijven_Tranches salariale'!$Q105*0.6,4)*Basisbedragen!$I$7,2),ROUND(Basisbedragen!$D$47*Basisbedragen!$I$7,2)),ROUND(ROUND(Basisbedragen!$D$30*0.6,4)*Basisbedragen!$I$7,2))&lt;= Basisbedragen!$I$8,MIN(MAX(ROUND(ROUND('Loonschijven_Tranches salariale'!$Q105*0.6,4)*Basisbedragen!$I$2,2),ROUND(Basisbedragen!$D$47*Basisbedragen!$I$2,2)),ROUND(ROUND(Basisbedragen!$D$30*0.6,4)*Basisbedragen!$I$2,2)),MIN(MAX(ROUND(ROUND('Loonschijven_Tranches salariale'!$Q105*0.6,4)*Basisbedragen!$I$7,2),ROUND(Basisbedragen!$D$47*Basisbedragen!$I$7,2)),ROUND(ROUND(Basisbedragen!$D$30*0.6,4)*Basisbedragen!$I$7,2))+Basisbedragen!$I$10)</f>
        <v>82.330000000000013</v>
      </c>
      <c r="I106" s="52">
        <f>MIN(MAX(ROUND(ROUND('Loonschijven_Tranches salariale'!$Q105*0.6,4)*Basisbedragen!$I$2,2),ROUND(Basisbedragen!$D$77*Basisbedragen!$I$2,2)),ROUND(ROUND(Basisbedragen!$D$29*0.6,4)*Basisbedragen!$I$2,2))</f>
        <v>76.81</v>
      </c>
      <c r="J106" s="52">
        <f>MIN(MAX(ROUND(ROUND('Loonschijven_Tranches salariale'!$Q105*0.6,4)*Basisbedragen!$I$2,2),ROUND(Basisbedragen!$D$78*Basisbedragen!$I$2,2)),ROUND(ROUND(Basisbedragen!$D$29*0.6,4)*Basisbedragen!$I$2,2))</f>
        <v>76.81</v>
      </c>
      <c r="L106" s="52">
        <f t="shared" si="16"/>
        <v>49.45</v>
      </c>
      <c r="M106" s="52">
        <f>ROUND(MIN(MAX(ROUND(ROUND('Loonschijven_Tranches salariale'!$Q105*0.6,4)*Basisbedragen!$I$2,2),ROUND(Basisbedragen!$D$47*Basisbedragen!$I$2,2)),ROUND(ROUND(Basisbedragen!$D$30*0.6,4)*Basisbedragen!$I$2,2))/2,2)</f>
        <v>41.21</v>
      </c>
      <c r="T106" s="160"/>
    </row>
    <row r="107" spans="1:20" ht="15" thickBot="1">
      <c r="A107" s="47">
        <f t="shared" ref="A107" si="24">A106+1</f>
        <v>99</v>
      </c>
      <c r="B107" s="52">
        <f t="shared" si="22"/>
        <v>98.8</v>
      </c>
      <c r="C107" s="52">
        <f>IF(MIN(MAX(ROUND(ROUND('Loonschijven_Tranches salariale'!$Q106*0.6,4)*Basisbedragen!$I$7,2),ROUND(Basisbedragen!$D$47*Basisbedragen!$I$7,2)),ROUND(ROUND(Basisbedragen!$D$30*0.6,4)*Basisbedragen!$I$7,2))&lt;= Basisbedragen!$I$8,MIN(MAX(ROUND(ROUND('Loonschijven_Tranches salariale'!$Q106*0.6,4)*Basisbedragen!$I$2,2),ROUND(Basisbedragen!$D$47*Basisbedragen!$I$2,2)),ROUND(ROUND(Basisbedragen!$D$30*0.6,4)*Basisbedragen!$I$2,2)),MIN(MAX(ROUND(ROUND('Loonschijven_Tranches salariale'!$Q106*0.6,4)*Basisbedragen!$I$7,2),ROUND(Basisbedragen!$D$47*Basisbedragen!$I$7,2)),ROUND(ROUND(Basisbedragen!$D$30*0.6,4)*Basisbedragen!$I$7,2))+Basisbedragen!$I$10)</f>
        <v>82.330000000000013</v>
      </c>
      <c r="I107" s="52">
        <f>MIN(MAX(ROUND(ROUND('Loonschijven_Tranches salariale'!$Q106*0.6,4)*Basisbedragen!$I$2,2),ROUND(Basisbedragen!$D$77*Basisbedragen!$I$2,2)),ROUND(ROUND(Basisbedragen!$D$29*0.6,4)*Basisbedragen!$I$2,2))</f>
        <v>76.81</v>
      </c>
      <c r="J107" s="52">
        <f>MIN(MAX(ROUND(ROUND('Loonschijven_Tranches salariale'!$Q106*0.6,4)*Basisbedragen!$I$2,2),ROUND(Basisbedragen!$D$78*Basisbedragen!$I$2,2)),ROUND(ROUND(Basisbedragen!$D$29*0.6,4)*Basisbedragen!$I$2,2))</f>
        <v>76.81</v>
      </c>
      <c r="L107" s="52">
        <f t="shared" si="16"/>
        <v>49.45</v>
      </c>
      <c r="M107" s="52">
        <f>ROUND(MIN(MAX(ROUND(ROUND('Loonschijven_Tranches salariale'!$Q106*0.6,4)*Basisbedragen!$I$2,2),ROUND(Basisbedragen!$D$47*Basisbedragen!$I$2,2)),ROUND(ROUND(Basisbedragen!$D$30*0.6,4)*Basisbedragen!$I$2,2))/2,2)</f>
        <v>41.21</v>
      </c>
      <c r="T107" s="160"/>
    </row>
  </sheetData>
  <sheetProtection algorithmName="SHA-512" hashValue="Mlmr+uh8TIy1hJq9gnkod3ukR4LpvXWOKaOMgDnHblnxczdaSSmOPPP1hGFD6H58w1xNI+y8aQIpbBUJWYp6wQ==" saltValue="tov/ITlKdIESTDN+j9/n8A==" spinCount="100000" sheet="1" objects="1" scenarios="1"/>
  <mergeCells count="8">
    <mergeCell ref="S1:T1"/>
    <mergeCell ref="C1:P1"/>
    <mergeCell ref="C2:P2"/>
    <mergeCell ref="E5:G5"/>
    <mergeCell ref="O5:Q5"/>
    <mergeCell ref="I5:J5"/>
    <mergeCell ref="B4:J4"/>
    <mergeCell ref="L4:Q4"/>
  </mergeCells>
  <conditionalFormatting sqref="B9:C107">
    <cfRule type="expression" dxfId="2" priority="9">
      <formula>MOD(INDIRECT(ADDRESS(ROW(),1)),5)=0</formula>
    </cfRule>
    <cfRule type="cellIs" dxfId="1" priority="10" operator="lessThan">
      <formula>$C$9</formula>
    </cfRule>
  </conditionalFormatting>
  <conditionalFormatting sqref="E9:J9 O9:Q71 L9:M107 H10:H12 G10:G48 E10:F71 I10:J107 H14:H17 H19:H22 H24:H27 H29:H32 H34:H37 H39:H42 H44:H47 G49:H50 H51:H52 G51:G71 H54:H57 H59:H62 H64:H67 H69:H71">
    <cfRule type="expression" dxfId="0" priority="7">
      <formula>MOD(INDIRECT(ADDRESS(ROW(),1)),5)=0</formula>
    </cfRule>
  </conditionalFormatting>
  <pageMargins left="0.70866141732283472" right="0.70866141732283472" top="0.74803149606299213" bottom="0.74803149606299213" header="0.31496062992125984" footer="0.31496062992125984"/>
  <pageSetup paperSize="9" scale="58" orientation="landscape" r:id="rId1"/>
  <headerFooter>
    <oddFooter>&amp;LRijksdienst voor Arbeidsvoorziening&amp;ROffice national de l'Emploi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6"/>
  <sheetViews>
    <sheetView showGridLines="0" zoomScaleNormal="100" workbookViewId="0">
      <pane ySplit="2" topLeftCell="A3" activePane="bottomLeft" state="frozen"/>
      <selection activeCell="A2" sqref="A2"/>
      <selection pane="bottomLeft" activeCell="A2" sqref="A2:B2"/>
    </sheetView>
  </sheetViews>
  <sheetFormatPr defaultColWidth="9.109375" defaultRowHeight="14.4" outlineLevelCol="1"/>
  <cols>
    <col min="2" max="3" width="12.88671875" customWidth="1"/>
    <col min="14" max="14" width="9.109375" hidden="1" customWidth="1" outlineLevel="1"/>
    <col min="15" max="15" width="11.109375" hidden="1" customWidth="1" outlineLevel="1"/>
    <col min="16" max="17" width="9.109375" hidden="1" customWidth="1" outlineLevel="1"/>
    <col min="18" max="18" width="9.109375" collapsed="1"/>
  </cols>
  <sheetData>
    <row r="1" spans="1:17" ht="15.75" customHeight="1">
      <c r="A1" s="477" t="s">
        <v>5</v>
      </c>
      <c r="B1" s="478"/>
      <c r="C1" s="490" t="s">
        <v>1</v>
      </c>
      <c r="D1" s="491"/>
      <c r="E1" s="491"/>
      <c r="F1" s="491"/>
      <c r="G1" s="72"/>
      <c r="H1" s="451" t="s">
        <v>6</v>
      </c>
      <c r="I1" s="451"/>
      <c r="J1" s="451"/>
      <c r="K1" s="334">
        <f>Basisbedragen!$I$2</f>
        <v>1.8113999999999999</v>
      </c>
      <c r="L1" s="72"/>
      <c r="M1" s="72"/>
    </row>
    <row r="2" spans="1:17" ht="15.6">
      <c r="A2" s="479">
        <v>46266</v>
      </c>
      <c r="B2" s="480"/>
      <c r="C2" s="488" t="s">
        <v>0</v>
      </c>
      <c r="D2" s="489"/>
      <c r="E2" s="489"/>
      <c r="F2" s="489"/>
      <c r="G2" s="72"/>
      <c r="H2" s="72"/>
      <c r="I2" s="72"/>
      <c r="J2" s="72"/>
      <c r="K2" s="72"/>
      <c r="L2" s="72"/>
      <c r="M2" s="72"/>
    </row>
    <row r="3" spans="1:17" ht="15.6">
      <c r="A3" s="4"/>
      <c r="B3" s="5"/>
      <c r="C3" s="6"/>
      <c r="D3" s="7"/>
      <c r="E3" s="8"/>
      <c r="F3" s="9"/>
      <c r="G3" s="485"/>
      <c r="H3" s="10"/>
      <c r="I3" s="486"/>
    </row>
    <row r="4" spans="1:17" ht="15.6">
      <c r="A4" s="11"/>
      <c r="B4" s="5"/>
      <c r="C4" s="12"/>
      <c r="D4" s="13"/>
      <c r="E4" s="8"/>
      <c r="F4" s="14"/>
      <c r="G4" s="485"/>
      <c r="H4" s="10"/>
      <c r="I4" s="487"/>
    </row>
    <row r="5" spans="1:17">
      <c r="A5" s="15"/>
      <c r="B5" s="16"/>
      <c r="C5" s="16"/>
      <c r="D5" s="16"/>
      <c r="E5" s="16"/>
      <c r="F5" s="2"/>
      <c r="G5" s="17"/>
      <c r="H5" s="2"/>
      <c r="I5" s="2"/>
      <c r="J5" s="2"/>
      <c r="K5" s="2"/>
      <c r="L5" s="2"/>
      <c r="M5" s="18"/>
    </row>
    <row r="6" spans="1:17">
      <c r="A6" s="19"/>
      <c r="B6" s="481" t="s">
        <v>2</v>
      </c>
      <c r="C6" s="482"/>
      <c r="D6" s="20"/>
      <c r="E6" s="21"/>
      <c r="F6" s="22"/>
      <c r="I6" s="23"/>
      <c r="J6" s="23"/>
      <c r="K6" s="23"/>
      <c r="L6" s="23"/>
      <c r="M6" s="18"/>
    </row>
    <row r="7" spans="1:17" ht="15.6">
      <c r="A7" s="24"/>
      <c r="B7" s="481">
        <f>A2</f>
        <v>46266</v>
      </c>
      <c r="C7" s="482"/>
      <c r="D7" s="25"/>
      <c r="E7" s="26" t="s">
        <v>3</v>
      </c>
      <c r="F7" s="23"/>
      <c r="I7" s="483"/>
      <c r="J7" s="484"/>
      <c r="K7" s="23"/>
      <c r="L7" s="23"/>
      <c r="M7" s="18"/>
    </row>
    <row r="8" spans="1:17" ht="15.6">
      <c r="A8" s="27"/>
      <c r="B8" s="28"/>
      <c r="C8" s="28"/>
      <c r="D8" s="29"/>
      <c r="E8" s="30"/>
      <c r="F8" s="23"/>
      <c r="G8" s="31"/>
      <c r="H8" s="31"/>
      <c r="I8" s="31"/>
      <c r="J8" s="31"/>
      <c r="K8" s="23"/>
      <c r="L8" s="23"/>
      <c r="M8" s="18"/>
      <c r="N8">
        <v>1</v>
      </c>
      <c r="O8" s="32">
        <f t="shared" ref="O8:O59" si="0">O9-0.8631</f>
        <v>10.7913999999999</v>
      </c>
      <c r="P8" s="32">
        <f t="shared" ref="P8:P71" si="1">O9-0.0001</f>
        <v>11.6543999999999</v>
      </c>
      <c r="Q8" s="32">
        <f t="shared" ref="Q8:Q60" si="2">O8+0.4316</f>
        <v>11.2229999999999</v>
      </c>
    </row>
    <row r="9" spans="1:17" ht="15.6">
      <c r="A9" s="33"/>
      <c r="B9" s="139">
        <f>ROUND((O36*$K$1),4)</f>
        <v>63.323300000000003</v>
      </c>
      <c r="C9" s="139">
        <f t="shared" ref="C9:C36" si="3">B10-0.0001</f>
        <v>64.886600000000001</v>
      </c>
      <c r="D9" s="77"/>
      <c r="E9" s="78">
        <f>29</f>
        <v>29</v>
      </c>
      <c r="F9" s="23"/>
      <c r="G9" s="31"/>
      <c r="H9" s="31"/>
      <c r="I9" s="31"/>
      <c r="J9" s="31"/>
      <c r="K9" s="23"/>
      <c r="L9" s="23"/>
      <c r="M9" s="18"/>
      <c r="N9">
        <v>2</v>
      </c>
      <c r="O9" s="32">
        <f t="shared" si="0"/>
        <v>11.654499999999899</v>
      </c>
      <c r="P9" s="32">
        <f t="shared" si="1"/>
        <v>12.517499999999899</v>
      </c>
      <c r="Q9" s="32">
        <f t="shared" si="2"/>
        <v>12.086099999999899</v>
      </c>
    </row>
    <row r="10" spans="1:17" ht="15.6">
      <c r="A10" s="33"/>
      <c r="B10" s="140">
        <f>ROUND((O37*$K$1),4)</f>
        <v>64.886700000000005</v>
      </c>
      <c r="C10" s="140">
        <f t="shared" si="3"/>
        <v>66.45</v>
      </c>
      <c r="D10" s="77"/>
      <c r="E10" s="109">
        <f t="shared" ref="E10:E49" si="4">E9+1</f>
        <v>30</v>
      </c>
      <c r="F10" s="23"/>
      <c r="G10" s="31"/>
      <c r="H10" s="31"/>
      <c r="I10" s="31"/>
      <c r="J10" s="31"/>
      <c r="K10" s="23"/>
      <c r="L10" s="23"/>
      <c r="M10" s="18"/>
      <c r="N10">
        <v>3</v>
      </c>
      <c r="O10" s="32">
        <f t="shared" si="0"/>
        <v>12.517599999999899</v>
      </c>
      <c r="P10" s="32">
        <f t="shared" si="1"/>
        <v>13.380599999999898</v>
      </c>
      <c r="Q10" s="32">
        <f t="shared" si="2"/>
        <v>12.949199999999898</v>
      </c>
    </row>
    <row r="11" spans="1:17" ht="15.6">
      <c r="A11" s="33"/>
      <c r="B11" s="139">
        <f t="shared" ref="B11:B30" si="5">ROUND((O38*$K$1),4)</f>
        <v>66.450100000000006</v>
      </c>
      <c r="C11" s="139">
        <f t="shared" si="3"/>
        <v>68.01339999999999</v>
      </c>
      <c r="D11" s="77"/>
      <c r="E11" s="78">
        <f t="shared" si="4"/>
        <v>31</v>
      </c>
      <c r="F11" s="23"/>
      <c r="G11" s="31"/>
      <c r="H11" s="31"/>
      <c r="I11" s="31"/>
      <c r="J11" s="31"/>
      <c r="K11" s="23"/>
      <c r="L11" s="23"/>
      <c r="M11" s="18"/>
      <c r="N11">
        <v>4</v>
      </c>
      <c r="O11" s="32">
        <f t="shared" si="0"/>
        <v>13.380699999999898</v>
      </c>
      <c r="P11" s="32">
        <f t="shared" si="1"/>
        <v>14.243699999999897</v>
      </c>
      <c r="Q11" s="32">
        <f t="shared" si="2"/>
        <v>13.812299999999897</v>
      </c>
    </row>
    <row r="12" spans="1:17" ht="15.6">
      <c r="A12" s="33"/>
      <c r="B12" s="139">
        <f t="shared" si="5"/>
        <v>68.013499999999993</v>
      </c>
      <c r="C12" s="139">
        <f t="shared" si="3"/>
        <v>69.576899999999995</v>
      </c>
      <c r="D12" s="77"/>
      <c r="E12" s="78">
        <f t="shared" si="4"/>
        <v>32</v>
      </c>
      <c r="F12" s="23"/>
      <c r="G12" s="31"/>
      <c r="H12" s="31"/>
      <c r="I12" s="31"/>
      <c r="J12" s="31"/>
      <c r="K12" s="23"/>
      <c r="L12" s="23"/>
      <c r="M12" s="18"/>
      <c r="N12">
        <v>5</v>
      </c>
      <c r="O12" s="32">
        <f t="shared" si="0"/>
        <v>14.243799999999897</v>
      </c>
      <c r="P12" s="32">
        <f t="shared" si="1"/>
        <v>15.106799999999897</v>
      </c>
      <c r="Q12" s="32">
        <f t="shared" si="2"/>
        <v>14.675399999999897</v>
      </c>
    </row>
    <row r="13" spans="1:17" ht="15.6">
      <c r="A13" s="33"/>
      <c r="B13" s="139">
        <f t="shared" si="5"/>
        <v>69.576999999999998</v>
      </c>
      <c r="C13" s="139">
        <f t="shared" si="3"/>
        <v>71.140299999999996</v>
      </c>
      <c r="D13" s="77"/>
      <c r="E13" s="78">
        <f t="shared" si="4"/>
        <v>33</v>
      </c>
      <c r="F13" s="23"/>
      <c r="G13" s="31"/>
      <c r="H13" s="31"/>
      <c r="I13" s="31"/>
      <c r="J13" s="31"/>
      <c r="K13" s="23"/>
      <c r="L13" s="23"/>
      <c r="M13" s="18"/>
      <c r="N13">
        <v>6</v>
      </c>
      <c r="O13" s="32">
        <f t="shared" si="0"/>
        <v>15.106899999999897</v>
      </c>
      <c r="P13" s="32">
        <f t="shared" si="1"/>
        <v>15.969899999999896</v>
      </c>
      <c r="Q13" s="32">
        <f t="shared" si="2"/>
        <v>15.538499999999896</v>
      </c>
    </row>
    <row r="14" spans="1:17" ht="15.6">
      <c r="A14" s="33"/>
      <c r="B14" s="139">
        <f t="shared" si="5"/>
        <v>71.1404</v>
      </c>
      <c r="C14" s="139">
        <f t="shared" si="3"/>
        <v>72.703699999999998</v>
      </c>
      <c r="D14" s="77"/>
      <c r="E14" s="78">
        <f t="shared" si="4"/>
        <v>34</v>
      </c>
      <c r="F14" s="23"/>
      <c r="G14" s="31"/>
      <c r="H14" s="31"/>
      <c r="I14" s="31"/>
      <c r="J14" s="31"/>
      <c r="K14" s="23"/>
      <c r="L14" s="23"/>
      <c r="M14" s="18"/>
      <c r="N14">
        <v>7</v>
      </c>
      <c r="O14" s="32">
        <f t="shared" si="0"/>
        <v>15.969999999999896</v>
      </c>
      <c r="P14" s="32">
        <f t="shared" si="1"/>
        <v>16.832999999999895</v>
      </c>
      <c r="Q14" s="32">
        <f t="shared" si="2"/>
        <v>16.401599999999895</v>
      </c>
    </row>
    <row r="15" spans="1:17" ht="15.6">
      <c r="A15" s="33"/>
      <c r="B15" s="141">
        <f t="shared" si="5"/>
        <v>72.703800000000001</v>
      </c>
      <c r="C15" s="141">
        <f t="shared" si="3"/>
        <v>74.267099999999999</v>
      </c>
      <c r="D15" s="77"/>
      <c r="E15" s="109">
        <f t="shared" si="4"/>
        <v>35</v>
      </c>
      <c r="F15" s="23"/>
      <c r="G15" s="31"/>
      <c r="H15" s="31"/>
      <c r="I15" s="31"/>
      <c r="J15" s="31"/>
      <c r="K15" s="23"/>
      <c r="L15" s="23"/>
      <c r="M15" s="18"/>
      <c r="N15">
        <v>8</v>
      </c>
      <c r="O15" s="32">
        <f t="shared" si="0"/>
        <v>16.833099999999895</v>
      </c>
      <c r="P15" s="32">
        <f t="shared" si="1"/>
        <v>17.696099999999895</v>
      </c>
      <c r="Q15" s="32">
        <f t="shared" si="2"/>
        <v>17.264699999999895</v>
      </c>
    </row>
    <row r="16" spans="1:17" ht="15.6">
      <c r="A16" s="33"/>
      <c r="B16" s="139">
        <f t="shared" si="5"/>
        <v>74.267200000000003</v>
      </c>
      <c r="C16" s="139">
        <f t="shared" si="3"/>
        <v>75.830500000000001</v>
      </c>
      <c r="D16" s="77"/>
      <c r="E16" s="78">
        <f t="shared" si="4"/>
        <v>36</v>
      </c>
      <c r="F16" s="23"/>
      <c r="G16" s="31"/>
      <c r="H16" s="31"/>
      <c r="I16" s="31"/>
      <c r="J16" s="31"/>
      <c r="K16" s="23"/>
      <c r="L16" s="23"/>
      <c r="M16" s="18"/>
      <c r="N16">
        <v>9</v>
      </c>
      <c r="O16" s="32">
        <f t="shared" si="0"/>
        <v>17.696199999999894</v>
      </c>
      <c r="P16" s="32">
        <f t="shared" si="1"/>
        <v>18.559199999999894</v>
      </c>
      <c r="Q16" s="32">
        <f t="shared" si="2"/>
        <v>18.127799999999894</v>
      </c>
    </row>
    <row r="17" spans="1:17" ht="15.6">
      <c r="A17" s="33"/>
      <c r="B17" s="139">
        <f t="shared" si="5"/>
        <v>75.830600000000004</v>
      </c>
      <c r="C17" s="139">
        <f t="shared" si="3"/>
        <v>77.393999999999991</v>
      </c>
      <c r="D17" s="77"/>
      <c r="E17" s="78">
        <f t="shared" si="4"/>
        <v>37</v>
      </c>
      <c r="F17" s="23"/>
      <c r="G17" s="31"/>
      <c r="H17" s="31"/>
      <c r="I17" s="31"/>
      <c r="J17" s="31"/>
      <c r="K17" s="23"/>
      <c r="L17" s="23"/>
      <c r="M17" s="18"/>
      <c r="N17">
        <v>10</v>
      </c>
      <c r="O17" s="32">
        <f t="shared" si="0"/>
        <v>18.559299999999894</v>
      </c>
      <c r="P17" s="32">
        <f t="shared" si="1"/>
        <v>19.422299999999893</v>
      </c>
      <c r="Q17" s="32">
        <f t="shared" si="2"/>
        <v>18.990899999999893</v>
      </c>
    </row>
    <row r="18" spans="1:17" ht="15.6">
      <c r="A18" s="33"/>
      <c r="B18" s="139">
        <f t="shared" si="5"/>
        <v>77.394099999999995</v>
      </c>
      <c r="C18" s="139">
        <f t="shared" si="3"/>
        <v>78.957399999999993</v>
      </c>
      <c r="D18" s="77"/>
      <c r="E18" s="78">
        <f t="shared" si="4"/>
        <v>38</v>
      </c>
      <c r="F18" s="23"/>
      <c r="G18" s="31"/>
      <c r="H18" s="31"/>
      <c r="I18" s="31"/>
      <c r="J18" s="31"/>
      <c r="K18" s="23"/>
      <c r="L18" s="23"/>
      <c r="M18" s="18"/>
      <c r="N18">
        <v>11</v>
      </c>
      <c r="O18" s="32">
        <f t="shared" si="0"/>
        <v>19.422399999999893</v>
      </c>
      <c r="P18" s="32">
        <f t="shared" si="1"/>
        <v>20.285399999999893</v>
      </c>
      <c r="Q18" s="32">
        <f t="shared" si="2"/>
        <v>19.853999999999893</v>
      </c>
    </row>
    <row r="19" spans="1:17" ht="15.6">
      <c r="A19" s="33"/>
      <c r="B19" s="139">
        <f t="shared" si="5"/>
        <v>78.957499999999996</v>
      </c>
      <c r="C19" s="139">
        <f t="shared" si="3"/>
        <v>80.520799999999994</v>
      </c>
      <c r="D19" s="77"/>
      <c r="E19" s="78">
        <f t="shared" si="4"/>
        <v>39</v>
      </c>
      <c r="F19" s="23"/>
      <c r="G19" s="31"/>
      <c r="H19" s="31"/>
      <c r="I19" s="31"/>
      <c r="J19" s="31"/>
      <c r="K19" s="23"/>
      <c r="L19" s="23"/>
      <c r="M19" s="18"/>
      <c r="N19">
        <v>12</v>
      </c>
      <c r="O19" s="32">
        <f t="shared" si="0"/>
        <v>20.285499999999892</v>
      </c>
      <c r="P19" s="32">
        <f t="shared" si="1"/>
        <v>21.148499999999892</v>
      </c>
      <c r="Q19" s="32">
        <f t="shared" si="2"/>
        <v>20.717099999999892</v>
      </c>
    </row>
    <row r="20" spans="1:17" ht="15.6">
      <c r="A20" s="33"/>
      <c r="B20" s="141">
        <f t="shared" si="5"/>
        <v>80.520899999999997</v>
      </c>
      <c r="C20" s="141">
        <f t="shared" si="3"/>
        <v>82.084199999999996</v>
      </c>
      <c r="D20" s="77"/>
      <c r="E20" s="109">
        <f t="shared" si="4"/>
        <v>40</v>
      </c>
      <c r="F20" s="23"/>
      <c r="G20" s="31"/>
      <c r="H20" s="31"/>
      <c r="I20" s="31"/>
      <c r="J20" s="31"/>
      <c r="K20" s="23"/>
      <c r="L20" s="23"/>
      <c r="M20" s="18"/>
      <c r="N20">
        <v>13</v>
      </c>
      <c r="O20" s="32">
        <f t="shared" si="0"/>
        <v>21.148599999999892</v>
      </c>
      <c r="P20" s="32">
        <f t="shared" si="1"/>
        <v>22.011599999999891</v>
      </c>
      <c r="Q20" s="32">
        <f t="shared" si="2"/>
        <v>21.580199999999891</v>
      </c>
    </row>
    <row r="21" spans="1:17" ht="15.6">
      <c r="A21" s="33"/>
      <c r="B21" s="139">
        <f t="shared" si="5"/>
        <v>82.084299999999999</v>
      </c>
      <c r="C21" s="139">
        <f t="shared" si="3"/>
        <v>83.647599999999997</v>
      </c>
      <c r="D21" s="77"/>
      <c r="E21" s="78">
        <f t="shared" si="4"/>
        <v>41</v>
      </c>
      <c r="F21" s="23"/>
      <c r="G21" s="31"/>
      <c r="H21" s="31"/>
      <c r="I21" s="31"/>
      <c r="J21" s="31"/>
      <c r="K21" s="23"/>
      <c r="L21" s="23"/>
      <c r="M21" s="18"/>
      <c r="N21">
        <v>14</v>
      </c>
      <c r="O21" s="32">
        <f t="shared" si="0"/>
        <v>22.011699999999891</v>
      </c>
      <c r="P21" s="32">
        <f t="shared" si="1"/>
        <v>22.874699999999891</v>
      </c>
      <c r="Q21" s="32">
        <f t="shared" si="2"/>
        <v>22.443299999999891</v>
      </c>
    </row>
    <row r="22" spans="1:17" ht="15.6">
      <c r="A22" s="33"/>
      <c r="B22" s="139">
        <f t="shared" si="5"/>
        <v>83.6477</v>
      </c>
      <c r="C22" s="139">
        <f t="shared" si="3"/>
        <v>85.211100000000002</v>
      </c>
      <c r="D22" s="77"/>
      <c r="E22" s="78">
        <f t="shared" si="4"/>
        <v>42</v>
      </c>
      <c r="F22" s="23"/>
      <c r="G22" s="31"/>
      <c r="H22" s="31"/>
      <c r="I22" s="31"/>
      <c r="J22" s="31"/>
      <c r="K22" s="23"/>
      <c r="L22" s="23"/>
      <c r="M22" s="18"/>
      <c r="N22">
        <v>15</v>
      </c>
      <c r="O22" s="32">
        <f t="shared" si="0"/>
        <v>22.87479999999989</v>
      </c>
      <c r="P22" s="32">
        <f t="shared" si="1"/>
        <v>23.73779999999989</v>
      </c>
      <c r="Q22" s="32">
        <f t="shared" si="2"/>
        <v>23.30639999999989</v>
      </c>
    </row>
    <row r="23" spans="1:17" ht="15.6">
      <c r="A23" s="33"/>
      <c r="B23" s="139">
        <f t="shared" si="5"/>
        <v>85.211200000000005</v>
      </c>
      <c r="C23" s="139">
        <f t="shared" si="3"/>
        <v>86.774500000000003</v>
      </c>
      <c r="D23" s="77"/>
      <c r="E23" s="78">
        <f t="shared" si="4"/>
        <v>43</v>
      </c>
      <c r="F23" s="23"/>
      <c r="G23" s="31"/>
      <c r="H23" s="31"/>
      <c r="I23" s="31"/>
      <c r="J23" s="31"/>
      <c r="K23" s="23"/>
      <c r="L23" s="23"/>
      <c r="M23" s="18"/>
      <c r="N23">
        <v>16</v>
      </c>
      <c r="O23" s="32">
        <f t="shared" si="0"/>
        <v>23.73789999999989</v>
      </c>
      <c r="P23" s="32">
        <f t="shared" si="1"/>
        <v>24.600899999999889</v>
      </c>
      <c r="Q23" s="32">
        <f t="shared" si="2"/>
        <v>24.169499999999889</v>
      </c>
    </row>
    <row r="24" spans="1:17" ht="15.6">
      <c r="A24" s="33"/>
      <c r="B24" s="139">
        <f t="shared" si="5"/>
        <v>86.774600000000007</v>
      </c>
      <c r="C24" s="139">
        <f t="shared" si="3"/>
        <v>88.337899999999991</v>
      </c>
      <c r="D24" s="77"/>
      <c r="E24" s="78">
        <f t="shared" si="4"/>
        <v>44</v>
      </c>
      <c r="F24" s="23"/>
      <c r="G24" s="31"/>
      <c r="H24" s="31"/>
      <c r="I24" s="31"/>
      <c r="J24" s="31"/>
      <c r="K24" s="23"/>
      <c r="L24" s="23"/>
      <c r="M24" s="18"/>
      <c r="N24">
        <v>17</v>
      </c>
      <c r="O24" s="32">
        <f t="shared" si="0"/>
        <v>24.600999999999889</v>
      </c>
      <c r="P24" s="32">
        <f t="shared" si="1"/>
        <v>25.463999999999889</v>
      </c>
      <c r="Q24" s="32">
        <f t="shared" si="2"/>
        <v>25.032599999999888</v>
      </c>
    </row>
    <row r="25" spans="1:17" ht="15.6">
      <c r="A25" s="33"/>
      <c r="B25" s="141">
        <f t="shared" si="5"/>
        <v>88.337999999999994</v>
      </c>
      <c r="C25" s="141">
        <f t="shared" si="3"/>
        <v>89.901299999999992</v>
      </c>
      <c r="D25" s="77"/>
      <c r="E25" s="109">
        <f t="shared" si="4"/>
        <v>45</v>
      </c>
      <c r="F25" s="23"/>
      <c r="G25" s="31"/>
      <c r="H25" s="31"/>
      <c r="I25" s="31"/>
      <c r="J25" s="31"/>
      <c r="K25" s="23"/>
      <c r="L25" s="23"/>
      <c r="M25" s="18"/>
      <c r="N25">
        <v>18</v>
      </c>
      <c r="O25" s="32">
        <f t="shared" si="0"/>
        <v>25.464099999999888</v>
      </c>
      <c r="P25" s="32">
        <f t="shared" si="1"/>
        <v>26.327099999999888</v>
      </c>
      <c r="Q25" s="32">
        <f t="shared" si="2"/>
        <v>25.895699999999888</v>
      </c>
    </row>
    <row r="26" spans="1:17" ht="15.6">
      <c r="A26" s="33"/>
      <c r="B26" s="139">
        <f t="shared" si="5"/>
        <v>89.901399999999995</v>
      </c>
      <c r="C26" s="139">
        <f t="shared" si="3"/>
        <v>91.464699999999993</v>
      </c>
      <c r="D26" s="77"/>
      <c r="E26" s="78">
        <f t="shared" si="4"/>
        <v>46</v>
      </c>
      <c r="F26" s="23"/>
      <c r="G26" s="31"/>
      <c r="H26" s="31"/>
      <c r="I26" s="31"/>
      <c r="J26" s="31"/>
      <c r="K26" s="23"/>
      <c r="L26" s="23"/>
      <c r="M26" s="18"/>
      <c r="N26">
        <v>19</v>
      </c>
      <c r="O26" s="32">
        <f t="shared" si="0"/>
        <v>26.327199999999888</v>
      </c>
      <c r="P26" s="32">
        <f t="shared" si="1"/>
        <v>27.190199999999887</v>
      </c>
      <c r="Q26" s="32">
        <f t="shared" si="2"/>
        <v>26.758799999999887</v>
      </c>
    </row>
    <row r="27" spans="1:17" ht="15.6">
      <c r="A27" s="33"/>
      <c r="B27" s="139">
        <f t="shared" si="5"/>
        <v>91.464799999999997</v>
      </c>
      <c r="C27" s="139">
        <f t="shared" si="3"/>
        <v>93.028199999999998</v>
      </c>
      <c r="D27" s="77"/>
      <c r="E27" s="78">
        <f t="shared" si="4"/>
        <v>47</v>
      </c>
      <c r="F27" s="23"/>
      <c r="G27" s="31"/>
      <c r="H27" s="31"/>
      <c r="I27" s="31"/>
      <c r="J27" s="31"/>
      <c r="K27" s="23"/>
      <c r="L27" s="23"/>
      <c r="M27" s="18"/>
      <c r="N27">
        <v>20</v>
      </c>
      <c r="O27" s="32">
        <f t="shared" si="0"/>
        <v>27.190299999999887</v>
      </c>
      <c r="P27" s="32">
        <f t="shared" si="1"/>
        <v>28.053299999999886</v>
      </c>
      <c r="Q27" s="32">
        <f t="shared" si="2"/>
        <v>27.621899999999886</v>
      </c>
    </row>
    <row r="28" spans="1:17" ht="15.6">
      <c r="A28" s="33"/>
      <c r="B28" s="139">
        <f t="shared" si="5"/>
        <v>93.028300000000002</v>
      </c>
      <c r="C28" s="139">
        <f t="shared" si="3"/>
        <v>94.5916</v>
      </c>
      <c r="D28" s="77"/>
      <c r="E28" s="78">
        <f t="shared" si="4"/>
        <v>48</v>
      </c>
      <c r="F28" s="23"/>
      <c r="G28" s="31"/>
      <c r="H28" s="31"/>
      <c r="I28" s="31"/>
      <c r="J28" s="31"/>
      <c r="K28" s="23"/>
      <c r="L28" s="23"/>
      <c r="M28" s="18"/>
      <c r="N28">
        <v>21</v>
      </c>
      <c r="O28" s="32">
        <f t="shared" si="0"/>
        <v>28.053399999999886</v>
      </c>
      <c r="P28" s="32">
        <f t="shared" si="1"/>
        <v>28.916399999999886</v>
      </c>
      <c r="Q28" s="32">
        <f t="shared" si="2"/>
        <v>28.484999999999886</v>
      </c>
    </row>
    <row r="29" spans="1:17" ht="15.6">
      <c r="A29" s="33"/>
      <c r="B29" s="139">
        <f t="shared" si="5"/>
        <v>94.591700000000003</v>
      </c>
      <c r="C29" s="139">
        <f t="shared" si="3"/>
        <v>96.155000000000001</v>
      </c>
      <c r="D29" s="77"/>
      <c r="E29" s="78">
        <f t="shared" si="4"/>
        <v>49</v>
      </c>
      <c r="F29" s="23"/>
      <c r="G29" s="31"/>
      <c r="H29" s="31"/>
      <c r="I29" s="31"/>
      <c r="J29" s="31"/>
      <c r="K29" s="23"/>
      <c r="L29" s="23"/>
      <c r="M29" s="18"/>
      <c r="N29">
        <v>22</v>
      </c>
      <c r="O29" s="32">
        <f t="shared" si="0"/>
        <v>28.916499999999886</v>
      </c>
      <c r="P29" s="32">
        <f t="shared" si="1"/>
        <v>29.779499999999885</v>
      </c>
      <c r="Q29" s="32">
        <f t="shared" si="2"/>
        <v>29.348099999999885</v>
      </c>
    </row>
    <row r="30" spans="1:17" ht="15.6">
      <c r="A30" s="33"/>
      <c r="B30" s="141">
        <f t="shared" si="5"/>
        <v>96.155100000000004</v>
      </c>
      <c r="C30" s="141">
        <f t="shared" si="3"/>
        <v>97.718400000000003</v>
      </c>
      <c r="D30" s="77"/>
      <c r="E30" s="109">
        <f t="shared" si="4"/>
        <v>50</v>
      </c>
      <c r="F30" s="23"/>
      <c r="G30" s="31"/>
      <c r="H30" s="31"/>
      <c r="I30" s="31"/>
      <c r="J30" s="31"/>
      <c r="K30" s="23"/>
      <c r="L30" s="23"/>
      <c r="M30" s="18"/>
      <c r="N30">
        <v>23</v>
      </c>
      <c r="O30" s="32">
        <f t="shared" si="0"/>
        <v>29.779599999999885</v>
      </c>
      <c r="P30" s="32">
        <f t="shared" si="1"/>
        <v>30.642599999999884</v>
      </c>
      <c r="Q30" s="32">
        <f t="shared" si="2"/>
        <v>30.211199999999884</v>
      </c>
    </row>
    <row r="31" spans="1:17" ht="15.6">
      <c r="A31" s="33"/>
      <c r="B31" s="139">
        <f>ROUND((O58*$K$1),4)</f>
        <v>97.718500000000006</v>
      </c>
      <c r="C31" s="139">
        <f t="shared" si="3"/>
        <v>99.28179999999999</v>
      </c>
      <c r="D31" s="77"/>
      <c r="E31" s="78">
        <f t="shared" si="4"/>
        <v>51</v>
      </c>
      <c r="F31" s="23"/>
      <c r="G31" s="31"/>
      <c r="H31" s="31"/>
      <c r="I31" s="31"/>
      <c r="J31" s="31"/>
      <c r="K31" s="23"/>
      <c r="L31" s="23"/>
      <c r="M31" s="18"/>
      <c r="N31">
        <v>24</v>
      </c>
      <c r="O31" s="32">
        <f t="shared" si="0"/>
        <v>30.642699999999884</v>
      </c>
      <c r="P31" s="32">
        <f t="shared" si="1"/>
        <v>31.505699999999884</v>
      </c>
      <c r="Q31" s="32">
        <f t="shared" si="2"/>
        <v>31.074299999999884</v>
      </c>
    </row>
    <row r="32" spans="1:17" ht="15.6">
      <c r="A32" s="33"/>
      <c r="B32" s="139">
        <f>ROUND((O59*$K$1),4)</f>
        <v>99.281899999999993</v>
      </c>
      <c r="C32" s="139">
        <f t="shared" si="3"/>
        <v>100.84519999999999</v>
      </c>
      <c r="D32" s="77"/>
      <c r="E32" s="78">
        <f t="shared" si="4"/>
        <v>52</v>
      </c>
      <c r="F32" s="23"/>
      <c r="G32" s="31"/>
      <c r="H32" s="31"/>
      <c r="I32" s="31"/>
      <c r="J32" s="31"/>
      <c r="K32" s="23"/>
      <c r="L32" s="23"/>
      <c r="M32" s="18"/>
      <c r="N32">
        <v>25</v>
      </c>
      <c r="O32" s="32">
        <f t="shared" si="0"/>
        <v>31.505799999999883</v>
      </c>
      <c r="P32" s="32">
        <f t="shared" si="1"/>
        <v>32.368799999999879</v>
      </c>
      <c r="Q32" s="32">
        <f t="shared" si="2"/>
        <v>31.937399999999883</v>
      </c>
    </row>
    <row r="33" spans="1:17" ht="15.6">
      <c r="A33" s="33"/>
      <c r="B33" s="139">
        <f t="shared" ref="B33:B55" si="6">ROUND((O60*$K$1),4)</f>
        <v>100.84529999999999</v>
      </c>
      <c r="C33" s="139">
        <f t="shared" si="3"/>
        <v>102.4087</v>
      </c>
      <c r="D33" s="77"/>
      <c r="E33" s="78">
        <f t="shared" si="4"/>
        <v>53</v>
      </c>
      <c r="F33" s="23"/>
      <c r="G33" s="31"/>
      <c r="H33" s="31"/>
      <c r="I33" s="31"/>
      <c r="J33" s="31"/>
      <c r="K33" s="23"/>
      <c r="L33" s="23"/>
      <c r="M33" s="18"/>
      <c r="N33">
        <v>26</v>
      </c>
      <c r="O33" s="32">
        <f t="shared" si="0"/>
        <v>32.368899999999883</v>
      </c>
      <c r="P33" s="32">
        <f t="shared" si="1"/>
        <v>33.231899999999882</v>
      </c>
      <c r="Q33" s="32">
        <f t="shared" si="2"/>
        <v>32.800499999999886</v>
      </c>
    </row>
    <row r="34" spans="1:17" ht="15.6">
      <c r="A34" s="33"/>
      <c r="B34" s="139">
        <f t="shared" si="6"/>
        <v>102.4088</v>
      </c>
      <c r="C34" s="139">
        <f t="shared" si="3"/>
        <v>103.1905</v>
      </c>
      <c r="D34" s="77"/>
      <c r="E34" s="78">
        <f t="shared" si="4"/>
        <v>54</v>
      </c>
      <c r="F34" s="23"/>
      <c r="G34" s="31"/>
      <c r="H34" s="31"/>
      <c r="I34" s="31"/>
      <c r="J34" s="31"/>
      <c r="K34" s="23"/>
      <c r="L34" s="23"/>
      <c r="M34" s="18"/>
      <c r="N34">
        <v>27</v>
      </c>
      <c r="O34" s="32">
        <f t="shared" si="0"/>
        <v>33.231999999999886</v>
      </c>
      <c r="P34" s="32">
        <f t="shared" si="1"/>
        <v>34.094999999999885</v>
      </c>
      <c r="Q34" s="32">
        <f t="shared" si="2"/>
        <v>33.663599999999889</v>
      </c>
    </row>
    <row r="35" spans="1:17" ht="15.6">
      <c r="A35" s="33"/>
      <c r="B35" s="141">
        <f t="shared" si="6"/>
        <v>103.1906</v>
      </c>
      <c r="C35" s="141">
        <f t="shared" si="3"/>
        <v>103.9721</v>
      </c>
      <c r="D35" s="77"/>
      <c r="E35" s="109">
        <f t="shared" si="4"/>
        <v>55</v>
      </c>
      <c r="F35" s="23"/>
      <c r="G35" s="31"/>
      <c r="H35" s="34"/>
      <c r="I35" s="31"/>
      <c r="J35" s="31"/>
      <c r="K35" s="23"/>
      <c r="L35" s="23"/>
      <c r="M35" s="18"/>
      <c r="N35">
        <v>28</v>
      </c>
      <c r="O35" s="32">
        <f t="shared" si="0"/>
        <v>34.095099999999888</v>
      </c>
      <c r="P35" s="32">
        <f t="shared" si="1"/>
        <v>34.958099999999888</v>
      </c>
      <c r="Q35" s="32">
        <f t="shared" si="2"/>
        <v>34.526699999999892</v>
      </c>
    </row>
    <row r="36" spans="1:17" ht="15.6">
      <c r="A36" s="33"/>
      <c r="B36" s="139">
        <f t="shared" si="6"/>
        <v>103.9722</v>
      </c>
      <c r="C36" s="139">
        <f t="shared" si="3"/>
        <v>105.5355</v>
      </c>
      <c r="D36" s="77"/>
      <c r="E36" s="78">
        <f t="shared" si="4"/>
        <v>56</v>
      </c>
      <c r="F36" s="23"/>
      <c r="G36" s="31"/>
      <c r="H36" s="31"/>
      <c r="I36" s="31"/>
      <c r="J36" s="31"/>
      <c r="K36" s="23"/>
      <c r="L36" s="23"/>
      <c r="M36" s="18"/>
      <c r="N36">
        <v>29</v>
      </c>
      <c r="O36" s="32">
        <f t="shared" si="0"/>
        <v>34.958199999999891</v>
      </c>
      <c r="P36" s="32">
        <f t="shared" si="1"/>
        <v>35.821199999999891</v>
      </c>
      <c r="Q36" s="32">
        <f t="shared" si="2"/>
        <v>35.389799999999894</v>
      </c>
    </row>
    <row r="37" spans="1:17" ht="15.6">
      <c r="A37" s="33"/>
      <c r="B37" s="139">
        <f t="shared" si="6"/>
        <v>105.5356</v>
      </c>
      <c r="C37" s="139">
        <f>B38-0.0001</f>
        <v>107.0989</v>
      </c>
      <c r="D37" s="77"/>
      <c r="E37" s="78">
        <f t="shared" si="4"/>
        <v>57</v>
      </c>
      <c r="F37" s="23"/>
      <c r="G37" s="31"/>
      <c r="H37" s="31"/>
      <c r="I37" s="31"/>
      <c r="J37" s="31"/>
      <c r="K37" s="23"/>
      <c r="L37" s="23"/>
      <c r="M37" s="18"/>
      <c r="N37">
        <v>30</v>
      </c>
      <c r="O37" s="32">
        <f t="shared" si="0"/>
        <v>35.821299999999894</v>
      </c>
      <c r="P37" s="32">
        <f t="shared" si="1"/>
        <v>36.684299999999894</v>
      </c>
      <c r="Q37" s="32">
        <f t="shared" si="2"/>
        <v>36.252899999999897</v>
      </c>
    </row>
    <row r="38" spans="1:17" ht="16.2" thickBot="1">
      <c r="A38" s="35"/>
      <c r="B38" s="139">
        <f t="shared" si="6"/>
        <v>107.099</v>
      </c>
      <c r="C38" s="139">
        <f>B39-0.0001</f>
        <v>108.6623</v>
      </c>
      <c r="D38" s="79"/>
      <c r="E38" s="78">
        <f t="shared" si="4"/>
        <v>58</v>
      </c>
      <c r="F38" s="36"/>
      <c r="G38" s="1"/>
      <c r="H38" s="23"/>
      <c r="I38" s="23"/>
      <c r="J38" s="23"/>
      <c r="K38" s="23"/>
      <c r="L38" s="23"/>
      <c r="M38" s="18"/>
      <c r="N38">
        <v>31</v>
      </c>
      <c r="O38" s="32">
        <f t="shared" si="0"/>
        <v>36.684399999999897</v>
      </c>
      <c r="P38" s="32">
        <f t="shared" si="1"/>
        <v>37.547399999999897</v>
      </c>
      <c r="Q38" s="32">
        <f t="shared" si="2"/>
        <v>37.1159999999999</v>
      </c>
    </row>
    <row r="39" spans="1:17" ht="15.6">
      <c r="A39" s="37"/>
      <c r="B39" s="139">
        <f t="shared" si="6"/>
        <v>108.66240000000001</v>
      </c>
      <c r="C39" s="139">
        <f t="shared" ref="C39:C49" si="7">B40-0.0001</f>
        <v>110.22579999999999</v>
      </c>
      <c r="D39" s="80"/>
      <c r="E39" s="78">
        <f t="shared" si="4"/>
        <v>59</v>
      </c>
      <c r="N39">
        <v>32</v>
      </c>
      <c r="O39" s="32">
        <f t="shared" si="0"/>
        <v>37.5474999999999</v>
      </c>
      <c r="P39" s="32">
        <f t="shared" si="1"/>
        <v>38.4104999999999</v>
      </c>
      <c r="Q39" s="32">
        <f t="shared" si="2"/>
        <v>37.979099999999903</v>
      </c>
    </row>
    <row r="40" spans="1:17" ht="15.6">
      <c r="A40" s="37"/>
      <c r="B40" s="141">
        <f t="shared" si="6"/>
        <v>110.2259</v>
      </c>
      <c r="C40" s="141">
        <f t="shared" si="7"/>
        <v>111.78919999999999</v>
      </c>
      <c r="D40" s="80"/>
      <c r="E40" s="109">
        <f t="shared" si="4"/>
        <v>60</v>
      </c>
      <c r="N40">
        <v>33</v>
      </c>
      <c r="O40" s="32">
        <f t="shared" si="0"/>
        <v>38.410599999999903</v>
      </c>
      <c r="P40" s="32">
        <f t="shared" si="1"/>
        <v>39.273599999999902</v>
      </c>
      <c r="Q40" s="32">
        <f t="shared" si="2"/>
        <v>38.842199999999906</v>
      </c>
    </row>
    <row r="41" spans="1:17" ht="15.6">
      <c r="A41" s="37"/>
      <c r="B41" s="139">
        <f t="shared" si="6"/>
        <v>111.7893</v>
      </c>
      <c r="C41" s="139">
        <f t="shared" si="7"/>
        <v>113.3526</v>
      </c>
      <c r="D41" s="80"/>
      <c r="E41" s="78">
        <f t="shared" si="4"/>
        <v>61</v>
      </c>
      <c r="N41">
        <v>34</v>
      </c>
      <c r="O41" s="32">
        <f t="shared" si="0"/>
        <v>39.273699999999906</v>
      </c>
      <c r="P41" s="32">
        <f t="shared" si="1"/>
        <v>40.136699999999905</v>
      </c>
      <c r="Q41" s="32">
        <f t="shared" si="2"/>
        <v>39.705299999999909</v>
      </c>
    </row>
    <row r="42" spans="1:17" ht="15.6">
      <c r="A42" s="37"/>
      <c r="B42" s="139">
        <f t="shared" si="6"/>
        <v>113.3527</v>
      </c>
      <c r="C42" s="139">
        <f t="shared" si="7"/>
        <v>114.916</v>
      </c>
      <c r="D42" s="80"/>
      <c r="E42" s="78">
        <f t="shared" si="4"/>
        <v>62</v>
      </c>
      <c r="N42">
        <v>35</v>
      </c>
      <c r="O42" s="32">
        <f t="shared" si="0"/>
        <v>40.136799999999909</v>
      </c>
      <c r="P42" s="32">
        <f t="shared" si="1"/>
        <v>40.999799999999908</v>
      </c>
      <c r="Q42" s="32">
        <f t="shared" si="2"/>
        <v>40.568399999999912</v>
      </c>
    </row>
    <row r="43" spans="1:17" ht="15.6">
      <c r="A43" s="37"/>
      <c r="B43" s="139">
        <f t="shared" si="6"/>
        <v>114.9161</v>
      </c>
      <c r="C43" s="139">
        <f t="shared" si="7"/>
        <v>116.4794</v>
      </c>
      <c r="D43" s="80"/>
      <c r="E43" s="78">
        <f t="shared" si="4"/>
        <v>63</v>
      </c>
      <c r="N43">
        <v>36</v>
      </c>
      <c r="O43" s="32">
        <f t="shared" si="0"/>
        <v>40.999899999999911</v>
      </c>
      <c r="P43" s="32">
        <f t="shared" si="1"/>
        <v>41.862899999999911</v>
      </c>
      <c r="Q43" s="32">
        <f t="shared" si="2"/>
        <v>41.431499999999915</v>
      </c>
    </row>
    <row r="44" spans="1:17" ht="15.6">
      <c r="A44" s="37"/>
      <c r="B44" s="139">
        <f t="shared" si="6"/>
        <v>116.4795</v>
      </c>
      <c r="C44" s="139">
        <f t="shared" si="7"/>
        <v>118.0429</v>
      </c>
      <c r="D44" s="80"/>
      <c r="E44" s="78">
        <f t="shared" si="4"/>
        <v>64</v>
      </c>
      <c r="N44">
        <v>37</v>
      </c>
      <c r="O44" s="32">
        <f t="shared" si="0"/>
        <v>41.862999999999914</v>
      </c>
      <c r="P44" s="32">
        <f t="shared" si="1"/>
        <v>42.725999999999914</v>
      </c>
      <c r="Q44" s="32">
        <f t="shared" si="2"/>
        <v>42.294599999999917</v>
      </c>
    </row>
    <row r="45" spans="1:17" ht="15.6">
      <c r="A45" s="37"/>
      <c r="B45" s="141">
        <f t="shared" si="6"/>
        <v>118.04300000000001</v>
      </c>
      <c r="C45" s="141">
        <f t="shared" si="7"/>
        <v>119.60629999999999</v>
      </c>
      <c r="D45" s="80"/>
      <c r="E45" s="109">
        <f t="shared" si="4"/>
        <v>65</v>
      </c>
      <c r="N45">
        <v>38</v>
      </c>
      <c r="O45" s="32">
        <f t="shared" si="0"/>
        <v>42.726099999999917</v>
      </c>
      <c r="P45" s="32">
        <f t="shared" si="1"/>
        <v>43.589099999999917</v>
      </c>
      <c r="Q45" s="32">
        <f t="shared" si="2"/>
        <v>43.15769999999992</v>
      </c>
    </row>
    <row r="46" spans="1:17" ht="15.6">
      <c r="A46" s="37"/>
      <c r="B46" s="139">
        <f t="shared" si="6"/>
        <v>119.60639999999999</v>
      </c>
      <c r="C46" s="139">
        <f t="shared" si="7"/>
        <v>121.16969999999999</v>
      </c>
      <c r="D46" s="80"/>
      <c r="E46" s="78">
        <f t="shared" si="4"/>
        <v>66</v>
      </c>
      <c r="N46">
        <v>39</v>
      </c>
      <c r="O46" s="32">
        <f t="shared" si="0"/>
        <v>43.58919999999992</v>
      </c>
      <c r="P46" s="32">
        <f t="shared" si="1"/>
        <v>44.45219999999992</v>
      </c>
      <c r="Q46" s="32">
        <f t="shared" si="2"/>
        <v>44.020799999999923</v>
      </c>
    </row>
    <row r="47" spans="1:17" ht="15.6">
      <c r="A47" s="37"/>
      <c r="B47" s="139">
        <f t="shared" si="6"/>
        <v>121.1698</v>
      </c>
      <c r="C47" s="139">
        <f t="shared" si="7"/>
        <v>122.73309999999999</v>
      </c>
      <c r="D47" s="80"/>
      <c r="E47" s="78">
        <f t="shared" si="4"/>
        <v>67</v>
      </c>
      <c r="N47">
        <v>40</v>
      </c>
      <c r="O47" s="32">
        <f t="shared" si="0"/>
        <v>44.452299999999923</v>
      </c>
      <c r="P47" s="32">
        <f t="shared" si="1"/>
        <v>45.315299999999922</v>
      </c>
      <c r="Q47" s="32">
        <f t="shared" si="2"/>
        <v>44.883899999999926</v>
      </c>
    </row>
    <row r="48" spans="1:17" ht="15.6">
      <c r="A48" s="37"/>
      <c r="B48" s="139">
        <f t="shared" si="6"/>
        <v>122.7332</v>
      </c>
      <c r="C48" s="139">
        <f t="shared" si="7"/>
        <v>124.29649999999999</v>
      </c>
      <c r="D48" s="80"/>
      <c r="E48" s="78">
        <f t="shared" si="4"/>
        <v>68</v>
      </c>
      <c r="N48">
        <v>41</v>
      </c>
      <c r="O48" s="32">
        <f t="shared" si="0"/>
        <v>45.315399999999926</v>
      </c>
      <c r="P48" s="32">
        <f t="shared" si="1"/>
        <v>46.178399999999925</v>
      </c>
      <c r="Q48" s="32">
        <f t="shared" si="2"/>
        <v>45.746999999999929</v>
      </c>
    </row>
    <row r="49" spans="1:17" ht="15.6">
      <c r="A49" s="37"/>
      <c r="B49" s="139">
        <f t="shared" si="6"/>
        <v>124.2966</v>
      </c>
      <c r="C49" s="139">
        <f t="shared" si="7"/>
        <v>125.86</v>
      </c>
      <c r="D49" s="80"/>
      <c r="E49" s="81">
        <f t="shared" si="4"/>
        <v>69</v>
      </c>
      <c r="N49">
        <v>42</v>
      </c>
      <c r="O49" s="32">
        <f t="shared" si="0"/>
        <v>46.178499999999929</v>
      </c>
      <c r="P49" s="32">
        <f t="shared" si="1"/>
        <v>47.041499999999928</v>
      </c>
      <c r="Q49" s="32">
        <f t="shared" si="2"/>
        <v>46.610099999999932</v>
      </c>
    </row>
    <row r="50" spans="1:17" ht="15.6">
      <c r="A50" s="37"/>
      <c r="B50" s="141">
        <f t="shared" si="6"/>
        <v>125.8601</v>
      </c>
      <c r="C50" s="141">
        <f t="shared" ref="C50:C78" si="8">B51-0.0001</f>
        <v>126.1054</v>
      </c>
      <c r="D50" s="80"/>
      <c r="E50" s="109">
        <f t="shared" ref="E50:E79" si="9">E49+1</f>
        <v>70</v>
      </c>
      <c r="N50">
        <v>43</v>
      </c>
      <c r="O50" s="32">
        <f>O51-0.8631</f>
        <v>47.041599999999931</v>
      </c>
      <c r="P50" s="32">
        <f>O51-0.0001</f>
        <v>47.904599999999931</v>
      </c>
      <c r="Q50" s="32">
        <f t="shared" si="2"/>
        <v>47.473199999999935</v>
      </c>
    </row>
    <row r="51" spans="1:17" ht="15.6">
      <c r="A51" s="37"/>
      <c r="B51" s="139">
        <f t="shared" si="6"/>
        <v>126.10550000000001</v>
      </c>
      <c r="C51" s="139">
        <f t="shared" si="8"/>
        <v>127.6815</v>
      </c>
      <c r="D51" s="80"/>
      <c r="E51" s="81">
        <f t="shared" si="9"/>
        <v>71</v>
      </c>
      <c r="N51">
        <v>44</v>
      </c>
      <c r="O51" s="32">
        <f t="shared" si="0"/>
        <v>47.904699999999934</v>
      </c>
      <c r="P51" s="32">
        <f t="shared" si="1"/>
        <v>48.767699999999934</v>
      </c>
      <c r="Q51" s="32">
        <f t="shared" si="2"/>
        <v>48.336299999999937</v>
      </c>
    </row>
    <row r="52" spans="1:17" ht="15.6">
      <c r="A52" s="37"/>
      <c r="B52" s="139">
        <f t="shared" si="6"/>
        <v>127.6816</v>
      </c>
      <c r="C52" s="139">
        <f t="shared" si="8"/>
        <v>128.67179999999999</v>
      </c>
      <c r="D52" s="80"/>
      <c r="E52" s="78">
        <f t="shared" si="9"/>
        <v>72</v>
      </c>
      <c r="N52">
        <v>45</v>
      </c>
      <c r="O52" s="32">
        <f t="shared" si="0"/>
        <v>48.767799999999937</v>
      </c>
      <c r="P52" s="32">
        <f t="shared" si="1"/>
        <v>49.630799999999937</v>
      </c>
      <c r="Q52" s="32">
        <f t="shared" si="2"/>
        <v>49.19939999999994</v>
      </c>
    </row>
    <row r="53" spans="1:17">
      <c r="B53" s="139">
        <f t="shared" si="6"/>
        <v>128.67189999999999</v>
      </c>
      <c r="C53" s="139">
        <f t="shared" si="8"/>
        <v>130.23519999999999</v>
      </c>
      <c r="E53" s="81">
        <f t="shared" si="9"/>
        <v>73</v>
      </c>
      <c r="N53">
        <v>46</v>
      </c>
      <c r="O53" s="32">
        <f t="shared" si="0"/>
        <v>49.63089999999994</v>
      </c>
      <c r="P53" s="32">
        <f t="shared" si="1"/>
        <v>50.49389999999994</v>
      </c>
      <c r="Q53" s="32">
        <f t="shared" si="2"/>
        <v>50.062499999999943</v>
      </c>
    </row>
    <row r="54" spans="1:17">
      <c r="B54" s="139">
        <f t="shared" si="6"/>
        <v>130.2353</v>
      </c>
      <c r="C54" s="139">
        <f t="shared" si="8"/>
        <v>131.8631</v>
      </c>
      <c r="E54" s="78">
        <f t="shared" si="9"/>
        <v>74</v>
      </c>
      <c r="N54">
        <v>47</v>
      </c>
      <c r="O54" s="32">
        <f t="shared" si="0"/>
        <v>50.493999999999943</v>
      </c>
      <c r="P54" s="32">
        <f t="shared" si="1"/>
        <v>51.356999999999942</v>
      </c>
      <c r="Q54" s="32">
        <f t="shared" si="2"/>
        <v>50.925599999999946</v>
      </c>
    </row>
    <row r="55" spans="1:17">
      <c r="B55" s="140">
        <f t="shared" si="6"/>
        <v>131.86320000000001</v>
      </c>
      <c r="C55" s="140">
        <f t="shared" si="8"/>
        <v>132.91810000000001</v>
      </c>
      <c r="E55" s="109">
        <f t="shared" si="9"/>
        <v>75</v>
      </c>
      <c r="N55">
        <v>48</v>
      </c>
      <c r="O55" s="32">
        <f t="shared" si="0"/>
        <v>51.357099999999946</v>
      </c>
      <c r="P55" s="32">
        <f t="shared" si="1"/>
        <v>52.220099999999945</v>
      </c>
      <c r="Q55" s="32">
        <f t="shared" si="2"/>
        <v>51.788699999999949</v>
      </c>
    </row>
    <row r="56" spans="1:17">
      <c r="B56" s="139">
        <f>ROUND((O83*$K$1),4)</f>
        <v>132.91820000000001</v>
      </c>
      <c r="C56" s="139">
        <f t="shared" si="8"/>
        <v>134.3802</v>
      </c>
      <c r="E56" s="78">
        <f t="shared" si="9"/>
        <v>76</v>
      </c>
      <c r="N56">
        <v>49</v>
      </c>
      <c r="O56" s="32">
        <f t="shared" si="0"/>
        <v>52.220199999999949</v>
      </c>
      <c r="P56" s="32">
        <f t="shared" si="1"/>
        <v>53.083199999999948</v>
      </c>
      <c r="Q56" s="32">
        <f t="shared" si="2"/>
        <v>52.651799999999952</v>
      </c>
    </row>
    <row r="57" spans="1:17">
      <c r="B57" s="139">
        <f>ROUND((O84*$K$1),4)</f>
        <v>134.38030000000001</v>
      </c>
      <c r="C57" s="139">
        <f t="shared" si="8"/>
        <v>135.85849999999999</v>
      </c>
      <c r="E57" s="78">
        <f t="shared" si="9"/>
        <v>77</v>
      </c>
      <c r="N57">
        <v>50</v>
      </c>
      <c r="O57" s="32">
        <f t="shared" si="0"/>
        <v>53.083299999999952</v>
      </c>
      <c r="P57" s="32">
        <f t="shared" si="1"/>
        <v>53.946299999999951</v>
      </c>
      <c r="Q57" s="32">
        <f t="shared" si="2"/>
        <v>53.514899999999955</v>
      </c>
    </row>
    <row r="58" spans="1:17">
      <c r="B58" s="139">
        <f>ROUND((O85*$K$1),4)</f>
        <v>135.8586</v>
      </c>
      <c r="C58" s="139">
        <f t="shared" si="8"/>
        <v>137.35290000000001</v>
      </c>
      <c r="E58" s="78">
        <f t="shared" si="9"/>
        <v>78</v>
      </c>
      <c r="N58">
        <v>51</v>
      </c>
      <c r="O58" s="32">
        <f t="shared" si="0"/>
        <v>53.946399999999954</v>
      </c>
      <c r="P58" s="32">
        <f t="shared" si="1"/>
        <v>54.809399999999954</v>
      </c>
      <c r="Q58" s="32">
        <f t="shared" si="2"/>
        <v>54.377999999999957</v>
      </c>
    </row>
    <row r="59" spans="1:17">
      <c r="B59" s="139">
        <f>ROUND((O86*$K$1),4)</f>
        <v>137.35300000000001</v>
      </c>
      <c r="C59" s="139">
        <f t="shared" si="8"/>
        <v>138.9162</v>
      </c>
      <c r="E59" s="78">
        <f t="shared" si="9"/>
        <v>79</v>
      </c>
      <c r="N59">
        <v>52</v>
      </c>
      <c r="O59" s="32">
        <f t="shared" si="0"/>
        <v>54.809499999999957</v>
      </c>
      <c r="P59" s="32">
        <f t="shared" si="1"/>
        <v>55.672499999999957</v>
      </c>
      <c r="Q59" s="32">
        <f t="shared" si="2"/>
        <v>55.24109999999996</v>
      </c>
    </row>
    <row r="60" spans="1:17">
      <c r="B60" s="140">
        <f t="shared" ref="B60:B79" si="10">ROUND((O87*$K$1),4)</f>
        <v>138.91630000000001</v>
      </c>
      <c r="C60" s="140">
        <f t="shared" si="8"/>
        <v>140.4794</v>
      </c>
      <c r="E60" s="109">
        <f t="shared" si="9"/>
        <v>80</v>
      </c>
      <c r="N60">
        <v>53</v>
      </c>
      <c r="O60" s="32">
        <f>O61-0.8631</f>
        <v>55.67259999999996</v>
      </c>
      <c r="P60" s="32">
        <f t="shared" si="1"/>
        <v>56.53559999999996</v>
      </c>
      <c r="Q60" s="32">
        <f t="shared" si="2"/>
        <v>56.104199999999963</v>
      </c>
    </row>
    <row r="61" spans="1:17">
      <c r="B61" s="139">
        <f t="shared" si="10"/>
        <v>140.4795</v>
      </c>
      <c r="C61" s="139">
        <f t="shared" si="8"/>
        <v>142.04259999999999</v>
      </c>
      <c r="E61" s="78">
        <f t="shared" si="9"/>
        <v>81</v>
      </c>
      <c r="N61">
        <v>54</v>
      </c>
      <c r="O61" s="32">
        <f>O63-0.8631</f>
        <v>56.535699999999963</v>
      </c>
      <c r="P61" s="32">
        <f t="shared" si="1"/>
        <v>56.967199999999998</v>
      </c>
      <c r="Q61" s="32">
        <f>O61</f>
        <v>56.535699999999963</v>
      </c>
    </row>
    <row r="62" spans="1:17">
      <c r="B62" s="139">
        <f t="shared" si="10"/>
        <v>142.0427</v>
      </c>
      <c r="C62" s="139">
        <f t="shared" si="8"/>
        <v>143.60589999999999</v>
      </c>
      <c r="E62" s="78">
        <f t="shared" si="9"/>
        <v>82</v>
      </c>
      <c r="N62">
        <v>55</v>
      </c>
      <c r="O62" s="32">
        <f>ROUND((O63-0.43155),4)</f>
        <v>56.967300000000002</v>
      </c>
      <c r="P62" s="32">
        <f t="shared" si="1"/>
        <v>57.398699999999963</v>
      </c>
      <c r="Q62" s="32">
        <f>O62</f>
        <v>56.967300000000002</v>
      </c>
    </row>
    <row r="63" spans="1:17">
      <c r="B63" s="139">
        <f t="shared" si="10"/>
        <v>143.60599999999999</v>
      </c>
      <c r="C63" s="139">
        <f t="shared" si="8"/>
        <v>145.16909999999999</v>
      </c>
      <c r="E63" s="78">
        <f t="shared" si="9"/>
        <v>83</v>
      </c>
      <c r="N63">
        <v>56</v>
      </c>
      <c r="O63" s="32">
        <f>O64-0.8631</f>
        <v>57.398799999999966</v>
      </c>
      <c r="P63" s="32">
        <f t="shared" si="1"/>
        <v>58.261799999999965</v>
      </c>
      <c r="Q63" s="32">
        <f>O63+0.4316</f>
        <v>57.830399999999969</v>
      </c>
    </row>
    <row r="64" spans="1:17">
      <c r="B64" s="139">
        <f t="shared" si="10"/>
        <v>145.16919999999999</v>
      </c>
      <c r="C64" s="139">
        <f t="shared" si="8"/>
        <v>146.73239999999998</v>
      </c>
      <c r="E64" s="78">
        <f t="shared" si="9"/>
        <v>84</v>
      </c>
      <c r="N64">
        <v>57</v>
      </c>
      <c r="O64" s="32">
        <f>O65-0.8631</f>
        <v>58.261899999999969</v>
      </c>
      <c r="P64" s="32">
        <f t="shared" si="1"/>
        <v>59.124899999999968</v>
      </c>
      <c r="Q64" s="32">
        <f>O64+0.4316</f>
        <v>58.693499999999972</v>
      </c>
    </row>
    <row r="65" spans="2:17">
      <c r="B65" s="140">
        <f t="shared" si="10"/>
        <v>146.73249999999999</v>
      </c>
      <c r="C65" s="140">
        <f t="shared" si="8"/>
        <v>148.29560000000001</v>
      </c>
      <c r="E65" s="109">
        <f t="shared" si="9"/>
        <v>85</v>
      </c>
      <c r="N65">
        <v>58</v>
      </c>
      <c r="O65" s="32">
        <f>O66-0.8631</f>
        <v>59.124999999999972</v>
      </c>
      <c r="P65" s="32">
        <f t="shared" si="1"/>
        <v>59.987999999999971</v>
      </c>
      <c r="Q65" s="32">
        <f>O65+0.4316</f>
        <v>59.556599999999975</v>
      </c>
    </row>
    <row r="66" spans="2:17">
      <c r="B66" s="139">
        <f t="shared" si="10"/>
        <v>148.29570000000001</v>
      </c>
      <c r="C66" s="139">
        <f t="shared" si="8"/>
        <v>149.8588</v>
      </c>
      <c r="E66" s="78">
        <f t="shared" si="9"/>
        <v>86</v>
      </c>
      <c r="N66">
        <v>59</v>
      </c>
      <c r="O66" s="32">
        <f>O67-0.8631</f>
        <v>59.988099999999974</v>
      </c>
      <c r="P66" s="32">
        <f t="shared" si="1"/>
        <v>60.851099999999974</v>
      </c>
      <c r="Q66" s="32">
        <v>60.633400000000002</v>
      </c>
    </row>
    <row r="67" spans="2:17">
      <c r="B67" s="139">
        <f t="shared" si="10"/>
        <v>149.85890000000001</v>
      </c>
      <c r="C67" s="139">
        <f t="shared" si="8"/>
        <v>151.4221</v>
      </c>
      <c r="E67" s="78">
        <f t="shared" si="9"/>
        <v>87</v>
      </c>
      <c r="N67">
        <v>60</v>
      </c>
      <c r="O67" s="32">
        <f>O68-0.8631</f>
        <v>60.851199999999977</v>
      </c>
      <c r="P67" s="32">
        <f t="shared" si="1"/>
        <v>61.714199999999977</v>
      </c>
      <c r="Q67" s="32">
        <v>61.391300000000001</v>
      </c>
    </row>
    <row r="68" spans="2:17">
      <c r="B68" s="139">
        <f t="shared" si="10"/>
        <v>151.4222</v>
      </c>
      <c r="C68" s="139">
        <f t="shared" si="8"/>
        <v>152.9853</v>
      </c>
      <c r="E68" s="78">
        <f t="shared" si="9"/>
        <v>88</v>
      </c>
      <c r="N68">
        <v>61</v>
      </c>
      <c r="O68" s="32">
        <f t="shared" ref="O68:O75" si="11">O69-0.8631</f>
        <v>61.71429999999998</v>
      </c>
      <c r="P68" s="32">
        <f t="shared" si="1"/>
        <v>62.57729999999998</v>
      </c>
      <c r="Q68" s="32">
        <f>O68+0.4316</f>
        <v>62.145899999999983</v>
      </c>
    </row>
    <row r="69" spans="2:17">
      <c r="B69" s="139">
        <f t="shared" si="10"/>
        <v>152.9854</v>
      </c>
      <c r="C69" s="139">
        <f t="shared" si="8"/>
        <v>154.54849999999999</v>
      </c>
      <c r="E69" s="78">
        <f t="shared" si="9"/>
        <v>89</v>
      </c>
      <c r="N69">
        <v>62</v>
      </c>
      <c r="O69" s="32">
        <f t="shared" si="11"/>
        <v>62.577399999999983</v>
      </c>
      <c r="P69" s="32">
        <f t="shared" si="1"/>
        <v>63.440399999999983</v>
      </c>
      <c r="Q69" s="32">
        <f>O69+0.4316</f>
        <v>63.008999999999986</v>
      </c>
    </row>
    <row r="70" spans="2:17">
      <c r="B70" s="140">
        <f t="shared" si="10"/>
        <v>154.54859999999999</v>
      </c>
      <c r="C70" s="140">
        <f t="shared" si="8"/>
        <v>156.11179999999999</v>
      </c>
      <c r="E70" s="109">
        <f t="shared" si="9"/>
        <v>90</v>
      </c>
      <c r="N70">
        <v>63</v>
      </c>
      <c r="O70" s="32">
        <f t="shared" si="11"/>
        <v>63.440499999999986</v>
      </c>
      <c r="P70" s="32">
        <f t="shared" si="1"/>
        <v>64.303499999999985</v>
      </c>
      <c r="Q70" s="32">
        <f>O70+0.4316</f>
        <v>63.872099999999989</v>
      </c>
    </row>
    <row r="71" spans="2:17">
      <c r="B71" s="139">
        <f t="shared" si="10"/>
        <v>156.11189999999999</v>
      </c>
      <c r="C71" s="139">
        <f t="shared" si="8"/>
        <v>157.67499999999998</v>
      </c>
      <c r="E71" s="78">
        <f t="shared" si="9"/>
        <v>91</v>
      </c>
      <c r="N71">
        <v>64</v>
      </c>
      <c r="O71" s="32">
        <f t="shared" si="11"/>
        <v>64.303599999999989</v>
      </c>
      <c r="P71" s="32">
        <f t="shared" si="1"/>
        <v>65.166599999999988</v>
      </c>
      <c r="Q71" s="32">
        <v>64.884799999999998</v>
      </c>
    </row>
    <row r="72" spans="2:17">
      <c r="B72" s="139">
        <f t="shared" si="10"/>
        <v>157.67509999999999</v>
      </c>
      <c r="C72" s="139">
        <f t="shared" si="8"/>
        <v>159.23830000000001</v>
      </c>
      <c r="E72" s="78">
        <f t="shared" si="9"/>
        <v>92</v>
      </c>
      <c r="N72">
        <v>65</v>
      </c>
      <c r="O72" s="32">
        <f t="shared" si="11"/>
        <v>65.166699999999992</v>
      </c>
      <c r="P72" s="32">
        <f t="shared" ref="P72:P78" si="12">O73-0.0001</f>
        <v>66.029699999999991</v>
      </c>
      <c r="Q72" s="32">
        <v>65.695899999999995</v>
      </c>
    </row>
    <row r="73" spans="2:17">
      <c r="B73" s="139">
        <f t="shared" si="10"/>
        <v>159.23840000000001</v>
      </c>
      <c r="C73" s="139">
        <f t="shared" si="8"/>
        <v>160.8015</v>
      </c>
      <c r="E73" s="78">
        <f t="shared" si="9"/>
        <v>93</v>
      </c>
      <c r="N73">
        <v>66</v>
      </c>
      <c r="O73" s="32">
        <f t="shared" si="11"/>
        <v>66.029799999999994</v>
      </c>
      <c r="P73" s="32">
        <f t="shared" si="12"/>
        <v>66.892799999999994</v>
      </c>
      <c r="Q73" s="32">
        <f>O73+0.4316</f>
        <v>66.461399999999998</v>
      </c>
    </row>
    <row r="74" spans="2:17">
      <c r="B74" s="139">
        <f t="shared" si="10"/>
        <v>160.80160000000001</v>
      </c>
      <c r="C74" s="139">
        <f t="shared" si="8"/>
        <v>162.3647</v>
      </c>
      <c r="E74" s="78">
        <f t="shared" si="9"/>
        <v>94</v>
      </c>
      <c r="N74">
        <v>67</v>
      </c>
      <c r="O74" s="32">
        <f t="shared" si="11"/>
        <v>66.892899999999997</v>
      </c>
      <c r="P74" s="32">
        <f t="shared" si="12"/>
        <v>67.755899999999997</v>
      </c>
      <c r="Q74" s="32">
        <f>O74+0.4316</f>
        <v>67.3245</v>
      </c>
    </row>
    <row r="75" spans="2:17">
      <c r="B75" s="140">
        <f t="shared" si="10"/>
        <v>162.3648</v>
      </c>
      <c r="C75" s="140">
        <f t="shared" si="8"/>
        <v>163.928</v>
      </c>
      <c r="E75" s="109">
        <f t="shared" si="9"/>
        <v>95</v>
      </c>
      <c r="N75">
        <v>68</v>
      </c>
      <c r="O75" s="32">
        <f t="shared" si="11"/>
        <v>67.756</v>
      </c>
      <c r="P75" s="32">
        <f t="shared" si="12"/>
        <v>68.619</v>
      </c>
      <c r="Q75" s="32">
        <f>O75+0.4316</f>
        <v>68.187600000000003</v>
      </c>
    </row>
    <row r="76" spans="2:17">
      <c r="B76" s="139">
        <f t="shared" si="10"/>
        <v>163.9281</v>
      </c>
      <c r="C76" s="139">
        <f t="shared" si="8"/>
        <v>165.49119999999999</v>
      </c>
      <c r="E76" s="78">
        <f t="shared" si="9"/>
        <v>96</v>
      </c>
      <c r="N76">
        <v>69</v>
      </c>
      <c r="O76" s="32">
        <f>O77-0.8631</f>
        <v>68.619100000000003</v>
      </c>
      <c r="P76" s="32">
        <f t="shared" si="12"/>
        <v>69.482100000000003</v>
      </c>
      <c r="Q76" s="32">
        <f>O76+0.4316</f>
        <v>69.050700000000006</v>
      </c>
    </row>
    <row r="77" spans="2:17">
      <c r="B77" s="139">
        <f t="shared" si="10"/>
        <v>165.4913</v>
      </c>
      <c r="C77" s="139">
        <f t="shared" si="8"/>
        <v>167.05449999999999</v>
      </c>
      <c r="E77" s="78">
        <f t="shared" si="9"/>
        <v>97</v>
      </c>
      <c r="N77">
        <v>70</v>
      </c>
      <c r="O77" s="32">
        <f>O78-0.1355</f>
        <v>69.482200000000006</v>
      </c>
      <c r="P77" s="32">
        <f t="shared" si="12"/>
        <v>69.617599999999996</v>
      </c>
      <c r="Q77" s="32">
        <v>69.617599999999996</v>
      </c>
    </row>
    <row r="78" spans="2:17">
      <c r="B78" s="139">
        <f t="shared" si="10"/>
        <v>167.05459999999999</v>
      </c>
      <c r="C78" s="139">
        <f t="shared" si="8"/>
        <v>167.36529999999999</v>
      </c>
      <c r="E78" s="78">
        <f t="shared" si="9"/>
        <v>98</v>
      </c>
      <c r="N78">
        <v>71</v>
      </c>
      <c r="O78">
        <v>69.617699999999999</v>
      </c>
      <c r="P78" s="32">
        <f t="shared" si="12"/>
        <v>70.48769999999999</v>
      </c>
      <c r="Q78" s="32">
        <v>70.052800000000005</v>
      </c>
    </row>
    <row r="79" spans="2:17">
      <c r="B79" s="139">
        <f t="shared" si="10"/>
        <v>167.36539999999999</v>
      </c>
      <c r="C79" s="139"/>
      <c r="E79" s="78">
        <f t="shared" si="9"/>
        <v>99</v>
      </c>
      <c r="N79">
        <v>72</v>
      </c>
      <c r="O79">
        <v>70.487799999999993</v>
      </c>
      <c r="P79">
        <v>71.034400000000005</v>
      </c>
      <c r="Q79">
        <v>70.487799999999993</v>
      </c>
    </row>
    <row r="80" spans="2:17">
      <c r="N80">
        <v>73</v>
      </c>
      <c r="O80">
        <v>71.034499999999994</v>
      </c>
      <c r="P80">
        <v>71.897499999999994</v>
      </c>
      <c r="Q80" s="32">
        <v>71.465999999999994</v>
      </c>
    </row>
    <row r="81" spans="14:17">
      <c r="N81">
        <v>74</v>
      </c>
      <c r="O81">
        <v>71.897599999999997</v>
      </c>
      <c r="P81">
        <v>72.796199999999999</v>
      </c>
      <c r="Q81" s="32">
        <v>71.897599999999997</v>
      </c>
    </row>
    <row r="82" spans="14:17">
      <c r="N82">
        <v>75</v>
      </c>
      <c r="O82">
        <v>72.796300000000002</v>
      </c>
      <c r="P82">
        <v>73.378600000000006</v>
      </c>
      <c r="Q82" s="32">
        <v>72.796300000000002</v>
      </c>
    </row>
    <row r="83" spans="14:17">
      <c r="N83">
        <v>76</v>
      </c>
      <c r="O83">
        <v>73.378699999999995</v>
      </c>
      <c r="P83">
        <v>74.1858</v>
      </c>
      <c r="Q83" s="32">
        <v>73.378699999999995</v>
      </c>
    </row>
    <row r="84" spans="14:17">
      <c r="N84">
        <v>77</v>
      </c>
      <c r="O84">
        <v>74.185900000000004</v>
      </c>
      <c r="P84">
        <v>75.001900000000006</v>
      </c>
      <c r="Q84" s="32">
        <v>74.185900000000004</v>
      </c>
    </row>
    <row r="85" spans="14:17">
      <c r="N85">
        <v>78</v>
      </c>
      <c r="O85" s="32">
        <v>75.001999999999995</v>
      </c>
      <c r="P85">
        <v>75.826899999999995</v>
      </c>
      <c r="Q85" s="32">
        <v>75.001999999999995</v>
      </c>
    </row>
    <row r="86" spans="14:17">
      <c r="N86">
        <v>79</v>
      </c>
      <c r="O86" s="32">
        <v>75.826999999999998</v>
      </c>
      <c r="P86">
        <v>76.689899999999994</v>
      </c>
      <c r="Q86" s="32">
        <v>75.826999999999998</v>
      </c>
    </row>
    <row r="87" spans="14:17">
      <c r="N87">
        <v>80</v>
      </c>
      <c r="O87" s="32">
        <v>76.69</v>
      </c>
      <c r="P87" s="32">
        <v>77.552899999999994</v>
      </c>
      <c r="Q87" s="32">
        <v>76.69</v>
      </c>
    </row>
    <row r="88" spans="14:17">
      <c r="N88">
        <v>81</v>
      </c>
      <c r="O88" s="32">
        <v>77.552999999999997</v>
      </c>
      <c r="P88" s="32">
        <v>78.415899999999993</v>
      </c>
      <c r="Q88" s="32">
        <v>77.552999999999997</v>
      </c>
    </row>
    <row r="89" spans="14:17">
      <c r="N89">
        <v>82</v>
      </c>
      <c r="O89" s="32">
        <v>78.415999999999997</v>
      </c>
      <c r="P89" s="32">
        <v>79.278899999999993</v>
      </c>
      <c r="Q89" s="32">
        <v>78.415999999999997</v>
      </c>
    </row>
    <row r="90" spans="14:17">
      <c r="N90">
        <v>83</v>
      </c>
      <c r="O90" s="32">
        <v>79.278999999999996</v>
      </c>
      <c r="P90" s="32">
        <v>80.141900000000007</v>
      </c>
      <c r="Q90" s="32">
        <v>79.278999999999996</v>
      </c>
    </row>
    <row r="91" spans="14:17">
      <c r="N91">
        <v>84</v>
      </c>
      <c r="O91" s="32">
        <v>80.141999999999996</v>
      </c>
      <c r="P91" s="32">
        <v>81.004900000000006</v>
      </c>
      <c r="Q91" s="32">
        <v>80.141999999999996</v>
      </c>
    </row>
    <row r="92" spans="14:17">
      <c r="N92">
        <v>85</v>
      </c>
      <c r="O92" s="32">
        <v>81.004999999999995</v>
      </c>
      <c r="P92" s="32">
        <v>81.867900000000006</v>
      </c>
      <c r="Q92" s="32">
        <v>81.004999999999995</v>
      </c>
    </row>
    <row r="93" spans="14:17">
      <c r="N93">
        <v>86</v>
      </c>
      <c r="O93" s="32">
        <v>81.867999999999995</v>
      </c>
      <c r="P93" s="32">
        <v>82.730900000000005</v>
      </c>
      <c r="Q93" s="32">
        <v>81.867999999999995</v>
      </c>
    </row>
    <row r="94" spans="14:17">
      <c r="N94">
        <v>87</v>
      </c>
      <c r="O94" s="32">
        <v>82.730999999999995</v>
      </c>
      <c r="P94" s="32">
        <v>83.593900000000005</v>
      </c>
      <c r="Q94" s="32">
        <v>82.730999999999995</v>
      </c>
    </row>
    <row r="95" spans="14:17">
      <c r="N95">
        <v>88</v>
      </c>
      <c r="O95" s="32">
        <v>83.593999999999994</v>
      </c>
      <c r="P95" s="32">
        <v>84.456900000000005</v>
      </c>
      <c r="Q95" s="32">
        <v>83.593999999999994</v>
      </c>
    </row>
    <row r="96" spans="14:17">
      <c r="N96">
        <v>89</v>
      </c>
      <c r="O96" s="32">
        <v>84.456999999999994</v>
      </c>
      <c r="P96" s="32">
        <v>85.319900000000004</v>
      </c>
      <c r="Q96" s="32">
        <v>84.456999999999994</v>
      </c>
    </row>
    <row r="97" spans="14:17">
      <c r="N97">
        <v>90</v>
      </c>
      <c r="O97" s="32">
        <v>85.32</v>
      </c>
      <c r="P97" s="32">
        <v>86.182900000000004</v>
      </c>
      <c r="Q97" s="32">
        <v>85.32</v>
      </c>
    </row>
    <row r="98" spans="14:17">
      <c r="N98">
        <v>91</v>
      </c>
      <c r="O98" s="32">
        <v>86.183000000000007</v>
      </c>
      <c r="P98" s="32">
        <v>87.045900000000003</v>
      </c>
      <c r="Q98" s="32">
        <v>86.183000000000007</v>
      </c>
    </row>
    <row r="99" spans="14:17">
      <c r="N99">
        <v>92</v>
      </c>
      <c r="O99" s="32">
        <v>87.046000000000006</v>
      </c>
      <c r="P99" s="32">
        <v>87.908900000000003</v>
      </c>
      <c r="Q99" s="32">
        <v>87.046000000000006</v>
      </c>
    </row>
    <row r="100" spans="14:17">
      <c r="N100">
        <v>93</v>
      </c>
      <c r="O100" s="32">
        <v>87.909000000000006</v>
      </c>
      <c r="P100" s="32">
        <v>88.771900000000002</v>
      </c>
      <c r="Q100" s="32">
        <v>87.909000000000006</v>
      </c>
    </row>
    <row r="101" spans="14:17">
      <c r="N101">
        <v>94</v>
      </c>
      <c r="O101" s="32">
        <v>88.772000000000006</v>
      </c>
      <c r="P101" s="32">
        <v>89.634900000000002</v>
      </c>
      <c r="Q101" s="32">
        <v>88.772000000000006</v>
      </c>
    </row>
    <row r="102" spans="14:17">
      <c r="N102">
        <v>95</v>
      </c>
      <c r="O102" s="32">
        <v>89.635000000000005</v>
      </c>
      <c r="P102" s="32">
        <v>90.497900000000001</v>
      </c>
      <c r="Q102" s="32">
        <v>89.635000000000005</v>
      </c>
    </row>
    <row r="103" spans="14:17">
      <c r="N103">
        <v>96</v>
      </c>
      <c r="O103" s="32">
        <v>90.498000000000005</v>
      </c>
      <c r="P103" s="32">
        <v>91.360900000000001</v>
      </c>
      <c r="Q103" s="32">
        <v>90.498000000000005</v>
      </c>
    </row>
    <row r="104" spans="14:17">
      <c r="N104">
        <v>97</v>
      </c>
      <c r="O104" s="32">
        <v>91.361000000000004</v>
      </c>
      <c r="P104" s="32">
        <v>92.2239</v>
      </c>
      <c r="Q104" s="32">
        <v>91.361000000000004</v>
      </c>
    </row>
    <row r="105" spans="14:17">
      <c r="N105">
        <v>98</v>
      </c>
      <c r="O105" s="32">
        <v>92.224000000000004</v>
      </c>
      <c r="P105" s="32">
        <v>92.395499999999998</v>
      </c>
      <c r="Q105" s="32">
        <v>92.224000000000004</v>
      </c>
    </row>
    <row r="106" spans="14:17">
      <c r="N106">
        <v>99</v>
      </c>
      <c r="O106" s="32">
        <v>92.395600000000002</v>
      </c>
      <c r="P106" s="32"/>
      <c r="Q106" s="32">
        <v>92.395600000000002</v>
      </c>
    </row>
  </sheetData>
  <sheetProtection algorithmName="SHA-512" hashValue="5FhNR/vpftNRwXSE5fXt/bA0Z4wkDB8pFn7gyOq4AKqJPLAgE2+2/v80H9rkX8Jz3BS5XICzgdaemvofQaio2w==" saltValue="1hpPZ9nep5CpHAcKnnDexQ==" spinCount="100000" sheet="1" objects="1" scenarios="1"/>
  <mergeCells count="10">
    <mergeCell ref="A1:B1"/>
    <mergeCell ref="A2:B2"/>
    <mergeCell ref="H1:J1"/>
    <mergeCell ref="B7:C7"/>
    <mergeCell ref="I7:J7"/>
    <mergeCell ref="G3:G4"/>
    <mergeCell ref="I3:I4"/>
    <mergeCell ref="C2:F2"/>
    <mergeCell ref="C1:F1"/>
    <mergeCell ref="B6:C6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&amp;LRijksdienst voor Arbeidsvoorziening&amp;ROffice national de l'Emploi</oddFooter>
  </headerFooter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8"/>
  <sheetViews>
    <sheetView showGridLines="0" zoomScaleNormal="100" workbookViewId="0">
      <pane xSplit="3" ySplit="7" topLeftCell="D8" activePane="bottomRight" state="frozen"/>
      <selection activeCell="A2" sqref="A2"/>
      <selection pane="topRight" activeCell="A2" sqref="A2"/>
      <selection pane="bottomLeft" activeCell="A2" sqref="A2"/>
      <selection pane="bottomRight" activeCell="A2" sqref="A2:B2"/>
    </sheetView>
  </sheetViews>
  <sheetFormatPr defaultColWidth="9.109375" defaultRowHeight="14.4"/>
  <cols>
    <col min="3" max="3" width="9.33203125" bestFit="1" customWidth="1"/>
    <col min="4" max="4" width="10.88671875" bestFit="1" customWidth="1"/>
    <col min="5" max="5" width="10" customWidth="1"/>
    <col min="6" max="6" width="10.88671875" bestFit="1" customWidth="1"/>
    <col min="7" max="7" width="10.5546875" bestFit="1" customWidth="1"/>
    <col min="8" max="14" width="10.88671875" bestFit="1" customWidth="1"/>
    <col min="15" max="15" width="0.6640625" customWidth="1"/>
    <col min="16" max="16" width="9.33203125" bestFit="1" customWidth="1"/>
    <col min="17" max="17" width="0.6640625" customWidth="1"/>
    <col min="18" max="22" width="10.88671875" bestFit="1" customWidth="1"/>
  </cols>
  <sheetData>
    <row r="1" spans="1:15" ht="15.6">
      <c r="A1" s="477" t="s">
        <v>5</v>
      </c>
      <c r="B1" s="478"/>
      <c r="C1" s="490" t="s">
        <v>22</v>
      </c>
      <c r="D1" s="491"/>
      <c r="E1" s="491"/>
      <c r="F1" s="491"/>
      <c r="G1" s="82"/>
      <c r="H1" s="82"/>
      <c r="I1" s="497" t="s">
        <v>6</v>
      </c>
      <c r="J1" s="497"/>
      <c r="K1" s="497"/>
      <c r="L1" s="335">
        <f>Basisbedragen!$I$2</f>
        <v>1.8113999999999999</v>
      </c>
    </row>
    <row r="2" spans="1:15" ht="15.75" customHeight="1">
      <c r="A2" s="495">
        <f>'Loonschijven_Tranches salariale'!A2:B2</f>
        <v>46266</v>
      </c>
      <c r="B2" s="496"/>
      <c r="C2" s="488" t="s">
        <v>20</v>
      </c>
      <c r="D2" s="489"/>
      <c r="E2" s="489"/>
      <c r="F2" s="489"/>
      <c r="G2" s="82"/>
      <c r="H2" s="82"/>
      <c r="I2" s="5"/>
      <c r="J2" s="14"/>
      <c r="K2" s="73"/>
      <c r="L2" s="83"/>
      <c r="M2" s="83"/>
      <c r="O2" s="84"/>
    </row>
    <row r="3" spans="1:15">
      <c r="A3" s="85"/>
      <c r="B3" s="85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O3" s="82"/>
    </row>
    <row r="4" spans="1:15" ht="15.6">
      <c r="A4" s="86"/>
      <c r="B4" s="87"/>
      <c r="C4" s="88"/>
      <c r="D4" s="89"/>
      <c r="E4" s="90"/>
      <c r="F4" s="91"/>
      <c r="G4" s="91"/>
      <c r="H4" s="91"/>
      <c r="I4" s="91"/>
      <c r="J4" s="91"/>
      <c r="K4" s="91"/>
      <c r="L4" s="91"/>
      <c r="M4" s="91"/>
      <c r="O4" s="91"/>
    </row>
    <row r="5" spans="1:15" ht="16.2" thickBot="1">
      <c r="A5" s="92"/>
      <c r="B5" s="93"/>
      <c r="C5" s="94"/>
      <c r="D5" s="95"/>
      <c r="E5" s="96"/>
      <c r="F5" s="95"/>
      <c r="G5" s="95"/>
      <c r="H5" s="95"/>
      <c r="I5" s="95"/>
      <c r="J5" s="95"/>
      <c r="K5" s="95"/>
      <c r="L5" s="95"/>
      <c r="M5" s="95"/>
      <c r="O5" s="95"/>
    </row>
    <row r="6" spans="1:15" ht="15" thickBot="1">
      <c r="A6" s="97"/>
      <c r="B6" s="98"/>
      <c r="C6" s="99"/>
      <c r="D6" s="492">
        <f>A2</f>
        <v>46266</v>
      </c>
      <c r="E6" s="493"/>
      <c r="F6" s="493"/>
      <c r="G6" s="493"/>
      <c r="H6" s="493"/>
      <c r="I6" s="493"/>
      <c r="J6" s="493"/>
      <c r="K6" s="493"/>
      <c r="L6" s="493"/>
      <c r="M6" s="493"/>
      <c r="N6" s="494"/>
    </row>
    <row r="7" spans="1:15" ht="35.4" thickBot="1">
      <c r="A7" s="100" t="s">
        <v>21</v>
      </c>
      <c r="B7" s="85"/>
      <c r="C7" s="106" t="s">
        <v>7</v>
      </c>
      <c r="D7" s="101">
        <v>40</v>
      </c>
      <c r="E7" s="102">
        <v>39.5</v>
      </c>
      <c r="F7" s="102">
        <v>39</v>
      </c>
      <c r="G7" s="102">
        <v>38.5</v>
      </c>
      <c r="H7" s="102">
        <v>38</v>
      </c>
      <c r="I7" s="102">
        <v>37.5</v>
      </c>
      <c r="J7" s="102">
        <v>37</v>
      </c>
      <c r="K7" s="102">
        <v>36.5</v>
      </c>
      <c r="L7" s="102">
        <v>36</v>
      </c>
      <c r="M7" s="103">
        <v>35.5</v>
      </c>
      <c r="N7" s="104">
        <v>35</v>
      </c>
    </row>
    <row r="8" spans="1:15">
      <c r="A8" s="105"/>
      <c r="B8" s="105"/>
      <c r="C8" s="193">
        <f>29</f>
        <v>29</v>
      </c>
      <c r="D8" s="134">
        <f>ROUND('Loonschijven_Tranches salariale'!$B9*6/D$7+0.000049,4)</f>
        <v>9.4984999999999999</v>
      </c>
      <c r="E8" s="134">
        <f>ROUND('Loonschijven_Tranches salariale'!$B9*6/E$7+0.000049,4)</f>
        <v>9.6188000000000002</v>
      </c>
      <c r="F8" s="134">
        <f>ROUND('Loonschijven_Tranches salariale'!$B9*6/F$7+0.000049,4)</f>
        <v>9.7421000000000006</v>
      </c>
      <c r="G8" s="134">
        <f>ROUND('Loonschijven_Tranches salariale'!$B9*6/G$7+0.000049,4)</f>
        <v>9.8686000000000007</v>
      </c>
      <c r="H8" s="134">
        <f>ROUND('Loonschijven_Tranches salariale'!$B9*6/H$7+0.000049,4)</f>
        <v>9.9984999999999999</v>
      </c>
      <c r="I8" s="134">
        <f>ROUND('Loonschijven_Tranches salariale'!$B9*6/I$7+0.000049,4)</f>
        <v>10.1318</v>
      </c>
      <c r="J8" s="134">
        <f>ROUND('Loonschijven_Tranches salariale'!$B9*6/J$7+0.000049,4)</f>
        <v>10.268700000000001</v>
      </c>
      <c r="K8" s="134">
        <f>ROUND('Loonschijven_Tranches salariale'!$B9*6/K$7+0.000049,4)</f>
        <v>10.4094</v>
      </c>
      <c r="L8" s="134">
        <f>ROUND('Loonschijven_Tranches salariale'!$B9*6/L$7+0.000049,4)</f>
        <v>10.553900000000001</v>
      </c>
      <c r="M8" s="134">
        <f>ROUND('Loonschijven_Tranches salariale'!$B9*6/M$7+0.000049,4)</f>
        <v>10.7026</v>
      </c>
      <c r="N8" s="135">
        <f>ROUND('Loonschijven_Tranches salariale'!$B9*6/N$7+0.000049,4)</f>
        <v>10.855499999999999</v>
      </c>
    </row>
    <row r="9" spans="1:15">
      <c r="A9" s="105"/>
      <c r="B9" s="105"/>
      <c r="C9" s="194">
        <f t="shared" ref="C9:C33" si="0">C8+1</f>
        <v>30</v>
      </c>
      <c r="D9" s="136">
        <f>ROUND('Loonschijven_Tranches salariale'!$B10*6/D$7+0.000049,4)</f>
        <v>9.7331000000000003</v>
      </c>
      <c r="E9" s="136">
        <f>ROUND('Loonschijven_Tranches salariale'!$B10*6/E$7+0.000049,4)</f>
        <v>9.8562999999999992</v>
      </c>
      <c r="F9" s="136">
        <f>ROUND('Loonschijven_Tranches salariale'!$B10*6/F$7+0.000049,4)</f>
        <v>9.9825999999999997</v>
      </c>
      <c r="G9" s="136">
        <f>ROUND('Loonschijven_Tranches salariale'!$B10*6/G$7+0.000049,4)</f>
        <v>10.112299999999999</v>
      </c>
      <c r="H9" s="136">
        <f>ROUND('Loonschijven_Tranches salariale'!$B10*6/H$7+0.000049,4)</f>
        <v>10.2453</v>
      </c>
      <c r="I9" s="136">
        <f>ROUND('Loonschijven_Tranches salariale'!$B10*6/I$7+0.000049,4)</f>
        <v>10.3819</v>
      </c>
      <c r="J9" s="136">
        <f>ROUND('Loonschijven_Tranches salariale'!$B10*6/J$7+0.000049,4)</f>
        <v>10.5222</v>
      </c>
      <c r="K9" s="136">
        <f>ROUND('Loonschijven_Tranches salariale'!$B10*6/K$7+0.000049,4)</f>
        <v>10.666399999999999</v>
      </c>
      <c r="L9" s="136">
        <f>ROUND('Loonschijven_Tranches salariale'!$B10*6/L$7+0.000049,4)</f>
        <v>10.814500000000001</v>
      </c>
      <c r="M9" s="136">
        <f>ROUND('Loonschijven_Tranches salariale'!$B10*6/M$7+0.000049,4)</f>
        <v>10.966799999999999</v>
      </c>
      <c r="N9" s="137">
        <f>ROUND('Loonschijven_Tranches salariale'!$B10*6/N$7+0.000049,4)</f>
        <v>11.1235</v>
      </c>
    </row>
    <row r="10" spans="1:15">
      <c r="A10" s="105"/>
      <c r="B10" s="105"/>
      <c r="C10" s="193">
        <f t="shared" si="0"/>
        <v>31</v>
      </c>
      <c r="D10" s="134">
        <f>ROUND('Loonschijven_Tranches salariale'!$B11*6/D$7+0.000049,4)</f>
        <v>9.9675999999999991</v>
      </c>
      <c r="E10" s="134">
        <f>ROUND('Loonschijven_Tranches salariale'!$B11*6/E$7+0.000049,4)</f>
        <v>10.0937</v>
      </c>
      <c r="F10" s="134">
        <f>ROUND('Loonschijven_Tranches salariale'!$B11*6/F$7+0.000049,4)</f>
        <v>10.223100000000001</v>
      </c>
      <c r="G10" s="134">
        <f>ROUND('Loonschijven_Tranches salariale'!$B11*6/G$7+0.000049,4)</f>
        <v>10.3559</v>
      </c>
      <c r="H10" s="134">
        <f>ROUND('Loonschijven_Tranches salariale'!$B11*6/H$7+0.000049,4)</f>
        <v>10.4922</v>
      </c>
      <c r="I10" s="134">
        <f>ROUND('Loonschijven_Tranches salariale'!$B11*6/I$7+0.000049,4)</f>
        <v>10.632099999999999</v>
      </c>
      <c r="J10" s="134">
        <f>ROUND('Loonschijven_Tranches salariale'!$B11*6/J$7+0.000049,4)</f>
        <v>10.775700000000001</v>
      </c>
      <c r="K10" s="134">
        <f>ROUND('Loonschijven_Tranches salariale'!$B11*6/K$7+0.000049,4)</f>
        <v>10.923400000000001</v>
      </c>
      <c r="L10" s="134">
        <f>ROUND('Loonschijven_Tranches salariale'!$B11*6/L$7+0.000049,4)</f>
        <v>11.075100000000001</v>
      </c>
      <c r="M10" s="134">
        <f>ROUND('Loonschijven_Tranches salariale'!$B11*6/M$7+0.000049,4)</f>
        <v>11.2311</v>
      </c>
      <c r="N10" s="138">
        <f>ROUND('Loonschijven_Tranches salariale'!$B11*6/N$7+0.000049,4)</f>
        <v>11.391500000000001</v>
      </c>
    </row>
    <row r="11" spans="1:15">
      <c r="A11" s="105"/>
      <c r="B11" s="105"/>
      <c r="C11" s="193">
        <f t="shared" si="0"/>
        <v>32</v>
      </c>
      <c r="D11" s="134">
        <f>ROUND('Loonschijven_Tranches salariale'!$B12*6/D$7+0.000049,4)</f>
        <v>10.2021</v>
      </c>
      <c r="E11" s="134">
        <f>ROUND('Loonschijven_Tranches salariale'!$B12*6/E$7+0.000049,4)</f>
        <v>10.331200000000001</v>
      </c>
      <c r="F11" s="134">
        <f>ROUND('Loonschijven_Tranches salariale'!$B12*6/F$7+0.000049,4)</f>
        <v>10.463699999999999</v>
      </c>
      <c r="G11" s="134">
        <f>ROUND('Loonschijven_Tranches salariale'!$B12*6/G$7+0.000049,4)</f>
        <v>10.599600000000001</v>
      </c>
      <c r="H11" s="134">
        <f>ROUND('Loonschijven_Tranches salariale'!$B12*6/H$7+0.000049,4)</f>
        <v>10.739000000000001</v>
      </c>
      <c r="I11" s="134">
        <f>ROUND('Loonschijven_Tranches salariale'!$B12*6/I$7+0.000049,4)</f>
        <v>10.882199999999999</v>
      </c>
      <c r="J11" s="134">
        <f>ROUND('Loonschijven_Tranches salariale'!$B12*6/J$7+0.000049,4)</f>
        <v>11.029299999999999</v>
      </c>
      <c r="K11" s="134">
        <f>ROUND('Loonschijven_Tranches salariale'!$B12*6/K$7+0.000049,4)</f>
        <v>11.180400000000001</v>
      </c>
      <c r="L11" s="134">
        <f>ROUND('Loonschijven_Tranches salariale'!$B12*6/L$7+0.000049,4)</f>
        <v>11.335599999999999</v>
      </c>
      <c r="M11" s="134">
        <f>ROUND('Loonschijven_Tranches salariale'!$B12*6/M$7+0.000049,4)</f>
        <v>11.4953</v>
      </c>
      <c r="N11" s="138">
        <f>ROUND('Loonschijven_Tranches salariale'!$B12*6/N$7+0.000049,4)</f>
        <v>11.6595</v>
      </c>
    </row>
    <row r="12" spans="1:15">
      <c r="A12" s="105"/>
      <c r="B12" s="105"/>
      <c r="C12" s="193">
        <f t="shared" si="0"/>
        <v>33</v>
      </c>
      <c r="D12" s="134">
        <f>ROUND('Loonschijven_Tranches salariale'!$B13*6/D$7+0.000049,4)</f>
        <v>10.4366</v>
      </c>
      <c r="E12" s="134">
        <f>ROUND('Loonschijven_Tranches salariale'!$B13*6/E$7+0.000049,4)</f>
        <v>10.5687</v>
      </c>
      <c r="F12" s="134">
        <f>ROUND('Loonschijven_Tranches salariale'!$B13*6/F$7+0.000049,4)</f>
        <v>10.7042</v>
      </c>
      <c r="G12" s="134">
        <f>ROUND('Loonschijven_Tranches salariale'!$B13*6/G$7+0.000049,4)</f>
        <v>10.8432</v>
      </c>
      <c r="H12" s="134">
        <f>ROUND('Loonschijven_Tranches salariale'!$B13*6/H$7+0.000049,4)</f>
        <v>10.985900000000001</v>
      </c>
      <c r="I12" s="134">
        <f>ROUND('Loonschijven_Tranches salariale'!$B13*6/I$7+0.000049,4)</f>
        <v>11.132400000000001</v>
      </c>
      <c r="J12" s="134">
        <f>ROUND('Loonschijven_Tranches salariale'!$B13*6/J$7+0.000049,4)</f>
        <v>11.2828</v>
      </c>
      <c r="K12" s="134">
        <f>ROUND('Loonschijven_Tranches salariale'!$B13*6/K$7+0.000049,4)</f>
        <v>11.4374</v>
      </c>
      <c r="L12" s="134">
        <f>ROUND('Loonschijven_Tranches salariale'!$B13*6/L$7+0.000049,4)</f>
        <v>11.5962</v>
      </c>
      <c r="M12" s="134">
        <f>ROUND('Loonschijven_Tranches salariale'!$B13*6/M$7+0.000049,4)</f>
        <v>11.759499999999999</v>
      </c>
      <c r="N12" s="138">
        <f>ROUND('Loonschijven_Tranches salariale'!$B13*6/N$7+0.000049,4)</f>
        <v>11.9275</v>
      </c>
    </row>
    <row r="13" spans="1:15">
      <c r="A13" s="105"/>
      <c r="B13" s="105"/>
      <c r="C13" s="193">
        <f t="shared" si="0"/>
        <v>34</v>
      </c>
      <c r="D13" s="134">
        <f>ROUND('Loonschijven_Tranches salariale'!$B14*6/D$7+0.000049,4)</f>
        <v>10.671099999999999</v>
      </c>
      <c r="E13" s="134">
        <f>ROUND('Loonschijven_Tranches salariale'!$B14*6/E$7+0.000049,4)</f>
        <v>10.8062</v>
      </c>
      <c r="F13" s="134">
        <f>ROUND('Loonschijven_Tranches salariale'!$B14*6/F$7+0.000049,4)</f>
        <v>10.944699999999999</v>
      </c>
      <c r="G13" s="134">
        <f>ROUND('Loonschijven_Tranches salariale'!$B14*6/G$7+0.000049,4)</f>
        <v>11.0869</v>
      </c>
      <c r="H13" s="134">
        <f>ROUND('Loonschijven_Tranches salariale'!$B14*6/H$7+0.000049,4)</f>
        <v>11.232699999999999</v>
      </c>
      <c r="I13" s="134">
        <f>ROUND('Loonschijven_Tranches salariale'!$B14*6/I$7+0.000049,4)</f>
        <v>11.3825</v>
      </c>
      <c r="J13" s="134">
        <f>ROUND('Loonschijven_Tranches salariale'!$B14*6/J$7+0.000049,4)</f>
        <v>11.536300000000001</v>
      </c>
      <c r="K13" s="134">
        <f>ROUND('Loonschijven_Tranches salariale'!$B14*6/K$7+0.000049,4)</f>
        <v>11.6944</v>
      </c>
      <c r="L13" s="134">
        <f>ROUND('Loonschijven_Tranches salariale'!$B14*6/L$7+0.000049,4)</f>
        <v>11.8568</v>
      </c>
      <c r="M13" s="134">
        <f>ROUND('Loonschijven_Tranches salariale'!$B14*6/M$7+0.000049,4)</f>
        <v>12.0238</v>
      </c>
      <c r="N13" s="138">
        <f>ROUND('Loonschijven_Tranches salariale'!$B14*6/N$7+0.000049,4)</f>
        <v>12.195499999999999</v>
      </c>
    </row>
    <row r="14" spans="1:15">
      <c r="A14" s="105"/>
      <c r="B14" s="105"/>
      <c r="C14" s="194">
        <f t="shared" si="0"/>
        <v>35</v>
      </c>
      <c r="D14" s="136">
        <f>ROUND('Loonschijven_Tranches salariale'!$B15*6/D$7+0.000049,4)</f>
        <v>10.9056</v>
      </c>
      <c r="E14" s="136">
        <f>ROUND('Loonschijven_Tranches salariale'!$B15*6/E$7+0.000049,4)</f>
        <v>11.043699999999999</v>
      </c>
      <c r="F14" s="136">
        <f>ROUND('Loonschijven_Tranches salariale'!$B15*6/F$7+0.000049,4)</f>
        <v>11.1852</v>
      </c>
      <c r="G14" s="136">
        <f>ROUND('Loonschijven_Tranches salariale'!$B15*6/G$7+0.000049,4)</f>
        <v>11.330500000000001</v>
      </c>
      <c r="H14" s="136">
        <f>ROUND('Loonschijven_Tranches salariale'!$B15*6/H$7+0.000049,4)</f>
        <v>11.4796</v>
      </c>
      <c r="I14" s="136">
        <f>ROUND('Loonschijven_Tranches salariale'!$B15*6/I$7+0.000049,4)</f>
        <v>11.6327</v>
      </c>
      <c r="J14" s="136">
        <f>ROUND('Loonschijven_Tranches salariale'!$B15*6/J$7+0.000049,4)</f>
        <v>11.789899999999999</v>
      </c>
      <c r="K14" s="136">
        <f>ROUND('Loonschijven_Tranches salariale'!$B15*6/K$7+0.000049,4)</f>
        <v>11.9514</v>
      </c>
      <c r="L14" s="136">
        <f>ROUND('Loonschijven_Tranches salariale'!$B15*6/L$7+0.000049,4)</f>
        <v>12.1173</v>
      </c>
      <c r="M14" s="136">
        <f>ROUND('Loonschijven_Tranches salariale'!$B15*6/M$7+0.000049,4)</f>
        <v>12.288</v>
      </c>
      <c r="N14" s="137">
        <f>ROUND('Loonschijven_Tranches salariale'!$B15*6/N$7+0.000049,4)</f>
        <v>12.4636</v>
      </c>
    </row>
    <row r="15" spans="1:15">
      <c r="A15" s="105"/>
      <c r="B15" s="105"/>
      <c r="C15" s="193">
        <f t="shared" si="0"/>
        <v>36</v>
      </c>
      <c r="D15" s="134">
        <f>ROUND('Loonschijven_Tranches salariale'!$B16*6/D$7+0.000049,4)</f>
        <v>11.1401</v>
      </c>
      <c r="E15" s="134">
        <f>ROUND('Loonschijven_Tranches salariale'!$B16*6/E$7+0.000049,4)</f>
        <v>11.2811</v>
      </c>
      <c r="F15" s="134">
        <f>ROUND('Loonschijven_Tranches salariale'!$B16*6/F$7+0.000049,4)</f>
        <v>11.425800000000001</v>
      </c>
      <c r="G15" s="134">
        <f>ROUND('Loonschijven_Tranches salariale'!$B16*6/G$7+0.000049,4)</f>
        <v>11.574199999999999</v>
      </c>
      <c r="H15" s="134">
        <f>ROUND('Loonschijven_Tranches salariale'!$B16*6/H$7+0.000049,4)</f>
        <v>11.7264</v>
      </c>
      <c r="I15" s="134">
        <f>ROUND('Loonschijven_Tranches salariale'!$B16*6/I$7+0.000049,4)</f>
        <v>11.8828</v>
      </c>
      <c r="J15" s="134">
        <f>ROUND('Loonschijven_Tranches salariale'!$B16*6/J$7+0.000049,4)</f>
        <v>12.0434</v>
      </c>
      <c r="K15" s="134">
        <f>ROUND('Loonschijven_Tranches salariale'!$B16*6/K$7+0.000049,4)</f>
        <v>12.208399999999999</v>
      </c>
      <c r="L15" s="134">
        <f>ROUND('Loonschijven_Tranches salariale'!$B16*6/L$7+0.000049,4)</f>
        <v>12.3779</v>
      </c>
      <c r="M15" s="134">
        <f>ROUND('Loonschijven_Tranches salariale'!$B16*6/M$7+0.000049,4)</f>
        <v>12.552300000000001</v>
      </c>
      <c r="N15" s="138">
        <f>ROUND('Loonschijven_Tranches salariale'!$B16*6/N$7+0.000049,4)</f>
        <v>12.7316</v>
      </c>
    </row>
    <row r="16" spans="1:15">
      <c r="A16" s="105"/>
      <c r="B16" s="105"/>
      <c r="C16" s="193">
        <f t="shared" si="0"/>
        <v>37</v>
      </c>
      <c r="D16" s="134">
        <f>ROUND('Loonschijven_Tranches salariale'!$B17*6/D$7+0.000049,4)</f>
        <v>11.374599999999999</v>
      </c>
      <c r="E16" s="134">
        <f>ROUND('Loonschijven_Tranches salariale'!$B17*6/E$7+0.000049,4)</f>
        <v>11.518599999999999</v>
      </c>
      <c r="F16" s="134">
        <f>ROUND('Loonschijven_Tranches salariale'!$B17*6/F$7+0.000049,4)</f>
        <v>11.6663</v>
      </c>
      <c r="G16" s="134">
        <f>ROUND('Loonschijven_Tranches salariale'!$B17*6/G$7+0.000049,4)</f>
        <v>11.8178</v>
      </c>
      <c r="H16" s="134">
        <f>ROUND('Loonschijven_Tranches salariale'!$B17*6/H$7+0.000049,4)</f>
        <v>11.9733</v>
      </c>
      <c r="I16" s="134">
        <f>ROUND('Loonschijven_Tranches salariale'!$B17*6/I$7+0.000049,4)</f>
        <v>12.132899999999999</v>
      </c>
      <c r="J16" s="134">
        <f>ROUND('Loonschijven_Tranches salariale'!$B17*6/J$7+0.000049,4)</f>
        <v>12.296900000000001</v>
      </c>
      <c r="K16" s="134">
        <f>ROUND('Loonschijven_Tranches salariale'!$B17*6/K$7+0.000049,4)</f>
        <v>12.465400000000001</v>
      </c>
      <c r="L16" s="134">
        <f>ROUND('Loonschijven_Tranches salariale'!$B17*6/L$7+0.000049,4)</f>
        <v>12.638500000000001</v>
      </c>
      <c r="M16" s="134">
        <f>ROUND('Loonschijven_Tranches salariale'!$B17*6/M$7+0.000049,4)</f>
        <v>12.8165</v>
      </c>
      <c r="N16" s="138">
        <f>ROUND('Loonschijven_Tranches salariale'!$B17*6/N$7+0.000049,4)</f>
        <v>12.999599999999999</v>
      </c>
    </row>
    <row r="17" spans="1:14">
      <c r="A17" s="105"/>
      <c r="B17" s="105"/>
      <c r="C17" s="193">
        <f t="shared" si="0"/>
        <v>38</v>
      </c>
      <c r="D17" s="134">
        <f>ROUND('Loonschijven_Tranches salariale'!$B18*6/D$7+0.000049,4)</f>
        <v>11.6092</v>
      </c>
      <c r="E17" s="134">
        <f>ROUND('Loonschijven_Tranches salariale'!$B18*6/E$7+0.000049,4)</f>
        <v>11.7561</v>
      </c>
      <c r="F17" s="134">
        <f>ROUND('Loonschijven_Tranches salariale'!$B18*6/F$7+0.000049,4)</f>
        <v>11.9068</v>
      </c>
      <c r="G17" s="134">
        <f>ROUND('Loonschijven_Tranches salariale'!$B18*6/G$7+0.000049,4)</f>
        <v>12.061500000000001</v>
      </c>
      <c r="H17" s="134">
        <f>ROUND('Loonschijven_Tranches salariale'!$B18*6/H$7+0.000049,4)</f>
        <v>12.2202</v>
      </c>
      <c r="I17" s="134">
        <f>ROUND('Loonschijven_Tranches salariale'!$B18*6/I$7+0.000049,4)</f>
        <v>12.383100000000001</v>
      </c>
      <c r="J17" s="134">
        <f>ROUND('Loonschijven_Tranches salariale'!$B18*6/J$7+0.000049,4)</f>
        <v>12.5504</v>
      </c>
      <c r="K17" s="134">
        <f>ROUND('Loonschijven_Tranches salariale'!$B18*6/K$7+0.000049,4)</f>
        <v>12.7224</v>
      </c>
      <c r="L17" s="134">
        <f>ROUND('Loonschijven_Tranches salariale'!$B18*6/L$7+0.000049,4)</f>
        <v>12.899100000000001</v>
      </c>
      <c r="M17" s="134">
        <f>ROUND('Loonschijven_Tranches salariale'!$B18*6/M$7+0.000049,4)</f>
        <v>13.0807</v>
      </c>
      <c r="N17" s="138">
        <f>ROUND('Loonschijven_Tranches salariale'!$B18*6/N$7+0.000049,4)</f>
        <v>13.2676</v>
      </c>
    </row>
    <row r="18" spans="1:14">
      <c r="A18" s="105"/>
      <c r="B18" s="105"/>
      <c r="C18" s="193">
        <f t="shared" si="0"/>
        <v>39</v>
      </c>
      <c r="D18" s="134">
        <f>ROUND('Loonschijven_Tranches salariale'!$B19*6/D$7+0.000049,4)</f>
        <v>11.8437</v>
      </c>
      <c r="E18" s="134">
        <f>ROUND('Loonschijven_Tranches salariale'!$B19*6/E$7+0.000049,4)</f>
        <v>11.993600000000001</v>
      </c>
      <c r="F18" s="134">
        <f>ROUND('Loonschijven_Tranches salariale'!$B19*6/F$7+0.000049,4)</f>
        <v>12.147399999999999</v>
      </c>
      <c r="G18" s="134">
        <f>ROUND('Loonschijven_Tranches salariale'!$B19*6/G$7+0.000049,4)</f>
        <v>12.305099999999999</v>
      </c>
      <c r="H18" s="134">
        <f>ROUND('Loonschijven_Tranches salariale'!$B19*6/H$7+0.000049,4)</f>
        <v>12.467000000000001</v>
      </c>
      <c r="I18" s="134">
        <f>ROUND('Loonschijven_Tranches salariale'!$B19*6/I$7+0.000049,4)</f>
        <v>12.6332</v>
      </c>
      <c r="J18" s="134">
        <f>ROUND('Loonschijven_Tranches salariale'!$B19*6/J$7+0.000049,4)</f>
        <v>12.804</v>
      </c>
      <c r="K18" s="134">
        <f>ROUND('Loonschijven_Tranches salariale'!$B19*6/K$7+0.000049,4)</f>
        <v>12.9794</v>
      </c>
      <c r="L18" s="134">
        <f>ROUND('Loonschijven_Tranches salariale'!$B19*6/L$7+0.000049,4)</f>
        <v>13.159599999999999</v>
      </c>
      <c r="M18" s="134">
        <f>ROUND('Loonschijven_Tranches salariale'!$B19*6/M$7+0.000049,4)</f>
        <v>13.345000000000001</v>
      </c>
      <c r="N18" s="138">
        <f>ROUND('Loonschijven_Tranches salariale'!$B19*6/N$7+0.000049,4)</f>
        <v>13.535600000000001</v>
      </c>
    </row>
    <row r="19" spans="1:14">
      <c r="A19" s="105"/>
      <c r="B19" s="105"/>
      <c r="C19" s="194">
        <f t="shared" si="0"/>
        <v>40</v>
      </c>
      <c r="D19" s="136">
        <f>ROUND('Loonschijven_Tranches salariale'!$B20*6/D$7+0.000049,4)</f>
        <v>12.078200000000001</v>
      </c>
      <c r="E19" s="136">
        <f>ROUND('Loonschijven_Tranches salariale'!$B20*6/E$7+0.000049,4)</f>
        <v>12.2311</v>
      </c>
      <c r="F19" s="136">
        <f>ROUND('Loonschijven_Tranches salariale'!$B20*6/F$7+0.000049,4)</f>
        <v>12.3879</v>
      </c>
      <c r="G19" s="136">
        <f>ROUND('Loonschijven_Tranches salariale'!$B20*6/G$7+0.000049,4)</f>
        <v>12.5488</v>
      </c>
      <c r="H19" s="136">
        <f>ROUND('Loonschijven_Tranches salariale'!$B20*6/H$7+0.000049,4)</f>
        <v>12.713900000000001</v>
      </c>
      <c r="I19" s="136">
        <f>ROUND('Loonschijven_Tranches salariale'!$B20*6/I$7+0.000049,4)</f>
        <v>12.8834</v>
      </c>
      <c r="J19" s="136">
        <f>ROUND('Loonschijven_Tranches salariale'!$B20*6/J$7+0.000049,4)</f>
        <v>13.057499999999999</v>
      </c>
      <c r="K19" s="136">
        <f>ROUND('Loonschijven_Tranches salariale'!$B20*6/K$7+0.000049,4)</f>
        <v>13.2364</v>
      </c>
      <c r="L19" s="136">
        <f>ROUND('Loonschijven_Tranches salariale'!$B20*6/L$7+0.000049,4)</f>
        <v>13.420199999999999</v>
      </c>
      <c r="M19" s="136">
        <f>ROUND('Loonschijven_Tranches salariale'!$B20*6/M$7+0.000049,4)</f>
        <v>13.6092</v>
      </c>
      <c r="N19" s="137">
        <f>ROUND('Loonschijven_Tranches salariale'!$B20*6/N$7+0.000049,4)</f>
        <v>13.803599999999999</v>
      </c>
    </row>
    <row r="20" spans="1:14">
      <c r="A20" s="105"/>
      <c r="B20" s="105"/>
      <c r="C20" s="193">
        <f t="shared" si="0"/>
        <v>41</v>
      </c>
      <c r="D20" s="134">
        <f>ROUND('Loonschijven_Tranches salariale'!$B21*6/D$7+0.000049,4)</f>
        <v>12.3127</v>
      </c>
      <c r="E20" s="134">
        <f>ROUND('Loonschijven_Tranches salariale'!$B21*6/E$7+0.000049,4)</f>
        <v>12.4686</v>
      </c>
      <c r="F20" s="134">
        <f>ROUND('Loonschijven_Tranches salariale'!$B21*6/F$7+0.000049,4)</f>
        <v>12.628399999999999</v>
      </c>
      <c r="G20" s="134">
        <f>ROUND('Loonschijven_Tranches salariale'!$B21*6/G$7+0.000049,4)</f>
        <v>12.792400000000001</v>
      </c>
      <c r="H20" s="134">
        <f>ROUND('Loonschijven_Tranches salariale'!$B21*6/H$7+0.000049,4)</f>
        <v>12.960699999999999</v>
      </c>
      <c r="I20" s="134">
        <f>ROUND('Loonschijven_Tranches salariale'!$B21*6/I$7+0.000049,4)</f>
        <v>13.1335</v>
      </c>
      <c r="J20" s="134">
        <f>ROUND('Loonschijven_Tranches salariale'!$B21*6/J$7+0.000049,4)</f>
        <v>13.311</v>
      </c>
      <c r="K20" s="134">
        <f>ROUND('Loonschijven_Tranches salariale'!$B21*6/K$7+0.000049,4)</f>
        <v>13.493399999999999</v>
      </c>
      <c r="L20" s="134">
        <f>ROUND('Loonschijven_Tranches salariale'!$B21*6/L$7+0.000049,4)</f>
        <v>13.6808</v>
      </c>
      <c r="M20" s="134">
        <f>ROUND('Loonschijven_Tranches salariale'!$B21*6/M$7+0.000049,4)</f>
        <v>13.8735</v>
      </c>
      <c r="N20" s="138">
        <f>ROUND('Loonschijven_Tranches salariale'!$B21*6/N$7+0.000049,4)</f>
        <v>14.0716</v>
      </c>
    </row>
    <row r="21" spans="1:14">
      <c r="A21" s="105"/>
      <c r="B21" s="105"/>
      <c r="C21" s="193">
        <f t="shared" si="0"/>
        <v>42</v>
      </c>
      <c r="D21" s="134">
        <f>ROUND('Loonschijven_Tranches salariale'!$B22*6/D$7+0.000049,4)</f>
        <v>12.5472</v>
      </c>
      <c r="E21" s="134">
        <f>ROUND('Loonschijven_Tranches salariale'!$B22*6/E$7+0.000049,4)</f>
        <v>12.706</v>
      </c>
      <c r="F21" s="134">
        <f>ROUND('Loonschijven_Tranches salariale'!$B22*6/F$7+0.000049,4)</f>
        <v>12.8689</v>
      </c>
      <c r="G21" s="134">
        <f>ROUND('Loonschijven_Tranches salariale'!$B22*6/G$7+0.000049,4)</f>
        <v>13.036099999999999</v>
      </c>
      <c r="H21" s="134">
        <f>ROUND('Loonschijven_Tranches salariale'!$B22*6/H$7+0.000049,4)</f>
        <v>13.207599999999999</v>
      </c>
      <c r="I21" s="134">
        <f>ROUND('Loonschijven_Tranches salariale'!$B22*6/I$7+0.000049,4)</f>
        <v>13.383699999999999</v>
      </c>
      <c r="J21" s="134">
        <f>ROUND('Loonschijven_Tranches salariale'!$B22*6/J$7+0.000049,4)</f>
        <v>13.564500000000001</v>
      </c>
      <c r="K21" s="134">
        <f>ROUND('Loonschijven_Tranches salariale'!$B22*6/K$7+0.000049,4)</f>
        <v>13.750400000000001</v>
      </c>
      <c r="L21" s="134">
        <f>ROUND('Loonschijven_Tranches salariale'!$B22*6/L$7+0.000049,4)</f>
        <v>13.9413</v>
      </c>
      <c r="M21" s="134">
        <f>ROUND('Loonschijven_Tranches salariale'!$B22*6/M$7+0.000049,4)</f>
        <v>14.137700000000001</v>
      </c>
      <c r="N21" s="138">
        <f>ROUND('Loonschijven_Tranches salariale'!$B22*6/N$7+0.000049,4)</f>
        <v>14.339700000000001</v>
      </c>
    </row>
    <row r="22" spans="1:14">
      <c r="A22" s="105"/>
      <c r="B22" s="105"/>
      <c r="C22" s="193">
        <f t="shared" si="0"/>
        <v>43</v>
      </c>
      <c r="D22" s="134">
        <f>ROUND('Loonschijven_Tranches salariale'!$B23*6/D$7+0.000049,4)</f>
        <v>12.781700000000001</v>
      </c>
      <c r="E22" s="134">
        <f>ROUND('Loonschijven_Tranches salariale'!$B23*6/E$7+0.000049,4)</f>
        <v>12.9435</v>
      </c>
      <c r="F22" s="134">
        <f>ROUND('Loonschijven_Tranches salariale'!$B23*6/F$7+0.000049,4)</f>
        <v>13.109500000000001</v>
      </c>
      <c r="G22" s="134">
        <f>ROUND('Loonschijven_Tranches salariale'!$B23*6/G$7+0.000049,4)</f>
        <v>13.2797</v>
      </c>
      <c r="H22" s="134">
        <f>ROUND('Loonschijven_Tranches salariale'!$B23*6/H$7+0.000049,4)</f>
        <v>13.4544</v>
      </c>
      <c r="I22" s="134">
        <f>ROUND('Loonschijven_Tranches salariale'!$B23*6/I$7+0.000049,4)</f>
        <v>13.633800000000001</v>
      </c>
      <c r="J22" s="134">
        <f>ROUND('Loonschijven_Tranches salariale'!$B23*6/J$7+0.000049,4)</f>
        <v>13.818099999999999</v>
      </c>
      <c r="K22" s="134">
        <f>ROUND('Loonschijven_Tranches salariale'!$B23*6/K$7+0.000049,4)</f>
        <v>14.007400000000001</v>
      </c>
      <c r="L22" s="134">
        <f>ROUND('Loonschijven_Tranches salariale'!$B23*6/L$7+0.000049,4)</f>
        <v>14.2019</v>
      </c>
      <c r="M22" s="134">
        <f>ROUND('Loonschijven_Tranches salariale'!$B23*6/M$7+0.000049,4)</f>
        <v>14.401899999999999</v>
      </c>
      <c r="N22" s="138">
        <f>ROUND('Loonschijven_Tranches salariale'!$B23*6/N$7+0.000049,4)</f>
        <v>14.607699999999999</v>
      </c>
    </row>
    <row r="23" spans="1:14">
      <c r="A23" s="105"/>
      <c r="B23" s="105"/>
      <c r="C23" s="193">
        <f t="shared" si="0"/>
        <v>44</v>
      </c>
      <c r="D23" s="134">
        <f>ROUND('Loonschijven_Tranches salariale'!$B24*6/D$7+0.000049,4)</f>
        <v>13.0162</v>
      </c>
      <c r="E23" s="134">
        <f>ROUND('Loonschijven_Tranches salariale'!$B24*6/E$7+0.000049,4)</f>
        <v>13.180999999999999</v>
      </c>
      <c r="F23" s="134">
        <f>ROUND('Loonschijven_Tranches salariale'!$B24*6/F$7+0.000049,4)</f>
        <v>13.35</v>
      </c>
      <c r="G23" s="134">
        <f>ROUND('Loonschijven_Tranches salariale'!$B24*6/G$7+0.000049,4)</f>
        <v>13.523400000000001</v>
      </c>
      <c r="H23" s="134">
        <f>ROUND('Loonschijven_Tranches salariale'!$B24*6/H$7+0.000049,4)</f>
        <v>13.7013</v>
      </c>
      <c r="I23" s="134">
        <f>ROUND('Loonschijven_Tranches salariale'!$B24*6/I$7+0.000049,4)</f>
        <v>13.884</v>
      </c>
      <c r="J23" s="134">
        <f>ROUND('Loonschijven_Tranches salariale'!$B24*6/J$7+0.000049,4)</f>
        <v>14.0716</v>
      </c>
      <c r="K23" s="134">
        <f>ROUND('Loonschijven_Tranches salariale'!$B24*6/K$7+0.000049,4)</f>
        <v>14.2644</v>
      </c>
      <c r="L23" s="134">
        <f>ROUND('Loonschijven_Tranches salariale'!$B24*6/L$7+0.000049,4)</f>
        <v>14.4625</v>
      </c>
      <c r="M23" s="134">
        <f>ROUND('Loonschijven_Tranches salariale'!$B24*6/M$7+0.000049,4)</f>
        <v>14.6662</v>
      </c>
      <c r="N23" s="138">
        <f>ROUND('Loonschijven_Tranches salariale'!$B24*6/N$7+0.000049,4)</f>
        <v>14.8757</v>
      </c>
    </row>
    <row r="24" spans="1:14">
      <c r="A24" s="105"/>
      <c r="B24" s="105"/>
      <c r="C24" s="194">
        <f t="shared" si="0"/>
        <v>45</v>
      </c>
      <c r="D24" s="136">
        <f>ROUND('Loonschijven_Tranches salariale'!$B25*6/D$7+0.000049,4)</f>
        <v>13.2507</v>
      </c>
      <c r="E24" s="136">
        <f>ROUND('Loonschijven_Tranches salariale'!$B25*6/E$7+0.000049,4)</f>
        <v>13.4185</v>
      </c>
      <c r="F24" s="136">
        <f>ROUND('Loonschijven_Tranches salariale'!$B25*6/F$7+0.000049,4)</f>
        <v>13.5905</v>
      </c>
      <c r="G24" s="136">
        <f>ROUND('Loonschijven_Tranches salariale'!$B25*6/G$7+0.000049,4)</f>
        <v>13.766999999999999</v>
      </c>
      <c r="H24" s="136">
        <f>ROUND('Loonschijven_Tranches salariale'!$B25*6/H$7+0.000049,4)</f>
        <v>13.9482</v>
      </c>
      <c r="I24" s="136">
        <f>ROUND('Loonschijven_Tranches salariale'!$B25*6/I$7+0.000049,4)</f>
        <v>14.1341</v>
      </c>
      <c r="J24" s="136">
        <f>ROUND('Loonschijven_Tranches salariale'!$B25*6/J$7+0.000049,4)</f>
        <v>14.325100000000001</v>
      </c>
      <c r="K24" s="136">
        <f>ROUND('Loonschijven_Tranches salariale'!$B25*6/K$7+0.000049,4)</f>
        <v>14.5214</v>
      </c>
      <c r="L24" s="136">
        <f>ROUND('Loonschijven_Tranches salariale'!$B25*6/L$7+0.000049,4)</f>
        <v>14.723000000000001</v>
      </c>
      <c r="M24" s="136">
        <f>ROUND('Loonschijven_Tranches salariale'!$B25*6/M$7+0.000049,4)</f>
        <v>14.930400000000001</v>
      </c>
      <c r="N24" s="137">
        <f>ROUND('Loonschijven_Tranches salariale'!$B25*6/N$7+0.000049,4)</f>
        <v>15.143700000000001</v>
      </c>
    </row>
    <row r="25" spans="1:14">
      <c r="A25" s="105"/>
      <c r="B25" s="105"/>
      <c r="C25" s="193">
        <f t="shared" si="0"/>
        <v>46</v>
      </c>
      <c r="D25" s="134">
        <f>ROUND('Loonschijven_Tranches salariale'!$B26*6/D$7+0.000049,4)</f>
        <v>13.485300000000001</v>
      </c>
      <c r="E25" s="134">
        <f>ROUND('Loonschijven_Tranches salariale'!$B26*6/E$7+0.000049,4)</f>
        <v>13.656000000000001</v>
      </c>
      <c r="F25" s="134">
        <f>ROUND('Loonschijven_Tranches salariale'!$B26*6/F$7+0.000049,4)</f>
        <v>13.831</v>
      </c>
      <c r="G25" s="134">
        <f>ROUND('Loonschijven_Tranches salariale'!$B26*6/G$7+0.000049,4)</f>
        <v>14.0107</v>
      </c>
      <c r="H25" s="134">
        <f>ROUND('Loonschijven_Tranches salariale'!$B26*6/H$7+0.000049,4)</f>
        <v>14.195</v>
      </c>
      <c r="I25" s="134">
        <f>ROUND('Loonschijven_Tranches salariale'!$B26*6/I$7+0.000049,4)</f>
        <v>14.3843</v>
      </c>
      <c r="J25" s="134">
        <f>ROUND('Loonschijven_Tranches salariale'!$B26*6/J$7+0.000049,4)</f>
        <v>14.5787</v>
      </c>
      <c r="K25" s="134">
        <f>ROUND('Loonschijven_Tranches salariale'!$B26*6/K$7+0.000049,4)</f>
        <v>14.7784</v>
      </c>
      <c r="L25" s="134">
        <f>ROUND('Loonschijven_Tranches salariale'!$B26*6/L$7+0.000049,4)</f>
        <v>14.983599999999999</v>
      </c>
      <c r="M25" s="134">
        <f>ROUND('Loonschijven_Tranches salariale'!$B26*6/M$7+0.000049,4)</f>
        <v>15.194699999999999</v>
      </c>
      <c r="N25" s="138">
        <f>ROUND('Loonschijven_Tranches salariale'!$B26*6/N$7+0.000049,4)</f>
        <v>15.4117</v>
      </c>
    </row>
    <row r="26" spans="1:14">
      <c r="A26" s="105"/>
      <c r="B26" s="105"/>
      <c r="C26" s="193">
        <f t="shared" si="0"/>
        <v>47</v>
      </c>
      <c r="D26" s="134">
        <f>ROUND('Loonschijven_Tranches salariale'!$B27*6/D$7+0.000049,4)</f>
        <v>13.719799999999999</v>
      </c>
      <c r="E26" s="134">
        <f>ROUND('Loonschijven_Tranches salariale'!$B27*6/E$7+0.000049,4)</f>
        <v>13.8934</v>
      </c>
      <c r="F26" s="134">
        <f>ROUND('Loonschijven_Tranches salariale'!$B27*6/F$7+0.000049,4)</f>
        <v>14.0716</v>
      </c>
      <c r="G26" s="134">
        <f>ROUND('Loonschijven_Tranches salariale'!$B27*6/G$7+0.000049,4)</f>
        <v>14.254300000000001</v>
      </c>
      <c r="H26" s="134">
        <f>ROUND('Loonschijven_Tranches salariale'!$B27*6/H$7+0.000049,4)</f>
        <v>14.4419</v>
      </c>
      <c r="I26" s="134">
        <f>ROUND('Loonschijven_Tranches salariale'!$B27*6/I$7+0.000049,4)</f>
        <v>14.634399999999999</v>
      </c>
      <c r="J26" s="134">
        <f>ROUND('Loonschijven_Tranches salariale'!$B27*6/J$7+0.000049,4)</f>
        <v>14.8322</v>
      </c>
      <c r="K26" s="134">
        <f>ROUND('Loonschijven_Tranches salariale'!$B27*6/K$7+0.000049,4)</f>
        <v>15.035399999999999</v>
      </c>
      <c r="L26" s="134">
        <f>ROUND('Loonschijven_Tranches salariale'!$B27*6/L$7+0.000049,4)</f>
        <v>15.244199999999999</v>
      </c>
      <c r="M26" s="134">
        <f>ROUND('Loonschijven_Tranches salariale'!$B27*6/M$7+0.000049,4)</f>
        <v>15.4589</v>
      </c>
      <c r="N26" s="138">
        <f>ROUND('Loonschijven_Tranches salariale'!$B27*6/N$7+0.000049,4)</f>
        <v>15.6797</v>
      </c>
    </row>
    <row r="27" spans="1:14">
      <c r="A27" s="105"/>
      <c r="B27" s="105"/>
      <c r="C27" s="193">
        <f t="shared" si="0"/>
        <v>48</v>
      </c>
      <c r="D27" s="134">
        <f>ROUND('Loonschijven_Tranches salariale'!$B28*6/D$7+0.000049,4)</f>
        <v>13.9543</v>
      </c>
      <c r="E27" s="134">
        <f>ROUND('Loonschijven_Tranches salariale'!$B28*6/E$7+0.000049,4)</f>
        <v>14.1309</v>
      </c>
      <c r="F27" s="134">
        <f>ROUND('Loonschijven_Tranches salariale'!$B28*6/F$7+0.000049,4)</f>
        <v>14.312099999999999</v>
      </c>
      <c r="G27" s="134">
        <f>ROUND('Loonschijven_Tranches salariale'!$B28*6/G$7+0.000049,4)</f>
        <v>14.497999999999999</v>
      </c>
      <c r="H27" s="134">
        <f>ROUND('Loonschijven_Tranches salariale'!$B28*6/H$7+0.000049,4)</f>
        <v>14.688700000000001</v>
      </c>
      <c r="I27" s="134">
        <f>ROUND('Loonschijven_Tranches salariale'!$B28*6/I$7+0.000049,4)</f>
        <v>14.884600000000001</v>
      </c>
      <c r="J27" s="134">
        <f>ROUND('Loonschijven_Tranches salariale'!$B28*6/J$7+0.000049,4)</f>
        <v>15.085699999999999</v>
      </c>
      <c r="K27" s="134">
        <f>ROUND('Loonschijven_Tranches salariale'!$B28*6/K$7+0.000049,4)</f>
        <v>15.292400000000001</v>
      </c>
      <c r="L27" s="134">
        <f>ROUND('Loonschijven_Tranches salariale'!$B28*6/L$7+0.000049,4)</f>
        <v>15.504799999999999</v>
      </c>
      <c r="M27" s="134">
        <f>ROUND('Loonschijven_Tranches salariale'!$B28*6/M$7+0.000049,4)</f>
        <v>15.723100000000001</v>
      </c>
      <c r="N27" s="138">
        <f>ROUND('Loonschijven_Tranches salariale'!$B28*6/N$7+0.000049,4)</f>
        <v>15.947800000000001</v>
      </c>
    </row>
    <row r="28" spans="1:14">
      <c r="A28" s="105"/>
      <c r="B28" s="105"/>
      <c r="C28" s="193">
        <f t="shared" si="0"/>
        <v>49</v>
      </c>
      <c r="D28" s="134">
        <f>ROUND('Loonschijven_Tranches salariale'!$B29*6/D$7+0.000049,4)</f>
        <v>14.188800000000001</v>
      </c>
      <c r="E28" s="134">
        <f>ROUND('Loonschijven_Tranches salariale'!$B29*6/E$7+0.000049,4)</f>
        <v>14.368399999999999</v>
      </c>
      <c r="F28" s="134">
        <f>ROUND('Loonschijven_Tranches salariale'!$B29*6/F$7+0.000049,4)</f>
        <v>14.5526</v>
      </c>
      <c r="G28" s="134">
        <f>ROUND('Loonschijven_Tranches salariale'!$B29*6/G$7+0.000049,4)</f>
        <v>14.7416</v>
      </c>
      <c r="H28" s="134">
        <f>ROUND('Loonschijven_Tranches salariale'!$B29*6/H$7+0.000049,4)</f>
        <v>14.935600000000001</v>
      </c>
      <c r="I28" s="134">
        <f>ROUND('Loonschijven_Tranches salariale'!$B29*6/I$7+0.000049,4)</f>
        <v>15.1347</v>
      </c>
      <c r="J28" s="134">
        <f>ROUND('Loonschijven_Tranches salariale'!$B29*6/J$7+0.000049,4)</f>
        <v>15.3392</v>
      </c>
      <c r="K28" s="134">
        <f>ROUND('Loonschijven_Tranches salariale'!$B29*6/K$7+0.000049,4)</f>
        <v>15.5494</v>
      </c>
      <c r="L28" s="134">
        <f>ROUND('Loonschijven_Tranches salariale'!$B29*6/L$7+0.000049,4)</f>
        <v>15.7653</v>
      </c>
      <c r="M28" s="134">
        <f>ROUND('Loonschijven_Tranches salariale'!$B29*6/M$7+0.000049,4)</f>
        <v>15.987399999999999</v>
      </c>
      <c r="N28" s="138">
        <f>ROUND('Loonschijven_Tranches salariale'!$B29*6/N$7+0.000049,4)</f>
        <v>16.215800000000002</v>
      </c>
    </row>
    <row r="29" spans="1:14">
      <c r="A29" s="105"/>
      <c r="B29" s="105"/>
      <c r="C29" s="194">
        <f t="shared" si="0"/>
        <v>50</v>
      </c>
      <c r="D29" s="136">
        <f>ROUND('Loonschijven_Tranches salariale'!$B30*6/D$7+0.000049,4)</f>
        <v>14.423299999999999</v>
      </c>
      <c r="E29" s="136">
        <f>ROUND('Loonschijven_Tranches salariale'!$B30*6/E$7+0.000049,4)</f>
        <v>14.6059</v>
      </c>
      <c r="F29" s="136">
        <f>ROUND('Loonschijven_Tranches salariale'!$B30*6/F$7+0.000049,4)</f>
        <v>14.793100000000001</v>
      </c>
      <c r="G29" s="136">
        <f>ROUND('Loonschijven_Tranches salariale'!$B30*6/G$7+0.000049,4)</f>
        <v>14.985300000000001</v>
      </c>
      <c r="H29" s="136">
        <f>ROUND('Loonschijven_Tranches salariale'!$B30*6/H$7+0.000049,4)</f>
        <v>15.182399999999999</v>
      </c>
      <c r="I29" s="136">
        <f>ROUND('Loonschijven_Tranches salariale'!$B30*6/I$7+0.000049,4)</f>
        <v>15.3849</v>
      </c>
      <c r="J29" s="136">
        <f>ROUND('Loonschijven_Tranches salariale'!$B30*6/J$7+0.000049,4)</f>
        <v>15.5928</v>
      </c>
      <c r="K29" s="136">
        <f>ROUND('Loonschijven_Tranches salariale'!$B30*6/K$7+0.000049,4)</f>
        <v>15.8064</v>
      </c>
      <c r="L29" s="136">
        <f>ROUND('Loonschijven_Tranches salariale'!$B30*6/L$7+0.000049,4)</f>
        <v>16.0259</v>
      </c>
      <c r="M29" s="136">
        <f>ROUND('Loonschijven_Tranches salariale'!$B30*6/M$7+0.000049,4)</f>
        <v>16.2516</v>
      </c>
      <c r="N29" s="137">
        <f>ROUND('Loonschijven_Tranches salariale'!$B30*6/N$7+0.000049,4)</f>
        <v>16.483799999999999</v>
      </c>
    </row>
    <row r="30" spans="1:14">
      <c r="A30" s="105"/>
      <c r="B30" s="105"/>
      <c r="C30" s="193">
        <f t="shared" si="0"/>
        <v>51</v>
      </c>
      <c r="D30" s="134">
        <f>ROUND('Loonschijven_Tranches salariale'!$B31*6/D$7+0.000049,4)</f>
        <v>14.6578</v>
      </c>
      <c r="E30" s="134">
        <f>ROUND('Loonschijven_Tranches salariale'!$B31*6/E$7+0.000049,4)</f>
        <v>14.843400000000001</v>
      </c>
      <c r="F30" s="134">
        <f>ROUND('Loonschijven_Tranches salariale'!$B31*6/F$7+0.000049,4)</f>
        <v>15.0337</v>
      </c>
      <c r="G30" s="134">
        <f>ROUND('Loonschijven_Tranches salariale'!$B31*6/G$7+0.000049,4)</f>
        <v>15.228899999999999</v>
      </c>
      <c r="H30" s="134">
        <f>ROUND('Loonschijven_Tranches salariale'!$B31*6/H$7+0.000049,4)</f>
        <v>15.4293</v>
      </c>
      <c r="I30" s="134">
        <f>ROUND('Loonschijven_Tranches salariale'!$B31*6/I$7+0.000049,4)</f>
        <v>15.635</v>
      </c>
      <c r="J30" s="134">
        <f>ROUND('Loonschijven_Tranches salariale'!$B31*6/J$7+0.000049,4)</f>
        <v>15.846299999999999</v>
      </c>
      <c r="K30" s="134">
        <f>ROUND('Loonschijven_Tranches salariale'!$B31*6/K$7+0.000049,4)</f>
        <v>16.063400000000001</v>
      </c>
      <c r="L30" s="134">
        <f>ROUND('Loonschijven_Tranches salariale'!$B31*6/L$7+0.000049,4)</f>
        <v>16.2865</v>
      </c>
      <c r="M30" s="134">
        <f>ROUND('Loonschijven_Tranches salariale'!$B31*6/M$7+0.000049,4)</f>
        <v>16.515899999999998</v>
      </c>
      <c r="N30" s="138">
        <f>ROUND('Loonschijven_Tranches salariale'!$B31*6/N$7+0.000049,4)</f>
        <v>16.751799999999999</v>
      </c>
    </row>
    <row r="31" spans="1:14">
      <c r="A31" s="105"/>
      <c r="B31" s="105"/>
      <c r="C31" s="193">
        <f t="shared" si="0"/>
        <v>52</v>
      </c>
      <c r="D31" s="134">
        <f>ROUND('Loonschijven_Tranches salariale'!$B32*6/D$7+0.000049,4)</f>
        <v>14.892300000000001</v>
      </c>
      <c r="E31" s="134">
        <f>ROUND('Loonschijven_Tranches salariale'!$B32*6/E$7+0.000049,4)</f>
        <v>15.0808</v>
      </c>
      <c r="F31" s="134">
        <f>ROUND('Loonschijven_Tranches salariale'!$B32*6/F$7+0.000049,4)</f>
        <v>15.2742</v>
      </c>
      <c r="G31" s="134">
        <f>ROUND('Loonschijven_Tranches salariale'!$B32*6/G$7+0.000049,4)</f>
        <v>15.4726</v>
      </c>
      <c r="H31" s="134">
        <f>ROUND('Loonschijven_Tranches salariale'!$B32*6/H$7+0.000049,4)</f>
        <v>15.6761</v>
      </c>
      <c r="I31" s="134">
        <f>ROUND('Loonschijven_Tranches salariale'!$B32*6/I$7+0.000049,4)</f>
        <v>15.885199999999999</v>
      </c>
      <c r="J31" s="134">
        <f>ROUND('Loonschijven_Tranches salariale'!$B32*6/J$7+0.000049,4)</f>
        <v>16.099799999999998</v>
      </c>
      <c r="K31" s="134">
        <f>ROUND('Loonschijven_Tranches salariale'!$B32*6/K$7+0.000049,4)</f>
        <v>16.320399999999999</v>
      </c>
      <c r="L31" s="134">
        <f>ROUND('Loonschijven_Tranches salariale'!$B32*6/L$7+0.000049,4)</f>
        <v>16.547000000000001</v>
      </c>
      <c r="M31" s="134">
        <f>ROUND('Loonschijven_Tranches salariale'!$B32*6/M$7+0.000049,4)</f>
        <v>16.780100000000001</v>
      </c>
      <c r="N31" s="138">
        <f>ROUND('Loonschijven_Tranches salariale'!$B32*6/N$7+0.000049,4)</f>
        <v>17.0198</v>
      </c>
    </row>
    <row r="32" spans="1:14">
      <c r="A32" s="105"/>
      <c r="B32" s="105"/>
      <c r="C32" s="193">
        <f t="shared" si="0"/>
        <v>53</v>
      </c>
      <c r="D32" s="134">
        <f>ROUND('Loonschijven_Tranches salariale'!$B33*6/D$7+0.000049,4)</f>
        <v>15.126799999999999</v>
      </c>
      <c r="E32" s="134">
        <f>ROUND('Loonschijven_Tranches salariale'!$B33*6/E$7+0.000049,4)</f>
        <v>15.318300000000001</v>
      </c>
      <c r="F32" s="134">
        <f>ROUND('Loonschijven_Tranches salariale'!$B33*6/F$7+0.000049,4)</f>
        <v>15.514699999999999</v>
      </c>
      <c r="G32" s="134">
        <f>ROUND('Loonschijven_Tranches salariale'!$B33*6/G$7+0.000049,4)</f>
        <v>15.716200000000001</v>
      </c>
      <c r="H32" s="134">
        <f>ROUND('Loonschijven_Tranches salariale'!$B33*6/H$7+0.000049,4)</f>
        <v>15.923</v>
      </c>
      <c r="I32" s="134">
        <f>ROUND('Loonschijven_Tranches salariale'!$B33*6/I$7+0.000049,4)</f>
        <v>16.135300000000001</v>
      </c>
      <c r="J32" s="134">
        <f>ROUND('Loonschijven_Tranches salariale'!$B33*6/J$7+0.000049,4)</f>
        <v>16.353300000000001</v>
      </c>
      <c r="K32" s="134">
        <f>ROUND('Loonschijven_Tranches salariale'!$B33*6/K$7+0.000049,4)</f>
        <v>16.577400000000001</v>
      </c>
      <c r="L32" s="134">
        <f>ROUND('Loonschijven_Tranches salariale'!$B33*6/L$7+0.000049,4)</f>
        <v>16.807600000000001</v>
      </c>
      <c r="M32" s="134">
        <f>ROUND('Loonschijven_Tranches salariale'!$B33*6/M$7+0.000049,4)</f>
        <v>17.0443</v>
      </c>
      <c r="N32" s="138">
        <f>ROUND('Loonschijven_Tranches salariale'!$B33*6/N$7+0.000049,4)</f>
        <v>17.287800000000001</v>
      </c>
    </row>
    <row r="33" spans="1:14">
      <c r="A33" s="105"/>
      <c r="B33" s="105"/>
      <c r="C33" s="193">
        <f t="shared" si="0"/>
        <v>54</v>
      </c>
      <c r="D33" s="134">
        <f>ROUND('Loonschijven_Tranches salariale'!$B34*6/D$7+0.000049,4)</f>
        <v>15.3614</v>
      </c>
      <c r="E33" s="134">
        <f>ROUND('Loonschijven_Tranches salariale'!$B34*6/E$7+0.000049,4)</f>
        <v>15.5558</v>
      </c>
      <c r="F33" s="134">
        <f>ROUND('Loonschijven_Tranches salariale'!$B34*6/F$7+0.000049,4)</f>
        <v>15.7552</v>
      </c>
      <c r="G33" s="134">
        <f>ROUND('Loonschijven_Tranches salariale'!$B34*6/G$7+0.000049,4)</f>
        <v>15.959899999999999</v>
      </c>
      <c r="H33" s="134">
        <f>ROUND('Loonschijven_Tranches salariale'!$B34*6/H$7+0.000049,4)</f>
        <v>16.169899999999998</v>
      </c>
      <c r="I33" s="134">
        <f>ROUND('Loonschijven_Tranches salariale'!$B34*6/I$7+0.000049,4)</f>
        <v>16.3855</v>
      </c>
      <c r="J33" s="134">
        <f>ROUND('Loonschijven_Tranches salariale'!$B34*6/J$7+0.000049,4)</f>
        <v>16.6069</v>
      </c>
      <c r="K33" s="134">
        <f>ROUND('Loonschijven_Tranches salariale'!$B34*6/K$7+0.000049,4)</f>
        <v>16.834399999999999</v>
      </c>
      <c r="L33" s="134">
        <f>ROUND('Loonschijven_Tranches salariale'!$B34*6/L$7+0.000049,4)</f>
        <v>17.068200000000001</v>
      </c>
      <c r="M33" s="134">
        <f>ROUND('Loonschijven_Tranches salariale'!$B34*6/M$7+0.000049,4)</f>
        <v>17.308599999999998</v>
      </c>
      <c r="N33" s="138">
        <f>ROUND('Loonschijven_Tranches salariale'!$B34*6/N$7+0.000049,4)</f>
        <v>17.555800000000001</v>
      </c>
    </row>
    <row r="34" spans="1:14">
      <c r="A34" s="105"/>
      <c r="B34" s="105"/>
      <c r="C34" s="194">
        <f>C33+1</f>
        <v>55</v>
      </c>
      <c r="D34" s="136">
        <f>ROUND('Loonschijven_Tranches salariale'!$B35*6/D$7+0.000049,4)</f>
        <v>15.4786</v>
      </c>
      <c r="E34" s="136">
        <f>ROUND('Loonschijven_Tranches salariale'!$B35*6/E$7+0.000049,4)</f>
        <v>15.6746</v>
      </c>
      <c r="F34" s="136">
        <f>ROUND('Loonschijven_Tranches salariale'!$B35*6/F$7+0.000049,4)</f>
        <v>15.875500000000001</v>
      </c>
      <c r="G34" s="136">
        <f>ROUND('Loonschijven_Tranches salariale'!$B35*6/G$7+0.000049,4)</f>
        <v>16.081700000000001</v>
      </c>
      <c r="H34" s="136">
        <f>ROUND('Loonschijven_Tranches salariale'!$B35*6/H$7+0.000049,4)</f>
        <v>16.293299999999999</v>
      </c>
      <c r="I34" s="136">
        <f>ROUND('Loonschijven_Tranches salariale'!$B35*6/I$7+0.000049,4)</f>
        <v>16.5105</v>
      </c>
      <c r="J34" s="136">
        <f>ROUND('Loonschijven_Tranches salariale'!$B35*6/J$7+0.000049,4)</f>
        <v>16.733699999999999</v>
      </c>
      <c r="K34" s="136">
        <f>ROUND('Loonschijven_Tranches salariale'!$B35*6/K$7+0.000049,4)</f>
        <v>16.962900000000001</v>
      </c>
      <c r="L34" s="136">
        <f>ROUND('Loonschijven_Tranches salariale'!$B35*6/L$7+0.000049,4)</f>
        <v>17.198499999999999</v>
      </c>
      <c r="M34" s="136">
        <f>ROUND('Loonschijven_Tranches salariale'!$B35*6/M$7+0.000049,4)</f>
        <v>17.4407</v>
      </c>
      <c r="N34" s="137">
        <f>ROUND('Loonschijven_Tranches salariale'!$B35*6/N$7+0.000049,4)</f>
        <v>17.689900000000002</v>
      </c>
    </row>
    <row r="35" spans="1:14">
      <c r="A35" s="105"/>
      <c r="B35" s="105"/>
      <c r="C35" s="193">
        <f>C34+1</f>
        <v>56</v>
      </c>
      <c r="D35" s="134">
        <f>ROUND('Loonschijven_Tranches salariale'!$B36*6/D$7+0.000049,4)</f>
        <v>15.5959</v>
      </c>
      <c r="E35" s="134">
        <f>ROUND('Loonschijven_Tranches salariale'!$B36*6/E$7+0.000049,4)</f>
        <v>15.7933</v>
      </c>
      <c r="F35" s="134">
        <f>ROUND('Loonschijven_Tranches salariale'!$B36*6/F$7+0.000049,4)</f>
        <v>15.995799999999999</v>
      </c>
      <c r="G35" s="134">
        <f>ROUND('Loonschijven_Tranches salariale'!$B36*6/G$7+0.000049,4)</f>
        <v>16.203499999999998</v>
      </c>
      <c r="H35" s="134">
        <f>ROUND('Loonschijven_Tranches salariale'!$B36*6/H$7+0.000049,4)</f>
        <v>16.416699999999999</v>
      </c>
      <c r="I35" s="134">
        <f>ROUND('Loonschijven_Tranches salariale'!$B36*6/I$7+0.000049,4)</f>
        <v>16.6356</v>
      </c>
      <c r="J35" s="134">
        <f>ROUND('Loonschijven_Tranches salariale'!$B36*6/J$7+0.000049,4)</f>
        <v>16.860399999999998</v>
      </c>
      <c r="K35" s="134">
        <f>ROUND('Loonschijven_Tranches salariale'!$B36*6/K$7+0.000049,4)</f>
        <v>17.0914</v>
      </c>
      <c r="L35" s="134">
        <f>ROUND('Loonschijven_Tranches salariale'!$B36*6/L$7+0.000049,4)</f>
        <v>17.328700000000001</v>
      </c>
      <c r="M35" s="134">
        <f>ROUND('Loonschijven_Tranches salariale'!$B36*6/M$7+0.000049,4)</f>
        <v>17.572800000000001</v>
      </c>
      <c r="N35" s="138">
        <f>ROUND('Loonschijven_Tranches salariale'!$B36*6/N$7+0.000049,4)</f>
        <v>17.823899999999998</v>
      </c>
    </row>
    <row r="36" spans="1:14">
      <c r="A36" s="105"/>
      <c r="B36" s="105"/>
      <c r="C36" s="195">
        <f>C35+1</f>
        <v>57</v>
      </c>
      <c r="D36" s="134">
        <f>ROUND('Loonschijven_Tranches salariale'!$B37*6/D$7+0.000049,4)</f>
        <v>15.830399999999999</v>
      </c>
      <c r="E36" s="134">
        <f>ROUND('Loonschijven_Tranches salariale'!$B37*6/E$7+0.000049,4)</f>
        <v>16.030799999999999</v>
      </c>
      <c r="F36" s="134">
        <f>ROUND('Loonschijven_Tranches salariale'!$B37*6/F$7+0.000049,4)</f>
        <v>16.2363</v>
      </c>
      <c r="G36" s="134">
        <f>ROUND('Loonschijven_Tranches salariale'!$B37*6/G$7+0.000049,4)</f>
        <v>16.447199999999999</v>
      </c>
      <c r="H36" s="134">
        <f>ROUND('Loonschijven_Tranches salariale'!$B37*6/H$7+0.000049,4)</f>
        <v>16.663599999999999</v>
      </c>
      <c r="I36" s="134">
        <f>ROUND('Loonschijven_Tranches salariale'!$B37*6/I$7+0.000049,4)</f>
        <v>16.8857</v>
      </c>
      <c r="J36" s="134">
        <f>ROUND('Loonschijven_Tranches salariale'!$B37*6/J$7+0.000049,4)</f>
        <v>17.113900000000001</v>
      </c>
      <c r="K36" s="134">
        <f>ROUND('Loonschijven_Tranches salariale'!$B37*6/K$7+0.000049,4)</f>
        <v>17.348400000000002</v>
      </c>
      <c r="L36" s="134">
        <f>ROUND('Loonschijven_Tranches salariale'!$B37*6/L$7+0.000049,4)</f>
        <v>17.589300000000001</v>
      </c>
      <c r="M36" s="134">
        <f>ROUND('Loonschijven_Tranches salariale'!$B37*6/M$7+0.000049,4)</f>
        <v>17.8371</v>
      </c>
      <c r="N36" s="138">
        <f>ROUND('Loonschijven_Tranches salariale'!$B37*6/N$7+0.000049,4)</f>
        <v>18.091899999999999</v>
      </c>
    </row>
    <row r="37" spans="1:14">
      <c r="A37" s="105"/>
      <c r="B37" s="105"/>
      <c r="C37" s="193">
        <f>C36+1</f>
        <v>58</v>
      </c>
      <c r="D37" s="134">
        <f>ROUND('Loonschijven_Tranches salariale'!$B38*6/D$7+0.000049,4)</f>
        <v>16.064900000000002</v>
      </c>
      <c r="E37" s="134">
        <f>ROUND('Loonschijven_Tranches salariale'!$B38*6/E$7+0.000049,4)</f>
        <v>16.2683</v>
      </c>
      <c r="F37" s="134">
        <f>ROUND('Loonschijven_Tranches salariale'!$B38*6/F$7+0.000049,4)</f>
        <v>16.476800000000001</v>
      </c>
      <c r="G37" s="134">
        <f>ROUND('Loonschijven_Tranches salariale'!$B38*6/G$7+0.000049,4)</f>
        <v>16.690799999999999</v>
      </c>
      <c r="H37" s="134">
        <f>ROUND('Loonschijven_Tranches salariale'!$B38*6/H$7+0.000049,4)</f>
        <v>16.910399999999999</v>
      </c>
      <c r="I37" s="134">
        <f>ROUND('Loonschijven_Tranches salariale'!$B38*6/I$7+0.000049,4)</f>
        <v>17.135899999999999</v>
      </c>
      <c r="J37" s="134">
        <f>ROUND('Loonschijven_Tranches salariale'!$B38*6/J$7+0.000049,4)</f>
        <v>17.3675</v>
      </c>
      <c r="K37" s="134">
        <f>ROUND('Loonschijven_Tranches salariale'!$B38*6/K$7+0.000049,4)</f>
        <v>17.605399999999999</v>
      </c>
      <c r="L37" s="134">
        <f>ROUND('Loonschijven_Tranches salariale'!$B38*6/L$7+0.000049,4)</f>
        <v>17.849900000000002</v>
      </c>
      <c r="M37" s="134">
        <f>ROUND('Loonschijven_Tranches salariale'!$B38*6/M$7+0.000049,4)</f>
        <v>18.101299999999998</v>
      </c>
      <c r="N37" s="138">
        <f>ROUND('Loonschijven_Tranches salariale'!$B38*6/N$7+0.000049,4)</f>
        <v>18.3599</v>
      </c>
    </row>
    <row r="38" spans="1:14">
      <c r="C38" s="193">
        <f>C37+1</f>
        <v>59</v>
      </c>
      <c r="D38" s="134">
        <f>ROUND('Loonschijven_Tranches salariale'!$B39*6/D$7+0.000049,4)</f>
        <v>16.299399999999999</v>
      </c>
      <c r="E38" s="134">
        <f>ROUND('Loonschijven_Tranches salariale'!$B39*6/E$7+0.000049,4)</f>
        <v>16.505700000000001</v>
      </c>
      <c r="F38" s="134">
        <f>ROUND('Loonschijven_Tranches salariale'!$B39*6/F$7+0.000049,4)</f>
        <v>16.717300000000002</v>
      </c>
      <c r="G38" s="134">
        <f>ROUND('Loonschijven_Tranches salariale'!$B39*6/G$7+0.000049,4)</f>
        <v>16.9344</v>
      </c>
      <c r="H38" s="134">
        <f>ROUND('Loonschijven_Tranches salariale'!$B39*6/H$7+0.000049,4)</f>
        <v>17.157299999999999</v>
      </c>
      <c r="I38" s="134">
        <f>ROUND('Loonschijven_Tranches salariale'!$B39*6/I$7+0.000049,4)</f>
        <v>17.385999999999999</v>
      </c>
      <c r="J38" s="134">
        <f>ROUND('Loonschijven_Tranches salariale'!$B39*6/J$7+0.000049,4)</f>
        <v>17.620999999999999</v>
      </c>
      <c r="K38" s="134">
        <f>ROUND('Loonschijven_Tranches salariale'!$B39*6/K$7+0.000049,4)</f>
        <v>17.862400000000001</v>
      </c>
      <c r="L38" s="134">
        <f>ROUND('Loonschijven_Tranches salariale'!$B39*6/L$7+0.000049,4)</f>
        <v>18.110399999999998</v>
      </c>
      <c r="M38" s="134">
        <f>ROUND('Loonschijven_Tranches salariale'!$B39*6/M$7+0.000049,4)</f>
        <v>18.365500000000001</v>
      </c>
      <c r="N38" s="138">
        <f>ROUND('Loonschijven_Tranches salariale'!$B39*6/N$7+0.000049,4)</f>
        <v>18.6279</v>
      </c>
    </row>
    <row r="39" spans="1:14">
      <c r="C39" s="194">
        <v>60</v>
      </c>
      <c r="D39" s="136">
        <f>ROUND('Loonschijven_Tranches salariale'!$B40*6/D$7+0.000049,4)</f>
        <v>16.533899999999999</v>
      </c>
      <c r="E39" s="136">
        <f>ROUND('Loonschijven_Tranches salariale'!$B40*6/E$7+0.000049,4)</f>
        <v>16.743200000000002</v>
      </c>
      <c r="F39" s="136">
        <f>ROUND('Loonschijven_Tranches salariale'!$B40*6/F$7+0.000049,4)</f>
        <v>16.957899999999999</v>
      </c>
      <c r="G39" s="136">
        <f>ROUND('Loonschijven_Tranches salariale'!$B40*6/G$7+0.000049,4)</f>
        <v>17.178100000000001</v>
      </c>
      <c r="H39" s="136">
        <f>ROUND('Loonschijven_Tranches salariale'!$B40*6/H$7+0.000049,4)</f>
        <v>17.4041</v>
      </c>
      <c r="I39" s="136">
        <f>ROUND('Loonschijven_Tranches salariale'!$B40*6/I$7+0.000049,4)</f>
        <v>17.636199999999999</v>
      </c>
      <c r="J39" s="136">
        <f>ROUND('Loonschijven_Tranches salariale'!$B40*6/J$7+0.000049,4)</f>
        <v>17.874500000000001</v>
      </c>
      <c r="K39" s="136">
        <f>ROUND('Loonschijven_Tranches salariale'!$B40*6/K$7+0.000049,4)</f>
        <v>18.119399999999999</v>
      </c>
      <c r="L39" s="136">
        <f>ROUND('Loonschijven_Tranches salariale'!$B40*6/L$7+0.000049,4)</f>
        <v>18.370999999999999</v>
      </c>
      <c r="M39" s="136">
        <f>ROUND('Loonschijven_Tranches salariale'!$B40*6/M$7+0.000049,4)</f>
        <v>18.629799999999999</v>
      </c>
      <c r="N39" s="137">
        <f>ROUND('Loonschijven_Tranches salariale'!$B40*6/N$7+0.000049,4)</f>
        <v>18.895900000000001</v>
      </c>
    </row>
    <row r="40" spans="1:14">
      <c r="C40" s="193">
        <f t="shared" ref="C40:C49" si="1">C39+1</f>
        <v>61</v>
      </c>
      <c r="D40" s="134">
        <f>ROUND('Loonschijven_Tranches salariale'!$B41*6/D$7+0.000049,4)</f>
        <v>16.7684</v>
      </c>
      <c r="E40" s="134">
        <f>ROUND('Loonschijven_Tranches salariale'!$B41*6/E$7+0.000049,4)</f>
        <v>16.980699999999999</v>
      </c>
      <c r="F40" s="134">
        <f>ROUND('Loonschijven_Tranches salariale'!$B41*6/F$7+0.000049,4)</f>
        <v>17.198399999999999</v>
      </c>
      <c r="G40" s="134">
        <f>ROUND('Loonschijven_Tranches salariale'!$B41*6/G$7+0.000049,4)</f>
        <v>17.421800000000001</v>
      </c>
      <c r="H40" s="134">
        <f>ROUND('Loonschijven_Tranches salariale'!$B41*6/H$7+0.000049,4)</f>
        <v>17.651</v>
      </c>
      <c r="I40" s="134">
        <f>ROUND('Loonschijven_Tranches salariale'!$B41*6/I$7+0.000049,4)</f>
        <v>17.886299999999999</v>
      </c>
      <c r="J40" s="134">
        <f>ROUND('Loonschijven_Tranches salariale'!$B41*6/J$7+0.000049,4)</f>
        <v>18.128</v>
      </c>
      <c r="K40" s="134">
        <f>ROUND('Loonschijven_Tranches salariale'!$B41*6/K$7+0.000049,4)</f>
        <v>18.3764</v>
      </c>
      <c r="L40" s="134">
        <f>ROUND('Loonschijven_Tranches salariale'!$B41*6/L$7+0.000049,4)</f>
        <v>18.631599999999999</v>
      </c>
      <c r="M40" s="134">
        <f>ROUND('Loonschijven_Tranches salariale'!$B41*6/M$7+0.000049,4)</f>
        <v>18.893999999999998</v>
      </c>
      <c r="N40" s="138">
        <f>ROUND('Loonschijven_Tranches salariale'!$B41*6/N$7+0.000049,4)</f>
        <v>19.163900000000002</v>
      </c>
    </row>
    <row r="41" spans="1:14">
      <c r="C41" s="193">
        <f t="shared" si="1"/>
        <v>62</v>
      </c>
      <c r="D41" s="134">
        <f>ROUND('Loonschijven_Tranches salariale'!$B42*6/D$7+0.000049,4)</f>
        <v>17.003</v>
      </c>
      <c r="E41" s="134">
        <f>ROUND('Loonschijven_Tranches salariale'!$B42*6/E$7+0.000049,4)</f>
        <v>17.2182</v>
      </c>
      <c r="F41" s="134">
        <f>ROUND('Loonschijven_Tranches salariale'!$B42*6/F$7+0.000049,4)</f>
        <v>17.4389</v>
      </c>
      <c r="G41" s="134">
        <f>ROUND('Loonschijven_Tranches salariale'!$B42*6/G$7+0.000049,4)</f>
        <v>17.665400000000002</v>
      </c>
      <c r="H41" s="134">
        <f>ROUND('Loonschijven_Tranches salariale'!$B42*6/H$7+0.000049,4)</f>
        <v>17.8978</v>
      </c>
      <c r="I41" s="134">
        <f>ROUND('Loonschijven_Tranches salariale'!$B42*6/I$7+0.000049,4)</f>
        <v>18.136500000000002</v>
      </c>
      <c r="J41" s="134">
        <f>ROUND('Loonschijven_Tranches salariale'!$B42*6/J$7+0.000049,4)</f>
        <v>18.381599999999999</v>
      </c>
      <c r="K41" s="134">
        <f>ROUND('Loonschijven_Tranches salariale'!$B42*6/K$7+0.000049,4)</f>
        <v>18.633400000000002</v>
      </c>
      <c r="L41" s="134">
        <f>ROUND('Loonschijven_Tranches salariale'!$B42*6/L$7+0.000049,4)</f>
        <v>18.892199999999999</v>
      </c>
      <c r="M41" s="134">
        <f>ROUND('Loonschijven_Tranches salariale'!$B42*6/M$7+0.000049,4)</f>
        <v>19.158300000000001</v>
      </c>
      <c r="N41" s="138">
        <f>ROUND('Loonschijven_Tranches salariale'!$B42*6/N$7+0.000049,4)</f>
        <v>19.431899999999999</v>
      </c>
    </row>
    <row r="42" spans="1:14">
      <c r="C42" s="193">
        <f t="shared" si="1"/>
        <v>63</v>
      </c>
      <c r="D42" s="134">
        <f>ROUND('Loonschijven_Tranches salariale'!$B43*6/D$7+0.000049,4)</f>
        <v>17.237500000000001</v>
      </c>
      <c r="E42" s="134">
        <f>ROUND('Loonschijven_Tranches salariale'!$B43*6/E$7+0.000049,4)</f>
        <v>17.4557</v>
      </c>
      <c r="F42" s="134">
        <f>ROUND('Loonschijven_Tranches salariale'!$B43*6/F$7+0.000049,4)</f>
        <v>17.679400000000001</v>
      </c>
      <c r="G42" s="134">
        <f>ROUND('Loonschijven_Tranches salariale'!$B43*6/G$7+0.000049,4)</f>
        <v>17.909099999999999</v>
      </c>
      <c r="H42" s="134">
        <f>ROUND('Loonschijven_Tranches salariale'!$B43*6/H$7+0.000049,4)</f>
        <v>18.1447</v>
      </c>
      <c r="I42" s="134">
        <f>ROUND('Loonschijven_Tranches salariale'!$B43*6/I$7+0.000049,4)</f>
        <v>18.386600000000001</v>
      </c>
      <c r="J42" s="134">
        <f>ROUND('Loonschijven_Tranches salariale'!$B43*6/J$7+0.000049,4)</f>
        <v>18.635100000000001</v>
      </c>
      <c r="K42" s="134">
        <f>ROUND('Loonschijven_Tranches salariale'!$B43*6/K$7+0.000049,4)</f>
        <v>18.8904</v>
      </c>
      <c r="L42" s="134">
        <f>ROUND('Loonschijven_Tranches salariale'!$B43*6/L$7+0.000049,4)</f>
        <v>19.152699999999999</v>
      </c>
      <c r="M42" s="134">
        <f>ROUND('Loonschijven_Tranches salariale'!$B43*6/M$7+0.000049,4)</f>
        <v>19.422499999999999</v>
      </c>
      <c r="N42" s="138">
        <f>ROUND('Loonschijven_Tranches salariale'!$B43*6/N$7+0.000049,4)</f>
        <v>19.7</v>
      </c>
    </row>
    <row r="43" spans="1:14">
      <c r="C43" s="193">
        <f t="shared" si="1"/>
        <v>64</v>
      </c>
      <c r="D43" s="134">
        <f>ROUND('Loonschijven_Tranches salariale'!$B44*6/D$7+0.000049,4)</f>
        <v>17.472000000000001</v>
      </c>
      <c r="E43" s="134">
        <f>ROUND('Loonschijven_Tranches salariale'!$B44*6/E$7+0.000049,4)</f>
        <v>17.693100000000001</v>
      </c>
      <c r="F43" s="134">
        <f>ROUND('Loonschijven_Tranches salariale'!$B44*6/F$7+0.000049,4)</f>
        <v>17.920000000000002</v>
      </c>
      <c r="G43" s="134">
        <f>ROUND('Loonschijven_Tranches salariale'!$B44*6/G$7+0.000049,4)</f>
        <v>18.152699999999999</v>
      </c>
      <c r="H43" s="134">
        <f>ROUND('Loonschijven_Tranches salariale'!$B44*6/H$7+0.000049,4)</f>
        <v>18.391500000000001</v>
      </c>
      <c r="I43" s="134">
        <f>ROUND('Loonschijven_Tranches salariale'!$B44*6/I$7+0.000049,4)</f>
        <v>18.636800000000001</v>
      </c>
      <c r="J43" s="134">
        <f>ROUND('Loonschijven_Tranches salariale'!$B44*6/J$7+0.000049,4)</f>
        <v>18.8886</v>
      </c>
      <c r="K43" s="134">
        <f>ROUND('Loonschijven_Tranches salariale'!$B44*6/K$7+0.000049,4)</f>
        <v>19.147400000000001</v>
      </c>
      <c r="L43" s="134">
        <f>ROUND('Loonschijven_Tranches salariale'!$B44*6/L$7+0.000049,4)</f>
        <v>19.4133</v>
      </c>
      <c r="M43" s="134">
        <f>ROUND('Loonschijven_Tranches salariale'!$B44*6/M$7+0.000049,4)</f>
        <v>19.686699999999998</v>
      </c>
      <c r="N43" s="138">
        <f>ROUND('Loonschijven_Tranches salariale'!$B44*6/N$7+0.000049,4)</f>
        <v>19.968</v>
      </c>
    </row>
    <row r="44" spans="1:14">
      <c r="C44" s="194">
        <f t="shared" si="1"/>
        <v>65</v>
      </c>
      <c r="D44" s="136">
        <f>ROUND('Loonschijven_Tranches salariale'!$B45*6/D$7+0.000049,4)</f>
        <v>17.706499999999998</v>
      </c>
      <c r="E44" s="136">
        <f>ROUND('Loonschijven_Tranches salariale'!$B45*6/E$7+0.000049,4)</f>
        <v>17.930599999999998</v>
      </c>
      <c r="F44" s="136">
        <f>ROUND('Loonschijven_Tranches salariale'!$B45*6/F$7+0.000049,4)</f>
        <v>18.160499999999999</v>
      </c>
      <c r="G44" s="136">
        <f>ROUND('Loonschijven_Tranches salariale'!$B45*6/G$7+0.000049,4)</f>
        <v>18.3964</v>
      </c>
      <c r="H44" s="136">
        <f>ROUND('Loonschijven_Tranches salariale'!$B45*6/H$7+0.000049,4)</f>
        <v>18.638400000000001</v>
      </c>
      <c r="I44" s="136">
        <f>ROUND('Loonschijven_Tranches salariale'!$B45*6/I$7+0.000049,4)</f>
        <v>18.886900000000001</v>
      </c>
      <c r="J44" s="136">
        <f>ROUND('Loonschijven_Tranches salariale'!$B45*6/J$7+0.000049,4)</f>
        <v>19.142199999999999</v>
      </c>
      <c r="K44" s="136">
        <f>ROUND('Loonschijven_Tranches salariale'!$B45*6/K$7+0.000049,4)</f>
        <v>19.404399999999999</v>
      </c>
      <c r="L44" s="136">
        <f>ROUND('Loonschijven_Tranches salariale'!$B45*6/L$7+0.000049,4)</f>
        <v>19.6739</v>
      </c>
      <c r="M44" s="136">
        <f>ROUND('Loonschijven_Tranches salariale'!$B45*6/M$7+0.000049,4)</f>
        <v>19.951000000000001</v>
      </c>
      <c r="N44" s="137">
        <f>ROUND('Loonschijven_Tranches salariale'!$B45*6/N$7+0.000049,4)</f>
        <v>20.236000000000001</v>
      </c>
    </row>
    <row r="45" spans="1:14">
      <c r="C45" s="193">
        <f t="shared" si="1"/>
        <v>66</v>
      </c>
      <c r="D45" s="134">
        <f>ROUND('Loonschijven_Tranches salariale'!$B46*6/D$7+0.000049,4)</f>
        <v>17.940999999999999</v>
      </c>
      <c r="E45" s="134">
        <f>ROUND('Loonschijven_Tranches salariale'!$B46*6/E$7+0.000049,4)</f>
        <v>18.168099999999999</v>
      </c>
      <c r="F45" s="134">
        <f>ROUND('Loonschijven_Tranches salariale'!$B46*6/F$7+0.000049,4)</f>
        <v>18.401</v>
      </c>
      <c r="G45" s="134">
        <f>ROUND('Loonschijven_Tranches salariale'!$B46*6/G$7+0.000049,4)</f>
        <v>18.64</v>
      </c>
      <c r="H45" s="134">
        <f>ROUND('Loonschijven_Tranches salariale'!$B46*6/H$7+0.000049,4)</f>
        <v>18.885300000000001</v>
      </c>
      <c r="I45" s="134">
        <f>ROUND('Loonschijven_Tranches salariale'!$B46*6/I$7+0.000049,4)</f>
        <v>19.1371</v>
      </c>
      <c r="J45" s="134">
        <f>ROUND('Loonschijven_Tranches salariale'!$B46*6/J$7+0.000049,4)</f>
        <v>19.395700000000001</v>
      </c>
      <c r="K45" s="134">
        <f>ROUND('Loonschijven_Tranches salariale'!$B46*6/K$7+0.000049,4)</f>
        <v>19.6614</v>
      </c>
      <c r="L45" s="134">
        <f>ROUND('Loonschijven_Tranches salariale'!$B46*6/L$7+0.000049,4)</f>
        <v>19.9344</v>
      </c>
      <c r="M45" s="134">
        <f>ROUND('Loonschijven_Tranches salariale'!$B46*6/M$7+0.000049,4)</f>
        <v>20.215199999999999</v>
      </c>
      <c r="N45" s="138">
        <f>ROUND('Loonschijven_Tranches salariale'!$B46*6/N$7+0.000049,4)</f>
        <v>20.504000000000001</v>
      </c>
    </row>
    <row r="46" spans="1:14">
      <c r="C46" s="193">
        <f t="shared" si="1"/>
        <v>67</v>
      </c>
      <c r="D46" s="134">
        <f>ROUND('Loonschijven_Tranches salariale'!$B47*6/D$7+0.000049,4)</f>
        <v>18.1755</v>
      </c>
      <c r="E46" s="134">
        <f>ROUND('Loonschijven_Tranches salariale'!$B47*6/E$7+0.000049,4)</f>
        <v>18.4056</v>
      </c>
      <c r="F46" s="134">
        <f>ROUND('Loonschijven_Tranches salariale'!$B47*6/F$7+0.000049,4)</f>
        <v>18.6416</v>
      </c>
      <c r="G46" s="134">
        <f>ROUND('Loonschijven_Tranches salariale'!$B47*6/G$7+0.000049,4)</f>
        <v>18.883700000000001</v>
      </c>
      <c r="H46" s="134">
        <f>ROUND('Loonschijven_Tranches salariale'!$B47*6/H$7+0.000049,4)</f>
        <v>19.132100000000001</v>
      </c>
      <c r="I46" s="134">
        <f>ROUND('Loonschijven_Tranches salariale'!$B47*6/I$7+0.000049,4)</f>
        <v>19.3872</v>
      </c>
      <c r="J46" s="134">
        <f>ROUND('Loonschijven_Tranches salariale'!$B47*6/J$7+0.000049,4)</f>
        <v>19.6492</v>
      </c>
      <c r="K46" s="134">
        <f>ROUND('Loonschijven_Tranches salariale'!$B47*6/K$7+0.000049,4)</f>
        <v>19.918399999999998</v>
      </c>
      <c r="L46" s="134">
        <f>ROUND('Loonschijven_Tranches salariale'!$B47*6/L$7+0.000049,4)</f>
        <v>20.195</v>
      </c>
      <c r="M46" s="134">
        <f>ROUND('Loonschijven_Tranches salariale'!$B47*6/M$7+0.000049,4)</f>
        <v>20.479500000000002</v>
      </c>
      <c r="N46" s="138">
        <f>ROUND('Loonschijven_Tranches salariale'!$B47*6/N$7+0.000049,4)</f>
        <v>20.771999999999998</v>
      </c>
    </row>
    <row r="47" spans="1:14">
      <c r="C47" s="193">
        <f t="shared" si="1"/>
        <v>68</v>
      </c>
      <c r="D47" s="134">
        <f>ROUND('Loonschijven_Tranches salariale'!$B48*6/D$7+0.000049,4)</f>
        <v>18.41</v>
      </c>
      <c r="E47" s="134">
        <f>ROUND('Loonschijven_Tranches salariale'!$B48*6/E$7+0.000049,4)</f>
        <v>18.6431</v>
      </c>
      <c r="F47" s="134">
        <f>ROUND('Loonschijven_Tranches salariale'!$B48*6/F$7+0.000049,4)</f>
        <v>18.882100000000001</v>
      </c>
      <c r="G47" s="134">
        <f>ROUND('Loonschijven_Tranches salariale'!$B48*6/G$7+0.000049,4)</f>
        <v>19.127300000000002</v>
      </c>
      <c r="H47" s="134">
        <f>ROUND('Loonschijven_Tranches salariale'!$B48*6/H$7+0.000049,4)</f>
        <v>19.379000000000001</v>
      </c>
      <c r="I47" s="134">
        <f>ROUND('Loonschijven_Tranches salariale'!$B48*6/I$7+0.000049,4)</f>
        <v>19.6374</v>
      </c>
      <c r="J47" s="134">
        <f>ROUND('Loonschijven_Tranches salariale'!$B48*6/J$7+0.000049,4)</f>
        <v>19.902699999999999</v>
      </c>
      <c r="K47" s="134">
        <f>ROUND('Loonschijven_Tranches salariale'!$B48*6/K$7+0.000049,4)</f>
        <v>20.1754</v>
      </c>
      <c r="L47" s="134">
        <f>ROUND('Loonschijven_Tranches salariale'!$B48*6/L$7+0.000049,4)</f>
        <v>20.4556</v>
      </c>
      <c r="M47" s="134">
        <f>ROUND('Loonschijven_Tranches salariale'!$B48*6/M$7+0.000049,4)</f>
        <v>20.7437</v>
      </c>
      <c r="N47" s="138">
        <f>ROUND('Loonschijven_Tranches salariale'!$B48*6/N$7+0.000049,4)</f>
        <v>21.04</v>
      </c>
    </row>
    <row r="48" spans="1:14">
      <c r="C48" s="193">
        <f t="shared" si="1"/>
        <v>69</v>
      </c>
      <c r="D48" s="134">
        <f>ROUND('Loonschijven_Tranches salariale'!$B49*6/D$7+0.000049,4)</f>
        <v>18.644500000000001</v>
      </c>
      <c r="E48" s="134">
        <f>ROUND('Loonschijven_Tranches salariale'!$B49*6/E$7+0.000049,4)</f>
        <v>18.880500000000001</v>
      </c>
      <c r="F48" s="134">
        <f>ROUND('Loonschijven_Tranches salariale'!$B49*6/F$7+0.000049,4)</f>
        <v>19.122599999999998</v>
      </c>
      <c r="G48" s="134">
        <f>ROUND('Loonschijven_Tranches salariale'!$B49*6/G$7+0.000049,4)</f>
        <v>19.370899999999999</v>
      </c>
      <c r="H48" s="134">
        <f>ROUND('Loonschijven_Tranches salariale'!$B49*6/H$7+0.000049,4)</f>
        <v>19.625800000000002</v>
      </c>
      <c r="I48" s="134">
        <f>ROUND('Loonschijven_Tranches salariale'!$B49*6/I$7+0.000049,4)</f>
        <v>19.887499999999999</v>
      </c>
      <c r="J48" s="134">
        <f>ROUND('Loonschijven_Tranches salariale'!$B49*6/J$7+0.000049,4)</f>
        <v>20.156300000000002</v>
      </c>
      <c r="K48" s="134">
        <f>ROUND('Loonschijven_Tranches salariale'!$B49*6/K$7+0.000049,4)</f>
        <v>20.432400000000001</v>
      </c>
      <c r="L48" s="134">
        <f>ROUND('Loonschijven_Tranches salariale'!$B49*6/L$7+0.000049,4)</f>
        <v>20.716100000000001</v>
      </c>
      <c r="M48" s="134">
        <f>ROUND('Loonschijven_Tranches salariale'!$B49*6/M$7+0.000049,4)</f>
        <v>21.007899999999999</v>
      </c>
      <c r="N48" s="138">
        <f>ROUND('Loonschijven_Tranches salariale'!$B49*6/N$7+0.000049,4)</f>
        <v>21.308</v>
      </c>
    </row>
    <row r="49" spans="3:14">
      <c r="C49" s="196">
        <f t="shared" si="1"/>
        <v>70</v>
      </c>
      <c r="D49" s="136">
        <f>ROUND('Loonschijven_Tranches salariale'!$B50*6/D$7+0.000049,4)</f>
        <v>18.879100000000001</v>
      </c>
      <c r="E49" s="136">
        <f>ROUND('Loonschijven_Tranches salariale'!$B50*6/E$7+0.000049,4)</f>
        <v>19.117999999999999</v>
      </c>
      <c r="F49" s="136">
        <f>ROUND('Loonschijven_Tranches salariale'!$B50*6/F$7+0.000049,4)</f>
        <v>19.363099999999999</v>
      </c>
      <c r="G49" s="136">
        <f>ROUND('Loonschijven_Tranches salariale'!$B50*6/G$7+0.000049,4)</f>
        <v>19.614599999999999</v>
      </c>
      <c r="H49" s="136">
        <f>ROUND('Loonschijven_Tranches salariale'!$B50*6/H$7+0.000049,4)</f>
        <v>19.872699999999998</v>
      </c>
      <c r="I49" s="136">
        <f>ROUND('Loonschijven_Tranches salariale'!$B50*6/I$7+0.000049,4)</f>
        <v>20.137699999999999</v>
      </c>
      <c r="J49" s="136">
        <f>ROUND('Loonschijven_Tranches salariale'!$B50*6/J$7+0.000049,4)</f>
        <v>20.409800000000001</v>
      </c>
      <c r="K49" s="136">
        <f>ROUND('Loonschijven_Tranches salariale'!$B50*6/K$7+0.000049,4)</f>
        <v>20.689399999999999</v>
      </c>
      <c r="L49" s="136">
        <f>ROUND('Loonschijven_Tranches salariale'!$B50*6/L$7+0.000049,4)</f>
        <v>20.976700000000001</v>
      </c>
      <c r="M49" s="136">
        <f>ROUND('Loonschijven_Tranches salariale'!$B50*6/M$7+0.000049,4)</f>
        <v>21.272200000000002</v>
      </c>
      <c r="N49" s="137">
        <f>ROUND('Loonschijven_Tranches salariale'!$B50*6/N$7+0.000049,4)</f>
        <v>21.5761</v>
      </c>
    </row>
    <row r="50" spans="3:14">
      <c r="C50" s="193">
        <f t="shared" ref="C50:C78" si="2">C49+1</f>
        <v>71</v>
      </c>
      <c r="D50" s="134">
        <f>ROUND('Loonschijven_Tranches salariale'!$B51*6/D$7+0.000049,4)</f>
        <v>18.915900000000001</v>
      </c>
      <c r="E50" s="134">
        <f>ROUND('Loonschijven_Tranches salariale'!$B51*6/E$7+0.000049,4)</f>
        <v>19.1553</v>
      </c>
      <c r="F50" s="134">
        <f>ROUND('Loonschijven_Tranches salariale'!$B51*6/F$7+0.000049,4)</f>
        <v>19.4009</v>
      </c>
      <c r="G50" s="134">
        <f>ROUND('Loonschijven_Tranches salariale'!$B51*6/G$7+0.000049,4)</f>
        <v>19.652899999999999</v>
      </c>
      <c r="H50" s="134">
        <f>ROUND('Loonschijven_Tranches salariale'!$B51*6/H$7+0.000049,4)</f>
        <v>19.9114</v>
      </c>
      <c r="I50" s="134">
        <f>ROUND('Loonschijven_Tranches salariale'!$B51*6/I$7+0.000049,4)</f>
        <v>20.1769</v>
      </c>
      <c r="J50" s="134">
        <f>ROUND('Loonschijven_Tranches salariale'!$B51*6/J$7+0.000049,4)</f>
        <v>20.4496</v>
      </c>
      <c r="K50" s="134">
        <f>ROUND('Loonschijven_Tranches salariale'!$B51*6/K$7+0.000049,4)</f>
        <v>20.729700000000001</v>
      </c>
      <c r="L50" s="134">
        <f>ROUND('Loonschijven_Tranches salariale'!$B51*6/L$7+0.000049,4)</f>
        <v>21.017600000000002</v>
      </c>
      <c r="M50" s="134">
        <f>ROUND('Loonschijven_Tranches salariale'!$B51*6/M$7+0.000049,4)</f>
        <v>21.313700000000001</v>
      </c>
      <c r="N50" s="138">
        <f>ROUND('Loonschijven_Tranches salariale'!$B51*6/N$7+0.000049,4)</f>
        <v>21.618099999999998</v>
      </c>
    </row>
    <row r="51" spans="3:14">
      <c r="C51" s="193">
        <f t="shared" si="2"/>
        <v>72</v>
      </c>
      <c r="D51" s="134">
        <f>ROUND('Loonschijven_Tranches salariale'!$B52*6/D$7+0.000049,4)</f>
        <v>19.1523</v>
      </c>
      <c r="E51" s="134">
        <f>ROUND('Loonschijven_Tranches salariale'!$B52*6/E$7+0.000049,4)</f>
        <v>19.3947</v>
      </c>
      <c r="F51" s="134">
        <f>ROUND('Loonschijven_Tranches salariale'!$B52*6/F$7+0.000049,4)</f>
        <v>19.6434</v>
      </c>
      <c r="G51" s="134">
        <f>ROUND('Loonschijven_Tranches salariale'!$B52*6/G$7+0.000049,4)</f>
        <v>19.898499999999999</v>
      </c>
      <c r="H51" s="134">
        <f>ROUND('Loonschijven_Tranches salariale'!$B52*6/H$7+0.000049,4)</f>
        <v>20.160299999999999</v>
      </c>
      <c r="I51" s="134">
        <f>ROUND('Loonschijven_Tranches salariale'!$B52*6/I$7+0.000049,4)</f>
        <v>20.429099999999998</v>
      </c>
      <c r="J51" s="134">
        <f>ROUND('Loonschijven_Tranches salariale'!$B52*6/J$7+0.000049,4)</f>
        <v>20.705200000000001</v>
      </c>
      <c r="K51" s="134">
        <f>ROUND('Loonschijven_Tranches salariale'!$B52*6/K$7+0.000049,4)</f>
        <v>20.988800000000001</v>
      </c>
      <c r="L51" s="134">
        <f>ROUND('Loonschijven_Tranches salariale'!$B52*6/L$7+0.000049,4)</f>
        <v>21.2803</v>
      </c>
      <c r="M51" s="134">
        <f>ROUND('Loonschijven_Tranches salariale'!$B52*6/M$7+0.000049,4)</f>
        <v>21.58</v>
      </c>
      <c r="N51" s="138">
        <f>ROUND('Loonschijven_Tranches salariale'!$B52*6/N$7+0.000049,4)</f>
        <v>21.888300000000001</v>
      </c>
    </row>
    <row r="52" spans="3:14">
      <c r="C52" s="193">
        <f t="shared" si="2"/>
        <v>73</v>
      </c>
      <c r="D52" s="134">
        <f>ROUND('Loonschijven_Tranches salariale'!$B53*6/D$7+0.000049,4)</f>
        <v>19.300799999999999</v>
      </c>
      <c r="E52" s="134">
        <f>ROUND('Loonschijven_Tranches salariale'!$B53*6/E$7+0.000049,4)</f>
        <v>19.545100000000001</v>
      </c>
      <c r="F52" s="134">
        <f>ROUND('Loonschijven_Tranches salariale'!$B53*6/F$7+0.000049,4)</f>
        <v>19.7957</v>
      </c>
      <c r="G52" s="134">
        <f>ROUND('Loonschijven_Tranches salariale'!$B53*6/G$7+0.000049,4)</f>
        <v>20.052800000000001</v>
      </c>
      <c r="H52" s="134">
        <f>ROUND('Loonschijven_Tranches salariale'!$B53*6/H$7+0.000049,4)</f>
        <v>20.316700000000001</v>
      </c>
      <c r="I52" s="134">
        <f>ROUND('Loonschijven_Tranches salariale'!$B53*6/I$7+0.000049,4)</f>
        <v>20.587599999999998</v>
      </c>
      <c r="J52" s="134">
        <f>ROUND('Loonschijven_Tranches salariale'!$B53*6/J$7+0.000049,4)</f>
        <v>20.8658</v>
      </c>
      <c r="K52" s="134">
        <f>ROUND('Loonschijven_Tranches salariale'!$B53*6/K$7+0.000049,4)</f>
        <v>21.151599999999998</v>
      </c>
      <c r="L52" s="134">
        <f>ROUND('Loonschijven_Tranches salariale'!$B53*6/L$7+0.000049,4)</f>
        <v>21.445399999999999</v>
      </c>
      <c r="M52" s="134">
        <f>ROUND('Loonschijven_Tranches salariale'!$B53*6/M$7+0.000049,4)</f>
        <v>21.747399999999999</v>
      </c>
      <c r="N52" s="138">
        <f>ROUND('Loonschijven_Tranches salariale'!$B53*6/N$7+0.000049,4)</f>
        <v>22.0581</v>
      </c>
    </row>
    <row r="53" spans="3:14">
      <c r="C53" s="268">
        <f t="shared" si="2"/>
        <v>74</v>
      </c>
      <c r="D53" s="269">
        <f>ROUND('Loonschijven_Tranches salariale'!$B54*6/D$7+0.000049,4)</f>
        <v>19.535299999999999</v>
      </c>
      <c r="E53" s="269">
        <f>ROUND('Loonschijven_Tranches salariale'!$B54*6/E$7+0.000049,4)</f>
        <v>19.782599999999999</v>
      </c>
      <c r="F53" s="269">
        <f>ROUND('Loonschijven_Tranches salariale'!$B54*6/F$7+0.000049,4)</f>
        <v>20.036200000000001</v>
      </c>
      <c r="G53" s="269">
        <f>ROUND('Loonschijven_Tranches salariale'!$B54*6/G$7+0.000049,4)</f>
        <v>20.296500000000002</v>
      </c>
      <c r="H53" s="269">
        <f>ROUND('Loonschijven_Tranches salariale'!$B54*6/H$7+0.000049,4)</f>
        <v>20.563500000000001</v>
      </c>
      <c r="I53" s="269">
        <f>ROUND('Loonschijven_Tranches salariale'!$B54*6/I$7+0.000049,4)</f>
        <v>20.837700000000002</v>
      </c>
      <c r="J53" s="269">
        <f>ROUND('Loonschijven_Tranches salariale'!$B54*6/J$7+0.000049,4)</f>
        <v>21.119299999999999</v>
      </c>
      <c r="K53" s="269">
        <f>ROUND('Loonschijven_Tranches salariale'!$B54*6/K$7+0.000049,4)</f>
        <v>21.4086</v>
      </c>
      <c r="L53" s="269">
        <f>ROUND('Loonschijven_Tranches salariale'!$B54*6/L$7+0.000049,4)</f>
        <v>21.7059</v>
      </c>
      <c r="M53" s="269">
        <f>ROUND('Loonschijven_Tranches salariale'!$B54*6/M$7+0.000049,4)</f>
        <v>22.011600000000001</v>
      </c>
      <c r="N53" s="270">
        <f>ROUND('Loonschijven_Tranches salariale'!$B54*6/N$7+0.000049,4)</f>
        <v>22.3261</v>
      </c>
    </row>
    <row r="54" spans="3:14">
      <c r="C54" s="285">
        <f t="shared" si="2"/>
        <v>75</v>
      </c>
      <c r="D54" s="286">
        <f>ROUND('Loonschijven_Tranches salariale'!$B55*6/D$7+0.000049,4)</f>
        <v>19.779499999999999</v>
      </c>
      <c r="E54" s="286">
        <f>ROUND('Loonschijven_Tranches salariale'!$B55*6/E$7+0.000049,4)</f>
        <v>20.029900000000001</v>
      </c>
      <c r="F54" s="286">
        <f>ROUND('Loonschijven_Tranches salariale'!$B55*6/F$7+0.000049,4)</f>
        <v>20.2867</v>
      </c>
      <c r="G54" s="286">
        <f>ROUND('Loonschijven_Tranches salariale'!$B55*6/G$7+0.000049,4)</f>
        <v>20.5502</v>
      </c>
      <c r="H54" s="286">
        <f>ROUND('Loonschijven_Tranches salariale'!$B55*6/H$7+0.000049,4)</f>
        <v>20.820599999999999</v>
      </c>
      <c r="I54" s="286">
        <f>ROUND('Loonschijven_Tranches salariale'!$B55*6/I$7+0.000049,4)</f>
        <v>21.098199999999999</v>
      </c>
      <c r="J54" s="286">
        <f>ROUND('Loonschijven_Tranches salariale'!$B55*6/J$7+0.000049,4)</f>
        <v>21.383299999999998</v>
      </c>
      <c r="K54" s="286">
        <f>ROUND('Loonschijven_Tranches salariale'!$B55*6/K$7+0.000049,4)</f>
        <v>21.676200000000001</v>
      </c>
      <c r="L54" s="286">
        <f>ROUND('Loonschijven_Tranches salariale'!$B55*6/L$7+0.000049,4)</f>
        <v>21.9772</v>
      </c>
      <c r="M54" s="286">
        <f>ROUND('Loonschijven_Tranches salariale'!$B55*6/M$7+0.000049,4)</f>
        <v>22.286799999999999</v>
      </c>
      <c r="N54" s="287">
        <f>ROUND('Loonschijven_Tranches salariale'!$B55*6/N$7+0.000049,4)</f>
        <v>22.6052</v>
      </c>
    </row>
    <row r="55" spans="3:14">
      <c r="C55" s="298">
        <f t="shared" si="2"/>
        <v>76</v>
      </c>
      <c r="D55" s="299">
        <f>ROUND('Loonschijven_Tranches salariale'!$B56*6/D$7+0.000049,4)</f>
        <v>19.937799999999999</v>
      </c>
      <c r="E55" s="299">
        <f>ROUND('Loonschijven_Tranches salariale'!$B56*6/E$7+0.000049,4)</f>
        <v>20.190200000000001</v>
      </c>
      <c r="F55" s="299">
        <f>ROUND('Loonschijven_Tranches salariale'!$B56*6/F$7+0.000049,4)</f>
        <v>20.449000000000002</v>
      </c>
      <c r="G55" s="299">
        <f>ROUND('Loonschijven_Tranches salariale'!$B56*6/G$7+0.000049,4)</f>
        <v>20.714600000000001</v>
      </c>
      <c r="H55" s="299">
        <f>ROUND('Loonschijven_Tranches salariale'!$B56*6/H$7+0.000049,4)</f>
        <v>20.987100000000002</v>
      </c>
      <c r="I55" s="299">
        <f>ROUND('Loonschijven_Tranches salariale'!$B56*6/I$7+0.000049,4)</f>
        <v>21.266999999999999</v>
      </c>
      <c r="J55" s="299">
        <f>ROUND('Loonschijven_Tranches salariale'!$B56*6/J$7+0.000049,4)</f>
        <v>21.554400000000001</v>
      </c>
      <c r="K55" s="299">
        <f>ROUND('Loonschijven_Tranches salariale'!$B56*6/K$7+0.000049,4)</f>
        <v>21.849599999999999</v>
      </c>
      <c r="L55" s="299">
        <f>ROUND('Loonschijven_Tranches salariale'!$B56*6/L$7+0.000049,4)</f>
        <v>22.153099999999998</v>
      </c>
      <c r="M55" s="299">
        <f>ROUND('Loonschijven_Tranches salariale'!$B56*6/M$7+0.000049,4)</f>
        <v>22.4651</v>
      </c>
      <c r="N55" s="300">
        <f>ROUND('Loonschijven_Tranches salariale'!$B56*6/N$7+0.000049,4)</f>
        <v>22.786000000000001</v>
      </c>
    </row>
    <row r="56" spans="3:14">
      <c r="C56" s="329">
        <f t="shared" si="2"/>
        <v>77</v>
      </c>
      <c r="D56" s="330">
        <f>ROUND('Loonschijven_Tranches salariale'!$B57*6/D$7+0.000049,4)</f>
        <v>20.1571</v>
      </c>
      <c r="E56" s="330">
        <f>ROUND('Loonschijven_Tranches salariale'!$B57*6/E$7+0.000049,4)</f>
        <v>20.412199999999999</v>
      </c>
      <c r="F56" s="330">
        <f>ROUND('Loonschijven_Tranches salariale'!$B57*6/F$7+0.000049,4)</f>
        <v>20.6739</v>
      </c>
      <c r="G56" s="330">
        <f>ROUND('Loonschijven_Tranches salariale'!$B57*6/G$7+0.000049,4)</f>
        <v>20.942399999999999</v>
      </c>
      <c r="H56" s="330">
        <f>ROUND('Loonschijven_Tranches salariale'!$B57*6/H$7+0.000049,4)</f>
        <v>21.218</v>
      </c>
      <c r="I56" s="330">
        <f>ROUND('Loonschijven_Tranches salariale'!$B57*6/I$7+0.000049,4)</f>
        <v>21.500900000000001</v>
      </c>
      <c r="J56" s="330">
        <f>ROUND('Loonschijven_Tranches salariale'!$B57*6/J$7+0.000049,4)</f>
        <v>21.791399999999999</v>
      </c>
      <c r="K56" s="330">
        <f>ROUND('Loonschijven_Tranches salariale'!$B57*6/K$7+0.000049,4)</f>
        <v>22.09</v>
      </c>
      <c r="L56" s="330">
        <f>ROUND('Loonschijven_Tranches salariale'!$B57*6/L$7+0.000049,4)</f>
        <v>22.396799999999999</v>
      </c>
      <c r="M56" s="330">
        <f>ROUND('Loonschijven_Tranches salariale'!$B57*6/M$7+0.000049,4)</f>
        <v>22.712199999999999</v>
      </c>
      <c r="N56" s="331">
        <f>ROUND('Loonschijven_Tranches salariale'!$B57*6/N$7+0.000049,4)</f>
        <v>23.0367</v>
      </c>
    </row>
    <row r="57" spans="3:14">
      <c r="C57" s="349">
        <f t="shared" si="2"/>
        <v>78</v>
      </c>
      <c r="D57" s="350">
        <f>ROUND('Loonschijven_Tranches salariale'!$B58*6/D$7+0.000049,4)</f>
        <v>20.378799999999998</v>
      </c>
      <c r="E57" s="350">
        <f>ROUND('Loonschijven_Tranches salariale'!$B58*6/E$7+0.000049,4)</f>
        <v>20.636800000000001</v>
      </c>
      <c r="F57" s="350">
        <f>ROUND('Loonschijven_Tranches salariale'!$B58*6/F$7+0.000049,4)</f>
        <v>20.901399999999999</v>
      </c>
      <c r="G57" s="350">
        <f>ROUND('Loonschijven_Tranches salariale'!$B58*6/G$7+0.000049,4)</f>
        <v>21.172799999999999</v>
      </c>
      <c r="H57" s="350">
        <f>ROUND('Loonschijven_Tranches salariale'!$B58*6/H$7+0.000049,4)</f>
        <v>21.4514</v>
      </c>
      <c r="I57" s="350">
        <f>ROUND('Loonschijven_Tranches salariale'!$B58*6/I$7+0.000049,4)</f>
        <v>21.737400000000001</v>
      </c>
      <c r="J57" s="350">
        <f>ROUND('Loonschijven_Tranches salariale'!$B58*6/J$7+0.000049,4)</f>
        <v>22.031199999999998</v>
      </c>
      <c r="K57" s="350">
        <f>ROUND('Loonschijven_Tranches salariale'!$B58*6/K$7+0.000049,4)</f>
        <v>22.332999999999998</v>
      </c>
      <c r="L57" s="350">
        <f>ROUND('Loonschijven_Tranches salariale'!$B58*6/L$7+0.000049,4)</f>
        <v>22.6431</v>
      </c>
      <c r="M57" s="350">
        <f>ROUND('Loonschijven_Tranches salariale'!$B58*6/M$7+0.000049,4)</f>
        <v>22.9621</v>
      </c>
      <c r="N57" s="351">
        <f>ROUND('Loonschijven_Tranches salariale'!$B58*6/N$7+0.000049,4)</f>
        <v>23.290099999999999</v>
      </c>
    </row>
    <row r="58" spans="3:14">
      <c r="C58" s="349">
        <f t="shared" si="2"/>
        <v>79</v>
      </c>
      <c r="D58" s="350">
        <f>ROUND('Loonschijven_Tranches salariale'!$B59*6/D$7+0.000049,4)</f>
        <v>20.603000000000002</v>
      </c>
      <c r="E58" s="350">
        <f>ROUND('Loonschijven_Tranches salariale'!$B59*6/E$7+0.000049,4)</f>
        <v>20.863800000000001</v>
      </c>
      <c r="F58" s="350">
        <f>ROUND('Loonschijven_Tranches salariale'!$B59*6/F$7+0.000049,4)</f>
        <v>21.1313</v>
      </c>
      <c r="G58" s="350">
        <f>ROUND('Loonschijven_Tranches salariale'!$B59*6/G$7+0.000049,4)</f>
        <v>21.4057</v>
      </c>
      <c r="H58" s="350">
        <f>ROUND('Loonschijven_Tranches salariale'!$B59*6/H$7+0.000049,4)</f>
        <v>21.6874</v>
      </c>
      <c r="I58" s="350">
        <f>ROUND('Loonschijven_Tranches salariale'!$B59*6/I$7+0.000049,4)</f>
        <v>21.976500000000001</v>
      </c>
      <c r="J58" s="350">
        <f>ROUND('Loonschijven_Tranches salariale'!$B59*6/J$7+0.000049,4)</f>
        <v>22.273499999999999</v>
      </c>
      <c r="K58" s="350">
        <f>ROUND('Loonschijven_Tranches salariale'!$B59*6/K$7+0.000049,4)</f>
        <v>22.578600000000002</v>
      </c>
      <c r="L58" s="350">
        <f>ROUND('Loonschijven_Tranches salariale'!$B59*6/L$7+0.000049,4)</f>
        <v>22.892199999999999</v>
      </c>
      <c r="M58" s="350">
        <f>ROUND('Loonschijven_Tranches salariale'!$B59*6/M$7+0.000049,4)</f>
        <v>23.214600000000001</v>
      </c>
      <c r="N58" s="351">
        <f>ROUND('Loonschijven_Tranches salariale'!$B59*6/N$7+0.000049,4)</f>
        <v>23.546299999999999</v>
      </c>
    </row>
    <row r="59" spans="3:14">
      <c r="C59" s="397">
        <f t="shared" si="2"/>
        <v>80</v>
      </c>
      <c r="D59" s="398">
        <f>ROUND('Loonschijven_Tranches salariale'!$B60*6/D$7+0.000049,4)</f>
        <v>20.837499999999999</v>
      </c>
      <c r="E59" s="398">
        <f>ROUND('Loonschijven_Tranches salariale'!$B60*6/E$7+0.000049,4)</f>
        <v>21.101299999999998</v>
      </c>
      <c r="F59" s="398">
        <f>ROUND('Loonschijven_Tranches salariale'!$B60*6/F$7+0.000049,4)</f>
        <v>21.3718</v>
      </c>
      <c r="G59" s="398">
        <f>ROUND('Loonschijven_Tranches salariale'!$B60*6/G$7+0.000049,4)</f>
        <v>21.6493</v>
      </c>
      <c r="H59" s="398">
        <f>ROUND('Loonschijven_Tranches salariale'!$B60*6/H$7+0.000049,4)</f>
        <v>21.934200000000001</v>
      </c>
      <c r="I59" s="398">
        <f>ROUND('Loonschijven_Tranches salariale'!$B60*6/I$7+0.000049,4)</f>
        <v>22.226700000000001</v>
      </c>
      <c r="J59" s="398">
        <f>ROUND('Loonschijven_Tranches salariale'!$B60*6/J$7+0.000049,4)</f>
        <v>22.527000000000001</v>
      </c>
      <c r="K59" s="398">
        <f>ROUND('Loonschijven_Tranches salariale'!$B60*6/K$7+0.000049,4)</f>
        <v>22.835599999999999</v>
      </c>
      <c r="L59" s="398">
        <f>ROUND('Loonschijven_Tranches salariale'!$B60*6/L$7+0.000049,4)</f>
        <v>23.152799999999999</v>
      </c>
      <c r="M59" s="398">
        <f>ROUND('Loonschijven_Tranches salariale'!$B60*6/M$7+0.000049,4)</f>
        <v>23.478899999999999</v>
      </c>
      <c r="N59" s="399">
        <f>ROUND('Loonschijven_Tranches salariale'!$B60*6/N$7+0.000049,4)</f>
        <v>23.814299999999999</v>
      </c>
    </row>
    <row r="60" spans="3:14">
      <c r="C60" s="349">
        <f t="shared" si="2"/>
        <v>81</v>
      </c>
      <c r="D60" s="350">
        <f>ROUND('Loonschijven_Tranches salariale'!$B61*6/D$7+0.000049,4)</f>
        <v>21.071999999999999</v>
      </c>
      <c r="E60" s="350">
        <f>ROUND('Loonschijven_Tranches salariale'!$B61*6/E$7+0.000049,4)</f>
        <v>21.338699999999999</v>
      </c>
      <c r="F60" s="350">
        <f>ROUND('Loonschijven_Tranches salariale'!$B61*6/F$7+0.000049,4)</f>
        <v>21.612300000000001</v>
      </c>
      <c r="G60" s="350">
        <f>ROUND('Loonschijven_Tranches salariale'!$B61*6/G$7+0.000049,4)</f>
        <v>21.893000000000001</v>
      </c>
      <c r="H60" s="350">
        <f>ROUND('Loonschijven_Tranches salariale'!$B61*6/H$7+0.000049,4)</f>
        <v>22.181000000000001</v>
      </c>
      <c r="I60" s="350">
        <f>ROUND('Loonschijven_Tranches salariale'!$B61*6/I$7+0.000049,4)</f>
        <v>22.476800000000001</v>
      </c>
      <c r="J60" s="350">
        <f>ROUND('Loonschijven_Tranches salariale'!$B61*6/J$7+0.000049,4)</f>
        <v>22.7805</v>
      </c>
      <c r="K60" s="350">
        <f>ROUND('Loonschijven_Tranches salariale'!$B61*6/K$7+0.000049,4)</f>
        <v>23.092600000000001</v>
      </c>
      <c r="L60" s="350">
        <f>ROUND('Loonschijven_Tranches salariale'!$B61*6/L$7+0.000049,4)</f>
        <v>23.4133</v>
      </c>
      <c r="M60" s="350">
        <f>ROUND('Loonschijven_Tranches salariale'!$B61*6/M$7+0.000049,4)</f>
        <v>23.743099999999998</v>
      </c>
      <c r="N60" s="351">
        <f>ROUND('Loonschijven_Tranches salariale'!$B61*6/N$7+0.000049,4)</f>
        <v>24.0822</v>
      </c>
    </row>
    <row r="61" spans="3:14">
      <c r="C61" s="349">
        <f t="shared" si="2"/>
        <v>82</v>
      </c>
      <c r="D61" s="350">
        <f>ROUND('Loonschijven_Tranches salariale'!$B62*6/D$7+0.000049,4)</f>
        <v>21.3065</v>
      </c>
      <c r="E61" s="350">
        <f>ROUND('Loonschijven_Tranches salariale'!$B62*6/E$7+0.000049,4)</f>
        <v>21.5762</v>
      </c>
      <c r="F61" s="350">
        <f>ROUND('Loonschijven_Tranches salariale'!$B62*6/F$7+0.000049,4)</f>
        <v>21.852799999999998</v>
      </c>
      <c r="G61" s="350">
        <f>ROUND('Loonschijven_Tranches salariale'!$B62*6/G$7+0.000049,4)</f>
        <v>22.136600000000001</v>
      </c>
      <c r="H61" s="350">
        <f>ROUND('Loonschijven_Tranches salariale'!$B62*6/H$7+0.000049,4)</f>
        <v>22.427800000000001</v>
      </c>
      <c r="I61" s="350">
        <f>ROUND('Loonschijven_Tranches salariale'!$B62*6/I$7+0.000049,4)</f>
        <v>22.726900000000001</v>
      </c>
      <c r="J61" s="350">
        <f>ROUND('Loonschijven_Tranches salariale'!$B62*6/J$7+0.000049,4)</f>
        <v>23.033999999999999</v>
      </c>
      <c r="K61" s="350">
        <f>ROUND('Loonschijven_Tranches salariale'!$B62*6/K$7+0.000049,4)</f>
        <v>23.349499999999999</v>
      </c>
      <c r="L61" s="350">
        <f>ROUND('Loonschijven_Tranches salariale'!$B62*6/L$7+0.000049,4)</f>
        <v>23.6738</v>
      </c>
      <c r="M61" s="350">
        <f>ROUND('Loonschijven_Tranches salariale'!$B62*6/M$7+0.000049,4)</f>
        <v>24.007300000000001</v>
      </c>
      <c r="N61" s="351">
        <f>ROUND('Loonschijven_Tranches salariale'!$B62*6/N$7+0.000049,4)</f>
        <v>24.350200000000001</v>
      </c>
    </row>
    <row r="62" spans="3:14">
      <c r="C62" s="349">
        <f t="shared" si="2"/>
        <v>83</v>
      </c>
      <c r="D62" s="350">
        <f>ROUND('Loonschijven_Tranches salariale'!$B63*6/D$7+0.000049,4)</f>
        <v>21.540900000000001</v>
      </c>
      <c r="E62" s="350">
        <f>ROUND('Loonschijven_Tranches salariale'!$B63*6/E$7+0.000049,4)</f>
        <v>21.813600000000001</v>
      </c>
      <c r="F62" s="350">
        <f>ROUND('Loonschijven_Tranches salariale'!$B63*6/F$7+0.000049,4)</f>
        <v>22.093299999999999</v>
      </c>
      <c r="G62" s="350">
        <f>ROUND('Loonschijven_Tranches salariale'!$B63*6/G$7+0.000049,4)</f>
        <v>22.380199999999999</v>
      </c>
      <c r="H62" s="350">
        <f>ROUND('Loonschijven_Tranches salariale'!$B63*6/H$7+0.000049,4)</f>
        <v>22.674700000000001</v>
      </c>
      <c r="I62" s="350">
        <f>ROUND('Loonschijven_Tranches salariale'!$B63*6/I$7+0.000049,4)</f>
        <v>22.977</v>
      </c>
      <c r="J62" s="350">
        <f>ROUND('Loonschijven_Tranches salariale'!$B63*6/J$7+0.000049,4)</f>
        <v>23.287500000000001</v>
      </c>
      <c r="K62" s="350">
        <f>ROUND('Loonschijven_Tranches salariale'!$B63*6/K$7+0.000049,4)</f>
        <v>23.6065</v>
      </c>
      <c r="L62" s="350">
        <f>ROUND('Loonschijven_Tranches salariale'!$B63*6/L$7+0.000049,4)</f>
        <v>23.9344</v>
      </c>
      <c r="M62" s="350">
        <f>ROUND('Loonschijven_Tranches salariale'!$B63*6/M$7+0.000049,4)</f>
        <v>24.2715</v>
      </c>
      <c r="N62" s="351">
        <f>ROUND('Loonschijven_Tranches salariale'!$B63*6/N$7+0.000049,4)</f>
        <v>24.618200000000002</v>
      </c>
    </row>
    <row r="63" spans="3:14">
      <c r="C63" s="349">
        <f t="shared" si="2"/>
        <v>84</v>
      </c>
      <c r="D63" s="350">
        <f>ROUND('Loonschijven_Tranches salariale'!$B64*6/D$7+0.000049,4)</f>
        <v>21.775400000000001</v>
      </c>
      <c r="E63" s="350">
        <f>ROUND('Loonschijven_Tranches salariale'!$B64*6/E$7+0.000049,4)</f>
        <v>22.051100000000002</v>
      </c>
      <c r="F63" s="350">
        <f>ROUND('Loonschijven_Tranches salariale'!$B64*6/F$7+0.000049,4)</f>
        <v>22.3338</v>
      </c>
      <c r="G63" s="350">
        <f>ROUND('Loonschijven_Tranches salariale'!$B64*6/G$7+0.000049,4)</f>
        <v>22.623799999999999</v>
      </c>
      <c r="H63" s="350">
        <f>ROUND('Loonschijven_Tranches salariale'!$B64*6/H$7+0.000049,4)</f>
        <v>22.921500000000002</v>
      </c>
      <c r="I63" s="350">
        <f>ROUND('Loonschijven_Tranches salariale'!$B64*6/I$7+0.000049,4)</f>
        <v>23.2271</v>
      </c>
      <c r="J63" s="350">
        <f>ROUND('Loonschijven_Tranches salariale'!$B64*6/J$7+0.000049,4)</f>
        <v>23.541</v>
      </c>
      <c r="K63" s="350">
        <f>ROUND('Loonschijven_Tranches salariale'!$B64*6/K$7+0.000049,4)</f>
        <v>23.863499999999998</v>
      </c>
      <c r="L63" s="350">
        <f>ROUND('Loonschijven_Tranches salariale'!$B64*6/L$7+0.000049,4)</f>
        <v>24.194900000000001</v>
      </c>
      <c r="M63" s="350">
        <f>ROUND('Loonschijven_Tranches salariale'!$B64*6/M$7+0.000049,4)</f>
        <v>24.535699999999999</v>
      </c>
      <c r="N63" s="351">
        <f>ROUND('Loonschijven_Tranches salariale'!$B64*6/N$7+0.000049,4)</f>
        <v>24.886199999999999</v>
      </c>
    </row>
    <row r="64" spans="3:14">
      <c r="C64" s="397">
        <f t="shared" si="2"/>
        <v>85</v>
      </c>
      <c r="D64" s="398">
        <f>ROUND('Loonschijven_Tranches salariale'!$B65*6/D$7+0.000049,4)</f>
        <v>22.009899999999998</v>
      </c>
      <c r="E64" s="398">
        <f>ROUND('Loonschijven_Tranches salariale'!$B65*6/E$7+0.000049,4)</f>
        <v>22.288499999999999</v>
      </c>
      <c r="F64" s="398">
        <f>ROUND('Loonschijven_Tranches salariale'!$B65*6/F$7+0.000049,4)</f>
        <v>22.574300000000001</v>
      </c>
      <c r="G64" s="398">
        <f>ROUND('Loonschijven_Tranches salariale'!$B65*6/G$7+0.000049,4)</f>
        <v>22.8675</v>
      </c>
      <c r="H64" s="398">
        <f>ROUND('Loonschijven_Tranches salariale'!$B65*6/H$7+0.000049,4)</f>
        <v>23.168299999999999</v>
      </c>
      <c r="I64" s="398">
        <f>ROUND('Loonschijven_Tranches salariale'!$B65*6/I$7+0.000049,4)</f>
        <v>23.4772</v>
      </c>
      <c r="J64" s="398">
        <f>ROUND('Loonschijven_Tranches salariale'!$B65*6/J$7+0.000049,4)</f>
        <v>23.794499999999999</v>
      </c>
      <c r="K64" s="398">
        <f>ROUND('Loonschijven_Tranches salariale'!$B65*6/K$7+0.000049,4)</f>
        <v>24.1205</v>
      </c>
      <c r="L64" s="398">
        <f>ROUND('Loonschijven_Tranches salariale'!$B65*6/L$7+0.000049,4)</f>
        <v>24.455500000000001</v>
      </c>
      <c r="M64" s="398">
        <f>ROUND('Loonschijven_Tranches salariale'!$B65*6/M$7+0.000049,4)</f>
        <v>24.799900000000001</v>
      </c>
      <c r="N64" s="399">
        <f>ROUND('Loonschijven_Tranches salariale'!$B65*6/N$7+0.000049,4)</f>
        <v>25.154199999999999</v>
      </c>
    </row>
    <row r="65" spans="3:14">
      <c r="C65" s="349">
        <f t="shared" si="2"/>
        <v>86</v>
      </c>
      <c r="D65" s="350">
        <f>ROUND('Loonschijven_Tranches salariale'!$B66*6/D$7+0.000049,4)</f>
        <v>22.244399999999999</v>
      </c>
      <c r="E65" s="350">
        <f>ROUND('Loonschijven_Tranches salariale'!$B66*6/E$7+0.000049,4)</f>
        <v>22.526</v>
      </c>
      <c r="F65" s="350">
        <f>ROUND('Loonschijven_Tranches salariale'!$B66*6/F$7+0.000049,4)</f>
        <v>22.814800000000002</v>
      </c>
      <c r="G65" s="350">
        <f>ROUND('Loonschijven_Tranches salariale'!$B66*6/G$7+0.000049,4)</f>
        <v>23.1111</v>
      </c>
      <c r="H65" s="350">
        <f>ROUND('Loonschijven_Tranches salariale'!$B66*6/H$7+0.000049,4)</f>
        <v>23.415199999999999</v>
      </c>
      <c r="I65" s="350">
        <f>ROUND('Loonschijven_Tranches salariale'!$B66*6/I$7+0.000049,4)</f>
        <v>23.727399999999999</v>
      </c>
      <c r="J65" s="350">
        <f>ROUND('Loonschijven_Tranches salariale'!$B66*6/J$7+0.000049,4)</f>
        <v>24.047999999999998</v>
      </c>
      <c r="K65" s="350">
        <f>ROUND('Loonschijven_Tranches salariale'!$B66*6/K$7+0.000049,4)</f>
        <v>24.377400000000002</v>
      </c>
      <c r="L65" s="350">
        <f>ROUND('Loonschijven_Tranches salariale'!$B66*6/L$7+0.000049,4)</f>
        <v>24.716000000000001</v>
      </c>
      <c r="M65" s="350">
        <f>ROUND('Loonschijven_Tranches salariale'!$B66*6/M$7+0.000049,4)</f>
        <v>25.0641</v>
      </c>
      <c r="N65" s="351">
        <f>ROUND('Loonschijven_Tranches salariale'!$B66*6/N$7+0.000049,4)</f>
        <v>25.4222</v>
      </c>
    </row>
    <row r="66" spans="3:14">
      <c r="C66" s="349">
        <f t="shared" si="2"/>
        <v>87</v>
      </c>
      <c r="D66" s="350">
        <f>ROUND('Loonschijven_Tranches salariale'!$B67*6/D$7+0.000049,4)</f>
        <v>22.478899999999999</v>
      </c>
      <c r="E66" s="350">
        <f>ROUND('Loonschijven_Tranches salariale'!$B67*6/E$7+0.000049,4)</f>
        <v>22.763400000000001</v>
      </c>
      <c r="F66" s="350">
        <f>ROUND('Loonschijven_Tranches salariale'!$B67*6/F$7+0.000049,4)</f>
        <v>23.055299999999999</v>
      </c>
      <c r="G66" s="350">
        <f>ROUND('Loonschijven_Tranches salariale'!$B67*6/G$7+0.000049,4)</f>
        <v>23.354700000000001</v>
      </c>
      <c r="H66" s="350">
        <f>ROUND('Loonschijven_Tranches salariale'!$B67*6/H$7+0.000049,4)</f>
        <v>23.661999999999999</v>
      </c>
      <c r="I66" s="350">
        <f>ROUND('Loonschijven_Tranches salariale'!$B67*6/I$7+0.000049,4)</f>
        <v>23.977499999999999</v>
      </c>
      <c r="J66" s="350">
        <f>ROUND('Loonschijven_Tranches salariale'!$B67*6/J$7+0.000049,4)</f>
        <v>24.301500000000001</v>
      </c>
      <c r="K66" s="350">
        <f>ROUND('Loonschijven_Tranches salariale'!$B67*6/K$7+0.000049,4)</f>
        <v>24.634399999999999</v>
      </c>
      <c r="L66" s="350">
        <f>ROUND('Loonschijven_Tranches salariale'!$B67*6/L$7+0.000049,4)</f>
        <v>24.976500000000001</v>
      </c>
      <c r="M66" s="350">
        <f>ROUND('Loonschijven_Tranches salariale'!$B67*6/M$7+0.000049,4)</f>
        <v>25.328299999999999</v>
      </c>
      <c r="N66" s="351">
        <f>ROUND('Loonschijven_Tranches salariale'!$B67*6/N$7+0.000049,4)</f>
        <v>25.690100000000001</v>
      </c>
    </row>
    <row r="67" spans="3:14">
      <c r="C67" s="349">
        <f t="shared" si="2"/>
        <v>88</v>
      </c>
      <c r="D67" s="350">
        <f>ROUND('Loonschijven_Tranches salariale'!$B68*6/D$7+0.000049,4)</f>
        <v>22.7134</v>
      </c>
      <c r="E67" s="350">
        <f>ROUND('Loonschijven_Tranches salariale'!$B68*6/E$7+0.000049,4)</f>
        <v>23.000900000000001</v>
      </c>
      <c r="F67" s="350">
        <f>ROUND('Loonschijven_Tranches salariale'!$B68*6/F$7+0.000049,4)</f>
        <v>23.2958</v>
      </c>
      <c r="G67" s="350">
        <f>ROUND('Loonschijven_Tranches salariale'!$B68*6/G$7+0.000049,4)</f>
        <v>23.598299999999998</v>
      </c>
      <c r="H67" s="350">
        <f>ROUND('Loonschijven_Tranches salariale'!$B68*6/H$7+0.000049,4)</f>
        <v>23.908799999999999</v>
      </c>
      <c r="I67" s="350">
        <f>ROUND('Loonschijven_Tranches salariale'!$B68*6/I$7+0.000049,4)</f>
        <v>24.227599999999999</v>
      </c>
      <c r="J67" s="350">
        <f>ROUND('Loonschijven_Tranches salariale'!$B68*6/J$7+0.000049,4)</f>
        <v>24.555</v>
      </c>
      <c r="K67" s="350">
        <f>ROUND('Loonschijven_Tranches salariale'!$B68*6/K$7+0.000049,4)</f>
        <v>24.891400000000001</v>
      </c>
      <c r="L67" s="350">
        <f>ROUND('Loonschijven_Tranches salariale'!$B68*6/L$7+0.000049,4)</f>
        <v>25.237100000000002</v>
      </c>
      <c r="M67" s="350">
        <f>ROUND('Loonschijven_Tranches salariale'!$B68*6/M$7+0.000049,4)</f>
        <v>25.592500000000001</v>
      </c>
      <c r="N67" s="351">
        <f>ROUND('Loonschijven_Tranches salariale'!$B68*6/N$7+0.000049,4)</f>
        <v>25.958100000000002</v>
      </c>
    </row>
    <row r="68" spans="3:14">
      <c r="C68" s="349">
        <f t="shared" si="2"/>
        <v>89</v>
      </c>
      <c r="D68" s="350">
        <f>ROUND('Loonschijven_Tranches salariale'!$B69*6/D$7+0.000049,4)</f>
        <v>22.947900000000001</v>
      </c>
      <c r="E68" s="350">
        <f>ROUND('Loonschijven_Tranches salariale'!$B69*6/E$7+0.000049,4)</f>
        <v>23.238299999999999</v>
      </c>
      <c r="F68" s="350">
        <f>ROUND('Loonschijven_Tranches salariale'!$B69*6/F$7+0.000049,4)</f>
        <v>23.536300000000001</v>
      </c>
      <c r="G68" s="350">
        <f>ROUND('Loonschijven_Tranches salariale'!$B69*6/G$7+0.000049,4)</f>
        <v>23.841899999999999</v>
      </c>
      <c r="H68" s="350">
        <f>ROUND('Loonschijven_Tranches salariale'!$B69*6/H$7+0.000049,4)</f>
        <v>24.1556</v>
      </c>
      <c r="I68" s="350">
        <f>ROUND('Loonschijven_Tranches salariale'!$B69*6/I$7+0.000049,4)</f>
        <v>24.477699999999999</v>
      </c>
      <c r="J68" s="350">
        <f>ROUND('Loonschijven_Tranches salariale'!$B69*6/J$7+0.000049,4)</f>
        <v>24.808499999999999</v>
      </c>
      <c r="K68" s="350">
        <f>ROUND('Loonschijven_Tranches salariale'!$B69*6/K$7+0.000049,4)</f>
        <v>25.148299999999999</v>
      </c>
      <c r="L68" s="350">
        <f>ROUND('Loonschijven_Tranches salariale'!$B69*6/L$7+0.000049,4)</f>
        <v>25.497599999999998</v>
      </c>
      <c r="M68" s="350">
        <f>ROUND('Loonschijven_Tranches salariale'!$B69*6/M$7+0.000049,4)</f>
        <v>25.8567</v>
      </c>
      <c r="N68" s="351">
        <f>ROUND('Loonschijven_Tranches salariale'!$B69*6/N$7+0.000049,4)</f>
        <v>26.226099999999999</v>
      </c>
    </row>
    <row r="69" spans="3:14">
      <c r="C69" s="397">
        <f t="shared" si="2"/>
        <v>90</v>
      </c>
      <c r="D69" s="398">
        <f>ROUND('Loonschijven_Tranches salariale'!$B70*6/D$7+0.000049,4)</f>
        <v>23.182300000000001</v>
      </c>
      <c r="E69" s="398">
        <f>ROUND('Loonschijven_Tranches salariale'!$B70*6/E$7+0.000049,4)</f>
        <v>23.4758</v>
      </c>
      <c r="F69" s="398">
        <f>ROUND('Loonschijven_Tranches salariale'!$B70*6/F$7+0.000049,4)</f>
        <v>23.776800000000001</v>
      </c>
      <c r="G69" s="398">
        <f>ROUND('Loonschijven_Tranches salariale'!$B70*6/G$7+0.000049,4)</f>
        <v>24.0855</v>
      </c>
      <c r="H69" s="398">
        <f>ROUND('Loonschijven_Tranches salariale'!$B70*6/H$7+0.000049,4)</f>
        <v>24.4025</v>
      </c>
      <c r="I69" s="398">
        <f>ROUND('Loonschijven_Tranches salariale'!$B70*6/I$7+0.000049,4)</f>
        <v>24.727799999999998</v>
      </c>
      <c r="J69" s="398">
        <f>ROUND('Loonschijven_Tranches salariale'!$B70*6/J$7+0.000049,4)</f>
        <v>25.062000000000001</v>
      </c>
      <c r="K69" s="398">
        <f>ROUND('Loonschijven_Tranches salariale'!$B70*6/K$7+0.000049,4)</f>
        <v>25.4053</v>
      </c>
      <c r="L69" s="398">
        <f>ROUND('Loonschijven_Tranches salariale'!$B70*6/L$7+0.000049,4)</f>
        <v>25.758099999999999</v>
      </c>
      <c r="M69" s="398">
        <f>ROUND('Loonschijven_Tranches salariale'!$B70*6/M$7+0.000049,4)</f>
        <v>26.120899999999999</v>
      </c>
      <c r="N69" s="399">
        <f>ROUND('Loonschijven_Tranches salariale'!$B70*6/N$7+0.000049,4)</f>
        <v>26.4941</v>
      </c>
    </row>
    <row r="70" spans="3:14">
      <c r="C70" s="349">
        <f t="shared" si="2"/>
        <v>91</v>
      </c>
      <c r="D70" s="350">
        <f>ROUND('Loonschijven_Tranches salariale'!$B71*6/D$7+0.000049,4)</f>
        <v>23.416799999999999</v>
      </c>
      <c r="E70" s="350">
        <f>ROUND('Loonschijven_Tranches salariale'!$B71*6/E$7+0.000049,4)</f>
        <v>23.713200000000001</v>
      </c>
      <c r="F70" s="350">
        <f>ROUND('Loonschijven_Tranches salariale'!$B71*6/F$7+0.000049,4)</f>
        <v>24.017299999999999</v>
      </c>
      <c r="G70" s="350">
        <f>ROUND('Loonschijven_Tranches salariale'!$B71*6/G$7+0.000049,4)</f>
        <v>24.3292</v>
      </c>
      <c r="H70" s="350">
        <f>ROUND('Loonschijven_Tranches salariale'!$B71*6/H$7+0.000049,4)</f>
        <v>24.6493</v>
      </c>
      <c r="I70" s="350">
        <f>ROUND('Loonschijven_Tranches salariale'!$B71*6/I$7+0.000049,4)</f>
        <v>24.978000000000002</v>
      </c>
      <c r="J70" s="350">
        <f>ROUND('Loonschijven_Tranches salariale'!$B71*6/J$7+0.000049,4)</f>
        <v>25.3155</v>
      </c>
      <c r="K70" s="350">
        <f>ROUND('Loonschijven_Tranches salariale'!$B71*6/K$7+0.000049,4)</f>
        <v>25.662299999999998</v>
      </c>
      <c r="L70" s="350">
        <f>ROUND('Loonschijven_Tranches salariale'!$B71*6/L$7+0.000049,4)</f>
        <v>26.018699999999999</v>
      </c>
      <c r="M70" s="350">
        <f>ROUND('Loonschijven_Tranches salariale'!$B71*6/M$7+0.000049,4)</f>
        <v>26.385200000000001</v>
      </c>
      <c r="N70" s="351">
        <f>ROUND('Loonschijven_Tranches salariale'!$B71*6/N$7+0.000049,4)</f>
        <v>26.7621</v>
      </c>
    </row>
    <row r="71" spans="3:14">
      <c r="C71" s="349">
        <f t="shared" si="2"/>
        <v>92</v>
      </c>
      <c r="D71" s="350">
        <f>ROUND('Loonschijven_Tranches salariale'!$B72*6/D$7+0.000049,4)</f>
        <v>23.651299999999999</v>
      </c>
      <c r="E71" s="350">
        <f>ROUND('Loonschijven_Tranches salariale'!$B72*6/E$7+0.000049,4)</f>
        <v>23.950700000000001</v>
      </c>
      <c r="F71" s="350">
        <f>ROUND('Loonschijven_Tranches salariale'!$B72*6/F$7+0.000049,4)</f>
        <v>24.2578</v>
      </c>
      <c r="G71" s="350">
        <f>ROUND('Loonschijven_Tranches salariale'!$B72*6/G$7+0.000049,4)</f>
        <v>24.572800000000001</v>
      </c>
      <c r="H71" s="350">
        <f>ROUND('Loonschijven_Tranches salariale'!$B72*6/H$7+0.000049,4)</f>
        <v>24.896100000000001</v>
      </c>
      <c r="I71" s="350">
        <f>ROUND('Loonschijven_Tranches salariale'!$B72*6/I$7+0.000049,4)</f>
        <v>25.228100000000001</v>
      </c>
      <c r="J71" s="350">
        <f>ROUND('Loonschijven_Tranches salariale'!$B72*6/J$7+0.000049,4)</f>
        <v>25.568999999999999</v>
      </c>
      <c r="K71" s="350">
        <f>ROUND('Loonschijven_Tranches salariale'!$B72*6/K$7+0.000049,4)</f>
        <v>25.9192</v>
      </c>
      <c r="L71" s="350">
        <f>ROUND('Loonschijven_Tranches salariale'!$B72*6/L$7+0.000049,4)</f>
        <v>26.279199999999999</v>
      </c>
      <c r="M71" s="350">
        <f>ROUND('Loonschijven_Tranches salariale'!$B72*6/M$7+0.000049,4)</f>
        <v>26.6494</v>
      </c>
      <c r="N71" s="351">
        <f>ROUND('Loonschijven_Tranches salariale'!$B72*6/N$7+0.000049,4)</f>
        <v>27.030100000000001</v>
      </c>
    </row>
    <row r="72" spans="3:14">
      <c r="C72" s="349">
        <f t="shared" si="2"/>
        <v>93</v>
      </c>
      <c r="D72" s="350">
        <f>ROUND('Loonschijven_Tranches salariale'!$B73*6/D$7+0.000049,4)</f>
        <v>23.8858</v>
      </c>
      <c r="E72" s="350">
        <f>ROUND('Loonschijven_Tranches salariale'!$B73*6/E$7+0.000049,4)</f>
        <v>24.188199999999998</v>
      </c>
      <c r="F72" s="350">
        <f>ROUND('Loonschijven_Tranches salariale'!$B73*6/F$7+0.000049,4)</f>
        <v>24.4983</v>
      </c>
      <c r="G72" s="350">
        <f>ROUND('Loonschijven_Tranches salariale'!$B73*6/G$7+0.000049,4)</f>
        <v>24.816400000000002</v>
      </c>
      <c r="H72" s="350">
        <f>ROUND('Loonschijven_Tranches salariale'!$B73*6/H$7+0.000049,4)</f>
        <v>25.143000000000001</v>
      </c>
      <c r="I72" s="350">
        <f>ROUND('Loonschijven_Tranches salariale'!$B73*6/I$7+0.000049,4)</f>
        <v>25.478200000000001</v>
      </c>
      <c r="J72" s="350">
        <f>ROUND('Loonschijven_Tranches salariale'!$B73*6/J$7+0.000049,4)</f>
        <v>25.822500000000002</v>
      </c>
      <c r="K72" s="350">
        <f>ROUND('Loonschijven_Tranches salariale'!$B73*6/K$7+0.000049,4)</f>
        <v>26.176200000000001</v>
      </c>
      <c r="L72" s="350">
        <f>ROUND('Loonschijven_Tranches salariale'!$B73*6/L$7+0.000049,4)</f>
        <v>26.5398</v>
      </c>
      <c r="M72" s="350">
        <f>ROUND('Loonschijven_Tranches salariale'!$B73*6/M$7+0.000049,4)</f>
        <v>26.913599999999999</v>
      </c>
      <c r="N72" s="351">
        <f>ROUND('Loonschijven_Tranches salariale'!$B73*6/N$7+0.000049,4)</f>
        <v>27.298100000000002</v>
      </c>
    </row>
    <row r="73" spans="3:14">
      <c r="C73" s="349">
        <f t="shared" si="2"/>
        <v>94</v>
      </c>
      <c r="D73" s="350">
        <f>ROUND('Loonschijven_Tranches salariale'!$B74*6/D$7+0.000049,4)</f>
        <v>24.1203</v>
      </c>
      <c r="E73" s="350">
        <f>ROUND('Loonschijven_Tranches salariale'!$B74*6/E$7+0.000049,4)</f>
        <v>24.425599999999999</v>
      </c>
      <c r="F73" s="350">
        <f>ROUND('Loonschijven_Tranches salariale'!$B74*6/F$7+0.000049,4)</f>
        <v>24.738800000000001</v>
      </c>
      <c r="G73" s="350">
        <f>ROUND('Loonschijven_Tranches salariale'!$B74*6/G$7+0.000049,4)</f>
        <v>25.06</v>
      </c>
      <c r="H73" s="350">
        <f>ROUND('Loonschijven_Tranches salariale'!$B74*6/H$7+0.000049,4)</f>
        <v>25.389800000000001</v>
      </c>
      <c r="I73" s="350">
        <f>ROUND('Loonschijven_Tranches salariale'!$B74*6/I$7+0.000049,4)</f>
        <v>25.728300000000001</v>
      </c>
      <c r="J73" s="350">
        <f>ROUND('Loonschijven_Tranches salariale'!$B74*6/J$7+0.000049,4)</f>
        <v>26.076000000000001</v>
      </c>
      <c r="K73" s="350">
        <f>ROUND('Loonschijven_Tranches salariale'!$B74*6/K$7+0.000049,4)</f>
        <v>26.433199999999999</v>
      </c>
      <c r="L73" s="350">
        <f>ROUND('Loonschijven_Tranches salariale'!$B74*6/L$7+0.000049,4)</f>
        <v>26.8003</v>
      </c>
      <c r="M73" s="350">
        <f>ROUND('Loonschijven_Tranches salariale'!$B74*6/M$7+0.000049,4)</f>
        <v>27.177800000000001</v>
      </c>
      <c r="N73" s="351">
        <f>ROUND('Loonschijven_Tranches salariale'!$B74*6/N$7+0.000049,4)</f>
        <v>27.565999999999999</v>
      </c>
    </row>
    <row r="74" spans="3:14">
      <c r="C74" s="397">
        <f t="shared" si="2"/>
        <v>95</v>
      </c>
      <c r="D74" s="398">
        <f>ROUND('Loonschijven_Tranches salariale'!$B75*6/D$7+0.000049,4)</f>
        <v>24.354800000000001</v>
      </c>
      <c r="E74" s="398">
        <f>ROUND('Loonschijven_Tranches salariale'!$B75*6/E$7+0.000049,4)</f>
        <v>24.6631</v>
      </c>
      <c r="F74" s="398">
        <f>ROUND('Loonschijven_Tranches salariale'!$B75*6/F$7+0.000049,4)</f>
        <v>24.979199999999999</v>
      </c>
      <c r="G74" s="398">
        <f>ROUND('Loonschijven_Tranches salariale'!$B75*6/G$7+0.000049,4)</f>
        <v>25.303699999999999</v>
      </c>
      <c r="H74" s="398">
        <f>ROUND('Loonschijven_Tranches salariale'!$B75*6/H$7+0.000049,4)</f>
        <v>25.636600000000001</v>
      </c>
      <c r="I74" s="398">
        <f>ROUND('Loonschijven_Tranches salariale'!$B75*6/I$7+0.000049,4)</f>
        <v>25.978400000000001</v>
      </c>
      <c r="J74" s="398">
        <f>ROUND('Loonschijven_Tranches salariale'!$B75*6/J$7+0.000049,4)</f>
        <v>26.329499999999999</v>
      </c>
      <c r="K74" s="398">
        <f>ROUND('Loonschijven_Tranches salariale'!$B75*6/K$7+0.000049,4)</f>
        <v>26.690200000000001</v>
      </c>
      <c r="L74" s="398">
        <f>ROUND('Loonschijven_Tranches salariale'!$B75*6/L$7+0.000049,4)</f>
        <v>27.0608</v>
      </c>
      <c r="M74" s="398">
        <f>ROUND('Loonschijven_Tranches salariale'!$B75*6/M$7+0.000049,4)</f>
        <v>27.442</v>
      </c>
      <c r="N74" s="399">
        <f>ROUND('Loonschijven_Tranches salariale'!$B75*6/N$7+0.000049,4)</f>
        <v>27.834</v>
      </c>
    </row>
    <row r="75" spans="3:14">
      <c r="C75" s="349">
        <f t="shared" si="2"/>
        <v>96</v>
      </c>
      <c r="D75" s="350">
        <f>ROUND('Loonschijven_Tranches salariale'!$B76*6/D$7+0.000049,4)</f>
        <v>24.589300000000001</v>
      </c>
      <c r="E75" s="350">
        <f>ROUND('Loonschijven_Tranches salariale'!$B76*6/E$7+0.000049,4)</f>
        <v>24.900500000000001</v>
      </c>
      <c r="F75" s="350">
        <f>ROUND('Loonschijven_Tranches salariale'!$B76*6/F$7+0.000049,4)</f>
        <v>25.219799999999999</v>
      </c>
      <c r="G75" s="350">
        <f>ROUND('Loonschijven_Tranches salariale'!$B76*6/G$7+0.000049,4)</f>
        <v>25.5473</v>
      </c>
      <c r="H75" s="350">
        <f>ROUND('Loonschijven_Tranches salariale'!$B76*6/H$7+0.000049,4)</f>
        <v>25.883400000000002</v>
      </c>
      <c r="I75" s="350">
        <f>ROUND('Loonschijven_Tranches salariale'!$B76*6/I$7+0.000049,4)</f>
        <v>26.2285</v>
      </c>
      <c r="J75" s="350">
        <f>ROUND('Loonschijven_Tranches salariale'!$B76*6/J$7+0.000049,4)</f>
        <v>26.582999999999998</v>
      </c>
      <c r="K75" s="350">
        <f>ROUND('Loonschijven_Tranches salariale'!$B76*6/K$7+0.000049,4)</f>
        <v>26.947099999999999</v>
      </c>
      <c r="L75" s="350">
        <f>ROUND('Loonschijven_Tranches salariale'!$B76*6/L$7+0.000049,4)</f>
        <v>27.321400000000001</v>
      </c>
      <c r="M75" s="350">
        <f>ROUND('Loonschijven_Tranches salariale'!$B76*6/M$7+0.000049,4)</f>
        <v>27.706199999999999</v>
      </c>
      <c r="N75" s="351">
        <f>ROUND('Loonschijven_Tranches salariale'!$B76*6/N$7+0.000049,4)</f>
        <v>28.102</v>
      </c>
    </row>
    <row r="76" spans="3:14">
      <c r="C76" s="349">
        <f t="shared" si="2"/>
        <v>97</v>
      </c>
      <c r="D76" s="350">
        <f>ROUND('Loonschijven_Tranches salariale'!$B77*6/D$7+0.000049,4)</f>
        <v>24.823699999999999</v>
      </c>
      <c r="E76" s="350">
        <f>ROUND('Loonschijven_Tranches salariale'!$B77*6/E$7+0.000049,4)</f>
        <v>25.138000000000002</v>
      </c>
      <c r="F76" s="350">
        <f>ROUND('Loonschijven_Tranches salariale'!$B77*6/F$7+0.000049,4)</f>
        <v>25.4602</v>
      </c>
      <c r="G76" s="350">
        <f>ROUND('Loonschijven_Tranches salariale'!$B77*6/G$7+0.000049,4)</f>
        <v>25.790900000000001</v>
      </c>
      <c r="H76" s="350">
        <f>ROUND('Loonschijven_Tranches salariale'!$B77*6/H$7+0.000049,4)</f>
        <v>26.130299999999998</v>
      </c>
      <c r="I76" s="350">
        <f>ROUND('Loonschijven_Tranches salariale'!$B77*6/I$7+0.000049,4)</f>
        <v>26.4787</v>
      </c>
      <c r="J76" s="350">
        <f>ROUND('Loonschijven_Tranches salariale'!$B77*6/J$7+0.000049,4)</f>
        <v>26.836500000000001</v>
      </c>
      <c r="K76" s="350">
        <f>ROUND('Loonschijven_Tranches salariale'!$B77*6/K$7+0.000049,4)</f>
        <v>27.2041</v>
      </c>
      <c r="L76" s="350">
        <f>ROUND('Loonschijven_Tranches salariale'!$B77*6/L$7+0.000049,4)</f>
        <v>27.581900000000001</v>
      </c>
      <c r="M76" s="350">
        <f>ROUND('Loonschijven_Tranches salariale'!$B77*6/M$7+0.000049,4)</f>
        <v>27.970400000000001</v>
      </c>
      <c r="N76" s="351">
        <f>ROUND('Loonschijven_Tranches salariale'!$B77*6/N$7+0.000049,4)</f>
        <v>28.37</v>
      </c>
    </row>
    <row r="77" spans="3:14">
      <c r="C77" s="391">
        <f t="shared" si="2"/>
        <v>98</v>
      </c>
      <c r="D77" s="392">
        <f>ROUND('Loonschijven_Tranches salariale'!$B78*6/D$7+0.000049,4)</f>
        <v>25.058199999999999</v>
      </c>
      <c r="E77" s="392">
        <f>ROUND('Loonschijven_Tranches salariale'!$B78*6/E$7+0.000049,4)</f>
        <v>25.375399999999999</v>
      </c>
      <c r="F77" s="392">
        <f>ROUND('Loonschijven_Tranches salariale'!$B78*6/F$7+0.000049,4)</f>
        <v>25.700800000000001</v>
      </c>
      <c r="G77" s="392">
        <f>ROUND('Loonschijven_Tranches salariale'!$B78*6/G$7+0.000049,4)</f>
        <v>26.034500000000001</v>
      </c>
      <c r="H77" s="392">
        <f>ROUND('Loonschijven_Tranches salariale'!$B78*6/H$7+0.000049,4)</f>
        <v>26.377099999999999</v>
      </c>
      <c r="I77" s="392">
        <f>ROUND('Loonschijven_Tranches salariale'!$B78*6/I$7+0.000049,4)</f>
        <v>26.7288</v>
      </c>
      <c r="J77" s="392">
        <f>ROUND('Loonschijven_Tranches salariale'!$B78*6/J$7+0.000049,4)</f>
        <v>27.09</v>
      </c>
      <c r="K77" s="392">
        <f>ROUND('Loonschijven_Tranches salariale'!$B78*6/K$7+0.000049,4)</f>
        <v>27.461099999999998</v>
      </c>
      <c r="L77" s="392">
        <f>ROUND('Loonschijven_Tranches salariale'!$B78*6/L$7+0.000049,4)</f>
        <v>27.842500000000001</v>
      </c>
      <c r="M77" s="392">
        <f>ROUND('Loonschijven_Tranches salariale'!$B78*6/M$7+0.000049,4)</f>
        <v>28.2346</v>
      </c>
      <c r="N77" s="393">
        <f>ROUND('Loonschijven_Tranches salariale'!$B78*6/N$7+0.000049,4)</f>
        <v>28.638000000000002</v>
      </c>
    </row>
    <row r="78" spans="3:14" ht="15" thickBot="1">
      <c r="C78" s="394">
        <f t="shared" si="2"/>
        <v>99</v>
      </c>
      <c r="D78" s="395">
        <f>ROUND('Loonschijven_Tranches salariale'!$B79*6/D$7+0.000049,4)</f>
        <v>25.104900000000001</v>
      </c>
      <c r="E78" s="395">
        <f>ROUND('Loonschijven_Tranches salariale'!$B79*6/E$7+0.000049,4)</f>
        <v>25.422599999999999</v>
      </c>
      <c r="F78" s="395">
        <f>ROUND('Loonschijven_Tranches salariale'!$B79*6/F$7+0.000049,4)</f>
        <v>25.7486</v>
      </c>
      <c r="G78" s="395">
        <f>ROUND('Loonschijven_Tranches salariale'!$B79*6/G$7+0.000049,4)</f>
        <v>26.082999999999998</v>
      </c>
      <c r="H78" s="395">
        <f>ROUND('Loonschijven_Tranches salariale'!$B79*6/H$7+0.000049,4)</f>
        <v>26.426200000000001</v>
      </c>
      <c r="I78" s="395">
        <f>ROUND('Loonschijven_Tranches salariale'!$B79*6/I$7+0.000049,4)</f>
        <v>26.778500000000001</v>
      </c>
      <c r="J78" s="395">
        <f>ROUND('Loonschijven_Tranches salariale'!$B79*6/J$7+0.000049,4)</f>
        <v>27.1404</v>
      </c>
      <c r="K78" s="395">
        <f>ROUND('Loonschijven_Tranches salariale'!$B79*6/K$7+0.000049,4)</f>
        <v>27.5122</v>
      </c>
      <c r="L78" s="395">
        <f>ROUND('Loonschijven_Tranches salariale'!$B79*6/L$7+0.000049,4)</f>
        <v>27.894300000000001</v>
      </c>
      <c r="M78" s="395">
        <f>ROUND('Loonschijven_Tranches salariale'!$B79*6/M$7+0.000049,4)</f>
        <v>28.287199999999999</v>
      </c>
      <c r="N78" s="396">
        <f>ROUND('Loonschijven_Tranches salariale'!$B79*6/N$7+0.000049,4)</f>
        <v>28.691299999999998</v>
      </c>
    </row>
  </sheetData>
  <sheetProtection algorithmName="SHA-512" hashValue="gHJCPDWohTsHZIl8OwUkeUfU6ySkvzlldx3FywUI4sKuU+XwZ/jcdxPA1eC+s6Smz6BqipFx5iGKWEj0m5Auww==" saltValue="3kvWQL9s5HzRYx4jVK8XQA==" spinCount="100000" sheet="1" objects="1" scenarios="1"/>
  <mergeCells count="6">
    <mergeCell ref="D6:N6"/>
    <mergeCell ref="A1:B1"/>
    <mergeCell ref="A2:B2"/>
    <mergeCell ref="I1:K1"/>
    <mergeCell ref="C1:F1"/>
    <mergeCell ref="C2:F2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  <headerFooter>
    <oddFooter>&amp;LRijksdienst voor Arbeidsvoorziening&amp;ROffice national de l'Emploi</oddFooter>
  </headerFooter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7"/>
  <sheetViews>
    <sheetView showGridLines="0" zoomScaleNormal="100" workbookViewId="0">
      <pane ySplit="8" topLeftCell="A9" activePane="bottomLeft" state="frozen"/>
      <selection activeCell="A2" sqref="A2"/>
      <selection pane="bottomLeft" activeCell="A2" sqref="A2:B2"/>
    </sheetView>
  </sheetViews>
  <sheetFormatPr defaultColWidth="9.109375" defaultRowHeight="13.2"/>
  <cols>
    <col min="1" max="1" width="5" style="118" customWidth="1"/>
    <col min="2" max="4" width="9.109375" style="118"/>
    <col min="5" max="5" width="9.109375" style="118" customWidth="1"/>
    <col min="6" max="7" width="9.109375" style="118"/>
    <col min="8" max="8" width="3" style="118" customWidth="1"/>
    <col min="9" max="10" width="9.109375" style="118"/>
    <col min="11" max="11" width="9.44140625" style="118" bestFit="1" customWidth="1"/>
    <col min="12" max="12" width="14.6640625" style="118" customWidth="1"/>
    <col min="13" max="13" width="30.109375" style="118" customWidth="1"/>
    <col min="14" max="14" width="9.109375" style="118"/>
    <col min="15" max="15" width="4.33203125" style="118" customWidth="1"/>
    <col min="16" max="18" width="9.109375" style="118" customWidth="1"/>
    <col min="19" max="19" width="9.109375" style="118"/>
    <col min="20" max="20" width="1.44140625" style="118" customWidth="1"/>
    <col min="21" max="21" width="2.5546875" style="118" customWidth="1"/>
    <col min="22" max="16384" width="9.109375" style="118"/>
  </cols>
  <sheetData>
    <row r="1" spans="1:20" ht="15.75" customHeight="1">
      <c r="A1" s="477" t="s">
        <v>5</v>
      </c>
      <c r="B1" s="478"/>
      <c r="D1" s="545" t="s">
        <v>35</v>
      </c>
      <c r="E1" s="546"/>
      <c r="F1" s="546"/>
      <c r="G1" s="546"/>
      <c r="H1" s="546"/>
      <c r="I1" s="546"/>
      <c r="J1" s="306"/>
      <c r="K1" s="306"/>
      <c r="L1" s="306"/>
      <c r="M1" s="306"/>
      <c r="N1" s="306"/>
      <c r="O1" s="304" t="s">
        <v>6</v>
      </c>
      <c r="P1" s="107"/>
      <c r="Q1" s="107"/>
      <c r="R1" s="307">
        <f>Basisbedragen!I2</f>
        <v>1.8113999999999999</v>
      </c>
      <c r="S1" s="308"/>
      <c r="T1" s="308"/>
    </row>
    <row r="2" spans="1:20" ht="15.75" customHeight="1">
      <c r="A2" s="479">
        <v>46266</v>
      </c>
      <c r="B2" s="480"/>
      <c r="D2" s="547" t="s">
        <v>36</v>
      </c>
      <c r="E2" s="488"/>
      <c r="F2" s="488"/>
      <c r="G2" s="488"/>
      <c r="H2" s="488"/>
      <c r="I2" s="488"/>
      <c r="J2" s="309"/>
      <c r="K2" s="305"/>
      <c r="L2" s="305"/>
      <c r="M2" s="305"/>
      <c r="N2" s="305"/>
      <c r="O2" s="305"/>
      <c r="P2" s="206"/>
      <c r="Q2" s="206"/>
      <c r="R2" s="197"/>
      <c r="S2" s="206"/>
      <c r="T2" s="206"/>
    </row>
    <row r="3" spans="1:20">
      <c r="A3" s="549"/>
      <c r="B3" s="550"/>
      <c r="C3" s="551"/>
      <c r="E3" s="198"/>
      <c r="F3" s="199"/>
      <c r="G3" s="553"/>
      <c r="H3" s="541"/>
      <c r="I3" s="542"/>
      <c r="J3" s="302"/>
      <c r="M3" s="537"/>
      <c r="N3" s="538"/>
      <c r="O3" s="538"/>
      <c r="P3" s="538"/>
      <c r="Q3" s="538"/>
      <c r="R3" s="538"/>
      <c r="S3" s="538"/>
      <c r="T3" s="206"/>
    </row>
    <row r="4" spans="1:20">
      <c r="A4" s="539"/>
      <c r="B4" s="540"/>
      <c r="C4" s="552"/>
      <c r="D4" s="310"/>
      <c r="E4" s="198"/>
      <c r="F4" s="199"/>
      <c r="G4" s="554"/>
      <c r="H4" s="541"/>
      <c r="I4" s="542"/>
      <c r="J4" s="302"/>
      <c r="M4" s="537"/>
      <c r="N4" s="538"/>
      <c r="O4" s="538"/>
      <c r="P4" s="538"/>
      <c r="Q4" s="538"/>
      <c r="R4" s="538"/>
      <c r="S4" s="538"/>
      <c r="T4" s="200"/>
    </row>
    <row r="5" spans="1:20" ht="13.8" thickBot="1">
      <c r="A5" s="206"/>
      <c r="B5" s="206"/>
      <c r="C5" s="206"/>
      <c r="D5" s="311"/>
      <c r="E5" s="200"/>
      <c r="F5" s="206"/>
      <c r="G5" s="309"/>
      <c r="H5" s="309"/>
      <c r="I5" s="309"/>
      <c r="J5" s="309"/>
      <c r="K5" s="305"/>
      <c r="L5" s="305"/>
      <c r="M5" s="312"/>
      <c r="N5" s="312"/>
      <c r="O5" s="312"/>
      <c r="P5" s="313"/>
      <c r="Q5" s="312"/>
      <c r="R5" s="312"/>
      <c r="S5" s="312"/>
      <c r="T5" s="206"/>
    </row>
    <row r="6" spans="1:20">
      <c r="A6" s="206"/>
      <c r="B6" s="206"/>
      <c r="C6" s="206"/>
      <c r="D6" s="311"/>
      <c r="E6" s="200"/>
      <c r="F6" s="206"/>
      <c r="G6" s="309"/>
      <c r="H6" s="309"/>
      <c r="I6" s="309"/>
      <c r="J6" s="309"/>
      <c r="K6" s="305"/>
      <c r="L6" s="305"/>
      <c r="M6" s="314"/>
      <c r="N6" s="543"/>
      <c r="O6" s="544"/>
      <c r="P6" s="555" t="str">
        <f>"volledige uitkering allocation entière"</f>
        <v>volledige uitkering allocation entière</v>
      </c>
      <c r="Q6" s="556"/>
      <c r="R6" s="567" t="str">
        <f>"halve uitkering demi allocation"</f>
        <v>halve uitkering demi allocation</v>
      </c>
      <c r="S6" s="567"/>
      <c r="T6" s="206"/>
    </row>
    <row r="7" spans="1:20" ht="16.5" customHeight="1" thickBot="1">
      <c r="A7" s="315"/>
      <c r="B7" s="203"/>
      <c r="C7" s="200"/>
      <c r="D7" s="201"/>
      <c r="E7" s="202"/>
      <c r="F7" s="203"/>
      <c r="G7" s="203"/>
      <c r="H7" s="203"/>
      <c r="I7" s="203"/>
      <c r="J7" s="203"/>
      <c r="K7" s="204"/>
      <c r="L7" s="204"/>
      <c r="M7" s="200"/>
      <c r="N7" s="200"/>
      <c r="O7" s="200"/>
      <c r="P7" s="557"/>
      <c r="Q7" s="557"/>
      <c r="R7" s="557"/>
      <c r="S7" s="557"/>
      <c r="T7" s="315"/>
    </row>
    <row r="8" spans="1:20" ht="15" customHeight="1" thickBot="1">
      <c r="A8" s="315"/>
      <c r="B8" s="203"/>
      <c r="C8" s="200"/>
      <c r="D8" s="201"/>
      <c r="E8" s="202"/>
      <c r="F8" s="203"/>
      <c r="G8" s="203"/>
      <c r="H8" s="203"/>
      <c r="I8" s="203"/>
      <c r="J8" s="203"/>
      <c r="K8" s="204"/>
      <c r="L8" s="204"/>
      <c r="M8" s="205"/>
      <c r="N8" s="527" t="s">
        <v>23</v>
      </c>
      <c r="O8" s="528"/>
      <c r="P8" s="529"/>
      <c r="Q8" s="530"/>
      <c r="R8" s="531"/>
      <c r="S8" s="530"/>
      <c r="T8" s="315"/>
    </row>
    <row r="9" spans="1:20" ht="15" customHeight="1">
      <c r="A9" s="315"/>
      <c r="B9" s="222"/>
      <c r="C9" s="223"/>
      <c r="D9" s="223"/>
      <c r="E9" s="224"/>
      <c r="F9" s="509" t="s">
        <v>401</v>
      </c>
      <c r="G9" s="533"/>
      <c r="H9" s="533"/>
      <c r="I9" s="533"/>
      <c r="J9" s="533"/>
      <c r="K9" s="533"/>
      <c r="L9" s="534"/>
      <c r="M9" s="211" t="s">
        <v>426</v>
      </c>
      <c r="N9" s="522" t="s">
        <v>24</v>
      </c>
      <c r="O9" s="532"/>
      <c r="P9" s="505">
        <f>ROUND(Basisbedragen!$D$58*$R$1,2)</f>
        <v>73.42</v>
      </c>
      <c r="Q9" s="522"/>
      <c r="R9" s="505">
        <f>ROUND(P9/2,2)</f>
        <v>36.71</v>
      </c>
      <c r="S9" s="522"/>
      <c r="T9" s="315"/>
    </row>
    <row r="10" spans="1:20" ht="15" customHeight="1">
      <c r="A10" s="315"/>
      <c r="B10" s="225"/>
      <c r="E10" s="226"/>
      <c r="F10" s="558" t="s">
        <v>402</v>
      </c>
      <c r="G10" s="559"/>
      <c r="H10" s="559"/>
      <c r="I10" s="559"/>
      <c r="J10" s="559"/>
      <c r="K10" s="559"/>
      <c r="L10" s="560"/>
      <c r="M10" s="316" t="s">
        <v>427</v>
      </c>
      <c r="N10" s="535" t="s">
        <v>24</v>
      </c>
      <c r="O10" s="536"/>
      <c r="P10" s="525">
        <f>ROUND(Basisbedragen!$D$50*$R$1,2)</f>
        <v>70.64</v>
      </c>
      <c r="Q10" s="535"/>
      <c r="R10" s="525">
        <f>ROUND(P10/2,2)</f>
        <v>35.32</v>
      </c>
      <c r="S10" s="535"/>
      <c r="T10" s="315"/>
    </row>
    <row r="11" spans="1:20" ht="15" customHeight="1">
      <c r="A11" s="315"/>
      <c r="B11" s="227"/>
      <c r="C11" s="200"/>
      <c r="D11" s="201"/>
      <c r="E11" s="228"/>
      <c r="F11" s="561" t="s">
        <v>403</v>
      </c>
      <c r="G11" s="559"/>
      <c r="H11" s="559"/>
      <c r="I11" s="559"/>
      <c r="J11" s="559"/>
      <c r="K11" s="559"/>
      <c r="L11" s="560"/>
      <c r="M11" s="316" t="s">
        <v>428</v>
      </c>
      <c r="N11" s="535" t="s">
        <v>24</v>
      </c>
      <c r="O11" s="548"/>
      <c r="P11" s="525">
        <f>ROUND(P9*1.2,2)</f>
        <v>88.1</v>
      </c>
      <c r="Q11" s="535"/>
      <c r="R11" s="525">
        <f>ROUND(P11/2,2)</f>
        <v>44.05</v>
      </c>
      <c r="S11" s="535"/>
      <c r="T11" s="315"/>
    </row>
    <row r="12" spans="1:20" ht="15" customHeight="1" thickBot="1">
      <c r="A12" s="315"/>
      <c r="B12" s="227"/>
      <c r="C12" s="200"/>
      <c r="D12" s="201"/>
      <c r="E12" s="228"/>
      <c r="F12" s="562" t="s">
        <v>404</v>
      </c>
      <c r="G12" s="563"/>
      <c r="H12" s="563"/>
      <c r="I12" s="563"/>
      <c r="J12" s="563"/>
      <c r="K12" s="563"/>
      <c r="L12" s="564"/>
      <c r="M12" s="317" t="s">
        <v>429</v>
      </c>
      <c r="N12" s="520" t="s">
        <v>24</v>
      </c>
      <c r="O12" s="518"/>
      <c r="P12" s="520">
        <f>ROUND(P10*1.2,2)</f>
        <v>84.77</v>
      </c>
      <c r="Q12" s="518"/>
      <c r="R12" s="520">
        <f>ROUND(P12/2,2)</f>
        <v>42.39</v>
      </c>
      <c r="S12" s="518"/>
      <c r="T12" s="315"/>
    </row>
    <row r="13" spans="1:20" ht="15" customHeight="1" thickBot="1">
      <c r="A13" s="315"/>
      <c r="B13" s="227"/>
      <c r="C13" s="200"/>
      <c r="D13" s="201"/>
      <c r="E13" s="228"/>
      <c r="F13" s="203"/>
      <c r="G13" s="203"/>
      <c r="H13" s="203"/>
      <c r="I13" s="203"/>
      <c r="J13" s="203"/>
      <c r="K13" s="204"/>
      <c r="L13" s="204"/>
      <c r="T13" s="315"/>
    </row>
    <row r="14" spans="1:20" ht="15" customHeight="1">
      <c r="A14" s="315"/>
      <c r="B14" s="506" t="s">
        <v>25</v>
      </c>
      <c r="C14" s="318" t="s">
        <v>26</v>
      </c>
      <c r="D14"/>
      <c r="E14" s="171"/>
      <c r="F14" s="216"/>
      <c r="G14" s="216"/>
      <c r="H14" s="216"/>
      <c r="I14" s="216"/>
      <c r="J14" s="216"/>
      <c r="K14" s="217"/>
      <c r="L14" s="218"/>
      <c r="M14" s="211" t="s">
        <v>430</v>
      </c>
      <c r="N14" s="503" t="s">
        <v>53</v>
      </c>
      <c r="O14" s="504"/>
      <c r="P14" s="505">
        <f>MAX(ROUND(Basisbedragen!$D$53*$R$1,2),AndereBedrWLH_AutresMontCHOM!$N$70)</f>
        <v>52.6</v>
      </c>
      <c r="Q14" s="504"/>
      <c r="R14" s="505">
        <f>ROUND(P14/2,2)</f>
        <v>26.3</v>
      </c>
      <c r="S14" s="504"/>
      <c r="T14" s="315"/>
    </row>
    <row r="15" spans="1:20" ht="15" customHeight="1">
      <c r="A15" s="315"/>
      <c r="B15" s="506"/>
      <c r="C15" s="318" t="s">
        <v>27</v>
      </c>
      <c r="D15"/>
      <c r="E15" s="171"/>
      <c r="F15" s="538" t="s">
        <v>147</v>
      </c>
      <c r="G15" s="565"/>
      <c r="H15" s="565"/>
      <c r="I15" s="565"/>
      <c r="J15" s="565"/>
      <c r="K15" s="565"/>
      <c r="L15" s="566"/>
      <c r="M15" s="316" t="s">
        <v>430</v>
      </c>
      <c r="N15" s="523" t="s">
        <v>54</v>
      </c>
      <c r="O15" s="524"/>
      <c r="P15" s="525">
        <f>ROUND(Basisbedragen!$D$52*$R$1,2)</f>
        <v>30.36</v>
      </c>
      <c r="Q15" s="524"/>
      <c r="R15" s="525">
        <f>ROUND(P15/2,2)</f>
        <v>15.18</v>
      </c>
      <c r="S15" s="524"/>
      <c r="T15" s="315"/>
    </row>
    <row r="16" spans="1:20" ht="15" customHeight="1" thickBot="1">
      <c r="A16" s="315"/>
      <c r="B16" s="581" t="s">
        <v>317</v>
      </c>
      <c r="C16" s="318" t="s">
        <v>318</v>
      </c>
      <c r="D16"/>
      <c r="E16" s="171"/>
      <c r="F16" s="219"/>
      <c r="G16" s="219"/>
      <c r="H16" s="219"/>
      <c r="I16" s="219"/>
      <c r="J16" s="219"/>
      <c r="K16" s="220"/>
      <c r="L16" s="221"/>
      <c r="M16" s="317" t="s">
        <v>431</v>
      </c>
      <c r="N16" s="518" t="s">
        <v>30</v>
      </c>
      <c r="O16" s="526"/>
      <c r="P16" s="520">
        <f>ROUND(Basisbedragen!$D$51*$R$1,2)</f>
        <v>19.309999999999999</v>
      </c>
      <c r="Q16" s="526"/>
      <c r="R16" s="520">
        <f>ROUND(P16/2,2)</f>
        <v>9.66</v>
      </c>
      <c r="S16" s="526"/>
      <c r="T16" s="315"/>
    </row>
    <row r="17" spans="1:20" ht="15" customHeight="1" thickBot="1">
      <c r="A17" s="315"/>
      <c r="B17" s="581"/>
      <c r="C17" s="318" t="s">
        <v>319</v>
      </c>
      <c r="D17"/>
      <c r="E17" s="171"/>
      <c r="F17" s="203"/>
      <c r="G17" s="203"/>
      <c r="H17" s="203"/>
      <c r="I17" s="203"/>
      <c r="J17" s="203"/>
      <c r="K17" s="204"/>
      <c r="L17" s="204"/>
      <c r="T17" s="315"/>
    </row>
    <row r="18" spans="1:20" ht="15" customHeight="1">
      <c r="A18" s="315"/>
      <c r="B18" s="225"/>
      <c r="F18" s="572" t="s">
        <v>144</v>
      </c>
      <c r="G18" s="573"/>
      <c r="H18" s="573"/>
      <c r="I18" s="573"/>
      <c r="J18" s="573"/>
      <c r="K18" s="573"/>
      <c r="L18" s="574"/>
      <c r="M18" s="319" t="s">
        <v>432</v>
      </c>
      <c r="N18" s="503" t="s">
        <v>55</v>
      </c>
      <c r="O18" s="521"/>
      <c r="P18" s="505">
        <f>ROUND(Basisbedragen!$D$57*$R$1,2)</f>
        <v>28.95</v>
      </c>
      <c r="Q18" s="522"/>
      <c r="R18" s="505">
        <f>ROUND(P18/2,2)</f>
        <v>14.48</v>
      </c>
      <c r="S18" s="522"/>
      <c r="T18" s="315"/>
    </row>
    <row r="19" spans="1:20" ht="15" customHeight="1" thickBot="1">
      <c r="A19" s="315"/>
      <c r="B19" s="227"/>
      <c r="C19" s="200"/>
      <c r="D19" s="201"/>
      <c r="E19" s="228"/>
      <c r="F19" s="575" t="s">
        <v>145</v>
      </c>
      <c r="G19" s="576"/>
      <c r="H19" s="576"/>
      <c r="I19" s="576"/>
      <c r="J19" s="576"/>
      <c r="K19" s="576"/>
      <c r="L19" s="577"/>
      <c r="M19" s="317" t="s">
        <v>433</v>
      </c>
      <c r="N19" s="518" t="s">
        <v>30</v>
      </c>
      <c r="O19" s="519"/>
      <c r="P19" s="520">
        <f>ROUND(Basisbedragen!$D$56*$R$1,2)</f>
        <v>18.02</v>
      </c>
      <c r="Q19" s="518"/>
      <c r="R19" s="520">
        <f>ROUND(P19/2,2)</f>
        <v>9.01</v>
      </c>
      <c r="S19" s="518"/>
      <c r="T19" s="315"/>
    </row>
    <row r="20" spans="1:20" ht="15" customHeight="1" thickBot="1">
      <c r="A20" s="315"/>
      <c r="B20" s="227"/>
      <c r="C20" s="200"/>
      <c r="D20" s="201"/>
      <c r="E20" s="228"/>
      <c r="F20" s="203"/>
      <c r="G20" s="203"/>
      <c r="H20" s="203"/>
      <c r="I20" s="203"/>
      <c r="J20" s="203"/>
      <c r="K20" s="204"/>
      <c r="L20" s="204"/>
      <c r="T20" s="315"/>
    </row>
    <row r="21" spans="1:20" ht="15" customHeight="1">
      <c r="A21" s="315"/>
      <c r="B21" s="227"/>
      <c r="C21" s="200"/>
      <c r="D21" s="201"/>
      <c r="E21" s="228"/>
      <c r="F21" s="509" t="s">
        <v>146</v>
      </c>
      <c r="G21" s="533"/>
      <c r="H21" s="533"/>
      <c r="I21" s="533"/>
      <c r="J21" s="533"/>
      <c r="K21" s="533"/>
      <c r="L21" s="534"/>
      <c r="M21" s="211" t="s">
        <v>434</v>
      </c>
      <c r="N21" s="503" t="s">
        <v>55</v>
      </c>
      <c r="O21" s="521"/>
      <c r="P21" s="505">
        <f>ROUND(Basisbedragen!$D$55*$R$1,2)</f>
        <v>25.38</v>
      </c>
      <c r="Q21" s="522"/>
      <c r="R21" s="505">
        <f>ROUND(P21/2,2)</f>
        <v>12.69</v>
      </c>
      <c r="S21" s="522"/>
      <c r="T21" s="315"/>
    </row>
    <row r="22" spans="1:20" ht="15" customHeight="1" thickBot="1">
      <c r="A22" s="315"/>
      <c r="B22" s="229"/>
      <c r="C22" s="230"/>
      <c r="D22" s="231"/>
      <c r="E22" s="232"/>
      <c r="F22" s="516" t="s">
        <v>148</v>
      </c>
      <c r="G22" s="563"/>
      <c r="H22" s="563"/>
      <c r="I22" s="563"/>
      <c r="J22" s="563"/>
      <c r="K22" s="563"/>
      <c r="L22" s="564"/>
      <c r="M22" s="317" t="s">
        <v>435</v>
      </c>
      <c r="N22" s="518" t="s">
        <v>30</v>
      </c>
      <c r="O22" s="519"/>
      <c r="P22" s="520">
        <f>ROUND(Basisbedragen!$D$54*$R$1,2)</f>
        <v>15.92</v>
      </c>
      <c r="Q22" s="518"/>
      <c r="R22" s="520">
        <f>ROUND(P22/2,2)</f>
        <v>7.96</v>
      </c>
      <c r="S22" s="518"/>
      <c r="T22" s="315"/>
    </row>
    <row r="23" spans="1:20" ht="15" customHeight="1">
      <c r="A23" s="315"/>
      <c r="B23" s="203"/>
      <c r="C23" s="200"/>
      <c r="D23" s="201"/>
      <c r="E23" s="202"/>
      <c r="F23" s="203"/>
      <c r="G23" s="203"/>
      <c r="H23" s="203"/>
      <c r="I23" s="203"/>
      <c r="J23" s="203"/>
      <c r="K23" s="204"/>
      <c r="L23" s="204"/>
      <c r="M23" s="200"/>
      <c r="N23" s="200"/>
      <c r="O23" s="200"/>
      <c r="T23" s="315"/>
    </row>
    <row r="24" spans="1:20" ht="15" customHeight="1" thickBot="1">
      <c r="A24" s="206"/>
      <c r="B24" s="206"/>
      <c r="C24" s="200"/>
      <c r="D24" s="201"/>
      <c r="E24" s="202"/>
      <c r="F24" s="203"/>
      <c r="G24" s="203"/>
      <c r="H24" s="203"/>
      <c r="I24" s="203"/>
      <c r="J24" s="203"/>
      <c r="K24" s="204"/>
      <c r="L24" s="204"/>
      <c r="M24" s="200"/>
      <c r="N24" s="200"/>
      <c r="O24" s="200"/>
      <c r="T24" s="206"/>
    </row>
    <row r="25" spans="1:20" ht="15" customHeight="1" thickBot="1">
      <c r="A25" s="206"/>
      <c r="B25" s="222"/>
      <c r="C25" s="223"/>
      <c r="D25" s="223"/>
      <c r="E25" s="223"/>
      <c r="F25" s="223"/>
      <c r="G25" s="223"/>
      <c r="H25" s="224"/>
      <c r="I25" s="578" t="s">
        <v>143</v>
      </c>
      <c r="J25" s="578"/>
      <c r="K25" s="578"/>
      <c r="L25" s="579"/>
      <c r="M25" s="126" t="s">
        <v>213</v>
      </c>
      <c r="N25" s="569" t="s">
        <v>24</v>
      </c>
      <c r="O25" s="570"/>
      <c r="P25" s="501">
        <f>P10</f>
        <v>70.64</v>
      </c>
      <c r="Q25" s="571"/>
      <c r="R25" s="501">
        <f>ROUND(P25/2,2)</f>
        <v>35.32</v>
      </c>
      <c r="S25" s="502"/>
      <c r="T25" s="206"/>
    </row>
    <row r="26" spans="1:20" ht="15" customHeight="1" thickBot="1">
      <c r="A26" s="206"/>
      <c r="B26" s="225"/>
      <c r="H26" s="226"/>
      <c r="T26" s="206"/>
    </row>
    <row r="27" spans="1:20" ht="15" customHeight="1">
      <c r="A27" s="206"/>
      <c r="B27" s="568"/>
      <c r="C27" s="498"/>
      <c r="D27" s="498"/>
      <c r="E27" s="498"/>
      <c r="F27" s="498"/>
      <c r="G27" s="498"/>
      <c r="H27" s="499"/>
      <c r="I27" s="212"/>
      <c r="J27" s="212"/>
      <c r="K27" s="212"/>
      <c r="L27" s="213"/>
      <c r="M27" s="211" t="s">
        <v>214</v>
      </c>
      <c r="N27" s="503" t="s">
        <v>53</v>
      </c>
      <c r="O27" s="504"/>
      <c r="P27" s="505">
        <f>P14</f>
        <v>52.6</v>
      </c>
      <c r="Q27" s="504"/>
      <c r="R27" s="505">
        <f>ROUND(P27/2,2)</f>
        <v>26.3</v>
      </c>
      <c r="S27" s="504"/>
      <c r="T27" s="206"/>
    </row>
    <row r="28" spans="1:20" ht="15" customHeight="1">
      <c r="A28" s="206"/>
      <c r="B28" s="508"/>
      <c r="C28" s="498"/>
      <c r="D28" s="498"/>
      <c r="E28" s="498"/>
      <c r="F28" s="498"/>
      <c r="G28" s="498"/>
      <c r="H28" s="499"/>
      <c r="I28" s="538" t="s">
        <v>147</v>
      </c>
      <c r="J28" s="538"/>
      <c r="K28" s="538"/>
      <c r="L28" s="580"/>
      <c r="M28" s="316" t="s">
        <v>215</v>
      </c>
      <c r="N28" s="523" t="s">
        <v>54</v>
      </c>
      <c r="O28" s="524"/>
      <c r="P28" s="525">
        <f>P15</f>
        <v>30.36</v>
      </c>
      <c r="Q28" s="524"/>
      <c r="R28" s="525">
        <f>ROUND(P28/2,2)</f>
        <v>15.18</v>
      </c>
      <c r="S28" s="524"/>
      <c r="T28" s="206"/>
    </row>
    <row r="29" spans="1:20" ht="15" customHeight="1" thickBot="1">
      <c r="A29" s="206"/>
      <c r="B29" s="568" t="s">
        <v>28</v>
      </c>
      <c r="C29" s="498" t="s">
        <v>29</v>
      </c>
      <c r="D29" s="498"/>
      <c r="E29" s="498"/>
      <c r="F29" s="498"/>
      <c r="G29" s="498"/>
      <c r="H29" s="499"/>
      <c r="I29" s="214"/>
      <c r="J29" s="214"/>
      <c r="K29" s="214"/>
      <c r="L29" s="215"/>
      <c r="M29" s="317" t="s">
        <v>216</v>
      </c>
      <c r="N29" s="518" t="s">
        <v>30</v>
      </c>
      <c r="O29" s="526"/>
      <c r="P29" s="520">
        <f>P16</f>
        <v>19.309999999999999</v>
      </c>
      <c r="Q29" s="526"/>
      <c r="R29" s="520">
        <f>ROUND(P29/2,2)</f>
        <v>9.66</v>
      </c>
      <c r="S29" s="526"/>
      <c r="T29" s="206"/>
    </row>
    <row r="30" spans="1:20" ht="15" customHeight="1" thickBot="1">
      <c r="A30" s="206"/>
      <c r="B30" s="508"/>
      <c r="C30" s="498" t="s">
        <v>31</v>
      </c>
      <c r="D30" s="498"/>
      <c r="E30" s="498"/>
      <c r="F30" s="498"/>
      <c r="G30" s="498"/>
      <c r="H30" s="499"/>
      <c r="T30" s="206"/>
    </row>
    <row r="31" spans="1:20" ht="15" customHeight="1">
      <c r="A31" s="206"/>
      <c r="B31" s="506" t="s">
        <v>32</v>
      </c>
      <c r="C31" s="498" t="s">
        <v>33</v>
      </c>
      <c r="D31" s="498"/>
      <c r="E31" s="498"/>
      <c r="F31" s="498"/>
      <c r="G31" s="498"/>
      <c r="H31" s="499"/>
      <c r="I31" s="509" t="s">
        <v>144</v>
      </c>
      <c r="J31" s="509"/>
      <c r="K31" s="509"/>
      <c r="L31" s="510"/>
      <c r="M31" s="211" t="s">
        <v>217</v>
      </c>
      <c r="N31" s="503" t="s">
        <v>55</v>
      </c>
      <c r="O31" s="521"/>
      <c r="P31" s="505">
        <f>P18</f>
        <v>28.95</v>
      </c>
      <c r="Q31" s="522"/>
      <c r="R31" s="505">
        <f>ROUND(P31/2,2)</f>
        <v>14.48</v>
      </c>
      <c r="S31" s="522"/>
      <c r="T31" s="206"/>
    </row>
    <row r="32" spans="1:20" ht="15" customHeight="1" thickBot="1">
      <c r="A32" s="206"/>
      <c r="B32" s="506"/>
      <c r="C32" s="498" t="s">
        <v>34</v>
      </c>
      <c r="D32" s="498"/>
      <c r="E32" s="498"/>
      <c r="F32" s="498"/>
      <c r="G32" s="498"/>
      <c r="H32" s="499"/>
      <c r="I32" s="516" t="s">
        <v>145</v>
      </c>
      <c r="J32" s="516"/>
      <c r="K32" s="516"/>
      <c r="L32" s="517"/>
      <c r="M32" s="317" t="s">
        <v>218</v>
      </c>
      <c r="N32" s="518" t="s">
        <v>30</v>
      </c>
      <c r="O32" s="519"/>
      <c r="P32" s="520">
        <f>P19</f>
        <v>18.02</v>
      </c>
      <c r="Q32" s="518"/>
      <c r="R32" s="520">
        <f>ROUND(P32/2,2)</f>
        <v>9.01</v>
      </c>
      <c r="S32" s="518"/>
      <c r="T32" s="206"/>
    </row>
    <row r="33" spans="1:21" ht="15" customHeight="1" thickBot="1">
      <c r="A33" s="206"/>
      <c r="B33" s="507"/>
      <c r="C33" s="498"/>
      <c r="D33" s="498"/>
      <c r="E33" s="498"/>
      <c r="F33" s="498"/>
      <c r="G33" s="498"/>
      <c r="H33" s="499"/>
      <c r="T33" s="206"/>
    </row>
    <row r="34" spans="1:21" ht="15" customHeight="1">
      <c r="A34" s="206"/>
      <c r="B34" s="508"/>
      <c r="C34" s="498"/>
      <c r="D34" s="498"/>
      <c r="E34" s="498"/>
      <c r="F34" s="498"/>
      <c r="G34" s="498"/>
      <c r="H34" s="499"/>
      <c r="I34" s="509" t="s">
        <v>146</v>
      </c>
      <c r="J34" s="509"/>
      <c r="K34" s="509"/>
      <c r="L34" s="510"/>
      <c r="M34" s="211" t="s">
        <v>219</v>
      </c>
      <c r="N34" s="503" t="s">
        <v>55</v>
      </c>
      <c r="O34" s="521"/>
      <c r="P34" s="505">
        <f>P21</f>
        <v>25.38</v>
      </c>
      <c r="Q34" s="522"/>
      <c r="R34" s="505">
        <f>ROUND(P34/2,2)</f>
        <v>12.69</v>
      </c>
      <c r="S34" s="522"/>
      <c r="T34" s="206"/>
    </row>
    <row r="35" spans="1:21" ht="15" customHeight="1" thickBot="1">
      <c r="A35" s="206"/>
      <c r="B35" s="233"/>
      <c r="C35" s="120"/>
      <c r="D35" s="120"/>
      <c r="E35" s="120"/>
      <c r="F35" s="120"/>
      <c r="G35" s="120"/>
      <c r="H35" s="234"/>
      <c r="I35" s="516" t="s">
        <v>148</v>
      </c>
      <c r="J35" s="516"/>
      <c r="K35" s="516"/>
      <c r="L35" s="517"/>
      <c r="M35" s="317" t="s">
        <v>220</v>
      </c>
      <c r="N35" s="518" t="s">
        <v>30</v>
      </c>
      <c r="O35" s="519"/>
      <c r="P35" s="520">
        <f>P22</f>
        <v>15.92</v>
      </c>
      <c r="Q35" s="518"/>
      <c r="R35" s="520">
        <f>ROUND(P35/2,2)</f>
        <v>7.96</v>
      </c>
      <c r="S35" s="518"/>
      <c r="T35" s="206"/>
    </row>
    <row r="36" spans="1:21" ht="13.8" thickBot="1">
      <c r="A36" s="206"/>
      <c r="B36" s="206"/>
      <c r="C36" s="320"/>
      <c r="T36" s="206"/>
    </row>
    <row r="37" spans="1:21" ht="15" customHeight="1" thickBot="1">
      <c r="B37" s="222"/>
      <c r="C37" s="223"/>
      <c r="D37" s="223"/>
      <c r="E37" s="223"/>
      <c r="F37" s="223"/>
      <c r="G37" s="223"/>
      <c r="H37" s="224"/>
      <c r="I37" s="500" t="s">
        <v>169</v>
      </c>
      <c r="J37" s="500"/>
      <c r="K37" s="500"/>
      <c r="L37" s="500"/>
      <c r="M37" s="262" t="s">
        <v>77</v>
      </c>
      <c r="N37" s="511" t="s">
        <v>24</v>
      </c>
      <c r="O37" s="512"/>
      <c r="P37" s="513">
        <f>Basisbedragen!$D$16</f>
        <v>26.82</v>
      </c>
      <c r="Q37" s="512"/>
      <c r="R37" s="514"/>
      <c r="S37" s="515"/>
      <c r="T37" s="225"/>
      <c r="U37"/>
    </row>
    <row r="38" spans="1:21" ht="15" customHeight="1">
      <c r="B38" s="225"/>
      <c r="H38" s="226"/>
      <c r="I38" s="589" t="s">
        <v>162</v>
      </c>
      <c r="J38" s="590"/>
      <c r="K38" s="590"/>
      <c r="L38" s="591"/>
      <c r="M38" s="257"/>
      <c r="N38" s="608"/>
      <c r="O38" s="609"/>
      <c r="P38" s="608"/>
      <c r="Q38" s="609"/>
      <c r="R38" s="608"/>
      <c r="S38" s="609"/>
      <c r="T38" s="225"/>
      <c r="U38"/>
    </row>
    <row r="39" spans="1:21" ht="15" customHeight="1">
      <c r="B39" s="225"/>
      <c r="H39" s="226"/>
      <c r="I39" s="620" t="s">
        <v>143</v>
      </c>
      <c r="J39" s="621"/>
      <c r="K39" s="621"/>
      <c r="L39" s="622"/>
      <c r="M39" s="258" t="s">
        <v>164</v>
      </c>
      <c r="N39" s="582" t="s">
        <v>24</v>
      </c>
      <c r="O39" s="583"/>
      <c r="P39" s="610">
        <f>IF(P9&gt;=$P$37,P9,$P$37)</f>
        <v>73.42</v>
      </c>
      <c r="Q39" s="583"/>
      <c r="R39" s="612"/>
      <c r="S39" s="613"/>
      <c r="T39" s="225"/>
      <c r="U39"/>
    </row>
    <row r="40" spans="1:21" ht="15" customHeight="1">
      <c r="B40" s="225"/>
      <c r="H40" s="226"/>
      <c r="I40" s="623"/>
      <c r="J40" s="621"/>
      <c r="K40" s="621"/>
      <c r="L40" s="622"/>
      <c r="M40" s="258" t="s">
        <v>165</v>
      </c>
      <c r="N40" s="582" t="s">
        <v>24</v>
      </c>
      <c r="O40" s="583"/>
      <c r="P40" s="610">
        <f>IF(P10&gt;=$P$37,P10,$P$37)</f>
        <v>70.64</v>
      </c>
      <c r="Q40" s="583"/>
      <c r="R40" s="612"/>
      <c r="S40" s="613"/>
      <c r="T40" s="225"/>
      <c r="U40"/>
    </row>
    <row r="41" spans="1:21" ht="15" customHeight="1">
      <c r="A41" s="206"/>
      <c r="B41" s="303"/>
      <c r="H41" s="226"/>
      <c r="I41" s="621"/>
      <c r="J41" s="621"/>
      <c r="K41" s="621"/>
      <c r="L41" s="622"/>
      <c r="M41" s="258" t="s">
        <v>166</v>
      </c>
      <c r="N41" s="582" t="s">
        <v>24</v>
      </c>
      <c r="O41" s="583"/>
      <c r="P41" s="610">
        <f>IF(P11&gt;=$P$37,P11,$P$37)</f>
        <v>88.1</v>
      </c>
      <c r="Q41" s="583"/>
      <c r="R41" s="612"/>
      <c r="S41" s="613"/>
      <c r="T41" s="261"/>
      <c r="U41"/>
    </row>
    <row r="42" spans="1:21" ht="15" customHeight="1">
      <c r="A42" s="206"/>
      <c r="B42" s="606" t="s">
        <v>180</v>
      </c>
      <c r="C42" s="498" t="s">
        <v>154</v>
      </c>
      <c r="D42" s="498"/>
      <c r="E42" s="498"/>
      <c r="F42" s="498"/>
      <c r="G42" s="498"/>
      <c r="H42" s="499"/>
      <c r="I42" s="621"/>
      <c r="J42" s="621"/>
      <c r="K42" s="621"/>
      <c r="L42" s="622"/>
      <c r="M42" s="258" t="s">
        <v>167</v>
      </c>
      <c r="N42" s="582" t="s">
        <v>24</v>
      </c>
      <c r="O42" s="583"/>
      <c r="P42" s="610">
        <f>IF(P12&gt;=$P$37,P12,$P$37)</f>
        <v>84.77</v>
      </c>
      <c r="Q42" s="583"/>
      <c r="R42" s="612"/>
      <c r="S42" s="613"/>
      <c r="T42" s="261"/>
      <c r="U42"/>
    </row>
    <row r="43" spans="1:21" ht="15" customHeight="1">
      <c r="A43" s="206"/>
      <c r="B43" s="607"/>
      <c r="C43" s="318" t="s">
        <v>170</v>
      </c>
      <c r="D43" s="318"/>
      <c r="E43" s="318"/>
      <c r="F43" s="318"/>
      <c r="G43" s="318"/>
      <c r="H43" s="321"/>
      <c r="I43" s="594" t="s">
        <v>147</v>
      </c>
      <c r="J43" s="595"/>
      <c r="K43" s="595"/>
      <c r="L43" s="596"/>
      <c r="M43" s="259" t="s">
        <v>168</v>
      </c>
      <c r="N43" s="586" t="s">
        <v>163</v>
      </c>
      <c r="O43" s="587"/>
      <c r="P43" s="610">
        <f>IF(P14&gt;=$P$37,P14,$P$37)</f>
        <v>52.6</v>
      </c>
      <c r="Q43" s="583"/>
      <c r="R43" s="616"/>
      <c r="S43" s="617"/>
      <c r="T43" s="261"/>
      <c r="U43"/>
    </row>
    <row r="44" spans="1:21" ht="15" customHeight="1">
      <c r="A44" s="206"/>
      <c r="B44" s="261"/>
      <c r="H44" s="226"/>
      <c r="I44" s="597"/>
      <c r="J44" s="598"/>
      <c r="K44" s="598"/>
      <c r="L44" s="599"/>
      <c r="M44" s="258" t="s">
        <v>168</v>
      </c>
      <c r="N44" s="588" t="s">
        <v>181</v>
      </c>
      <c r="O44" s="588"/>
      <c r="P44" s="610">
        <f>IF(P15&gt;=$P$37,P15,$P$37)</f>
        <v>30.36</v>
      </c>
      <c r="Q44" s="583"/>
      <c r="R44" s="616"/>
      <c r="S44" s="617"/>
      <c r="T44" s="261"/>
      <c r="U44"/>
    </row>
    <row r="45" spans="1:21" ht="15" customHeight="1">
      <c r="A45" s="206"/>
      <c r="B45" s="261"/>
      <c r="H45" s="226"/>
      <c r="I45" s="597"/>
      <c r="J45" s="598"/>
      <c r="K45" s="598"/>
      <c r="L45" s="599"/>
      <c r="M45" s="264" t="s">
        <v>168</v>
      </c>
      <c r="N45" s="592" t="s">
        <v>30</v>
      </c>
      <c r="O45" s="593"/>
      <c r="P45" s="610">
        <f>IF(P16&gt;=$P$37,P16,$P$37)</f>
        <v>26.82</v>
      </c>
      <c r="Q45" s="583"/>
      <c r="R45" s="265"/>
      <c r="S45" s="266"/>
      <c r="T45" s="261"/>
      <c r="U45"/>
    </row>
    <row r="46" spans="1:21" ht="15" customHeight="1">
      <c r="A46" s="206"/>
      <c r="B46" s="261"/>
      <c r="H46" s="226"/>
      <c r="I46" s="600" t="s">
        <v>144</v>
      </c>
      <c r="J46" s="601"/>
      <c r="K46" s="601"/>
      <c r="L46" s="602"/>
      <c r="M46" s="258" t="s">
        <v>178</v>
      </c>
      <c r="N46" s="592" t="s">
        <v>182</v>
      </c>
      <c r="O46" s="593"/>
      <c r="P46" s="610">
        <f>IF(P18&gt;=$P$37,P18,$P$37)</f>
        <v>28.95</v>
      </c>
      <c r="Q46" s="583"/>
      <c r="R46" s="265"/>
      <c r="S46" s="266"/>
      <c r="T46" s="261"/>
      <c r="U46"/>
    </row>
    <row r="47" spans="1:21" ht="15" customHeight="1">
      <c r="A47" s="206"/>
      <c r="B47" s="261"/>
      <c r="H47" s="226"/>
      <c r="I47" s="603" t="s">
        <v>145</v>
      </c>
      <c r="J47" s="604"/>
      <c r="K47" s="604"/>
      <c r="L47" s="605"/>
      <c r="M47" s="258" t="s">
        <v>178</v>
      </c>
      <c r="N47" s="592" t="s">
        <v>30</v>
      </c>
      <c r="O47" s="593"/>
      <c r="P47" s="610">
        <f>IF(P19&gt;=$P$37,P19,$P$37)</f>
        <v>26.82</v>
      </c>
      <c r="Q47" s="583"/>
      <c r="R47" s="265"/>
      <c r="S47" s="266"/>
      <c r="T47" s="261"/>
      <c r="U47"/>
    </row>
    <row r="48" spans="1:21" ht="15" customHeight="1">
      <c r="A48" s="206"/>
      <c r="B48" s="261"/>
      <c r="H48" s="226"/>
      <c r="I48" s="600" t="s">
        <v>146</v>
      </c>
      <c r="J48" s="601"/>
      <c r="K48" s="601"/>
      <c r="L48" s="602"/>
      <c r="M48" s="258" t="s">
        <v>179</v>
      </c>
      <c r="N48" s="592" t="s">
        <v>182</v>
      </c>
      <c r="O48" s="593"/>
      <c r="P48" s="610">
        <f>IF(P21&gt;=$P$37,P21,$P$37)</f>
        <v>26.82</v>
      </c>
      <c r="Q48" s="583"/>
      <c r="R48" s="265"/>
      <c r="S48" s="266"/>
      <c r="T48" s="261"/>
      <c r="U48"/>
    </row>
    <row r="49" spans="1:21" ht="15" customHeight="1" thickBot="1">
      <c r="A49" s="206"/>
      <c r="B49" s="233"/>
      <c r="C49" s="120"/>
      <c r="D49" s="120"/>
      <c r="E49" s="120"/>
      <c r="F49" s="120"/>
      <c r="G49" s="120"/>
      <c r="H49" s="234"/>
      <c r="I49" s="618" t="s">
        <v>148</v>
      </c>
      <c r="J49" s="575"/>
      <c r="K49" s="575"/>
      <c r="L49" s="619"/>
      <c r="M49" s="260" t="s">
        <v>179</v>
      </c>
      <c r="N49" s="584" t="s">
        <v>30</v>
      </c>
      <c r="O49" s="585"/>
      <c r="P49" s="611">
        <f>IF(P22&gt;=$P$37,P22,$P$37)</f>
        <v>26.82</v>
      </c>
      <c r="Q49" s="585"/>
      <c r="R49" s="614"/>
      <c r="S49" s="615"/>
      <c r="T49" s="261"/>
      <c r="U49"/>
    </row>
    <row r="50" spans="1:21">
      <c r="A50" s="206"/>
      <c r="B50" s="206"/>
      <c r="C50" s="322"/>
      <c r="D50" s="323"/>
      <c r="E50" s="323"/>
      <c r="F50" s="323"/>
      <c r="G50" s="309"/>
      <c r="H50" s="309"/>
      <c r="I50" s="324"/>
      <c r="J50" s="324"/>
      <c r="K50" s="208"/>
      <c r="L50" s="208"/>
      <c r="P50" s="325"/>
      <c r="Q50" s="209"/>
      <c r="T50" s="206"/>
    </row>
    <row r="51" spans="1:21">
      <c r="A51" s="206"/>
      <c r="B51" s="206"/>
      <c r="P51" s="325"/>
      <c r="Q51" s="209"/>
      <c r="T51" s="206"/>
    </row>
    <row r="52" spans="1:21">
      <c r="A52" s="206"/>
      <c r="B52" s="206"/>
      <c r="P52" s="325"/>
      <c r="Q52" s="209"/>
      <c r="T52" s="206"/>
    </row>
    <row r="53" spans="1:21">
      <c r="A53" s="206"/>
      <c r="B53" s="206"/>
      <c r="P53" s="325"/>
      <c r="Q53" s="209"/>
      <c r="T53" s="206"/>
    </row>
    <row r="54" spans="1:21">
      <c r="A54" s="206"/>
      <c r="B54" s="206"/>
      <c r="C54" s="326"/>
      <c r="D54" s="326"/>
      <c r="E54" s="326"/>
      <c r="F54" s="326"/>
      <c r="G54" s="326"/>
      <c r="H54" s="326"/>
      <c r="I54" s="326"/>
      <c r="J54" s="326"/>
      <c r="K54" s="208"/>
      <c r="L54" s="208"/>
      <c r="M54" s="327"/>
      <c r="N54" s="309"/>
      <c r="O54" s="324"/>
      <c r="P54" s="325"/>
      <c r="Q54" s="209"/>
      <c r="T54" s="206"/>
    </row>
    <row r="55" spans="1:21">
      <c r="A55" s="206"/>
      <c r="B55" s="206"/>
      <c r="T55" s="206"/>
    </row>
    <row r="56" spans="1:21">
      <c r="A56" s="206"/>
      <c r="B56" s="206"/>
      <c r="T56" s="206"/>
    </row>
    <row r="57" spans="1:21">
      <c r="A57" s="206"/>
      <c r="B57" s="206"/>
      <c r="T57" s="206"/>
    </row>
    <row r="58" spans="1:21">
      <c r="A58" s="206"/>
      <c r="B58" s="206"/>
      <c r="C58" s="206"/>
      <c r="D58" s="207"/>
      <c r="E58" s="208"/>
      <c r="F58" s="206"/>
      <c r="G58" s="208"/>
      <c r="H58" s="208"/>
      <c r="I58" s="208"/>
      <c r="J58" s="208"/>
      <c r="K58" s="208"/>
      <c r="L58" s="208"/>
      <c r="M58" s="309"/>
      <c r="N58" s="309"/>
      <c r="O58" s="206"/>
      <c r="P58" s="209"/>
      <c r="Q58" s="209"/>
      <c r="R58" s="209"/>
      <c r="S58" s="209"/>
      <c r="T58" s="206"/>
    </row>
    <row r="59" spans="1:21">
      <c r="A59" s="206"/>
      <c r="B59" s="206"/>
      <c r="T59" s="206"/>
    </row>
    <row r="60" spans="1:21">
      <c r="A60" s="206"/>
      <c r="B60" s="206"/>
      <c r="T60" s="206"/>
    </row>
    <row r="61" spans="1:21">
      <c r="A61" s="206"/>
      <c r="B61" s="206"/>
      <c r="C61" s="206"/>
      <c r="D61" s="207"/>
      <c r="E61" s="210"/>
      <c r="F61" s="206"/>
      <c r="G61" s="328"/>
      <c r="H61" s="328"/>
      <c r="I61" s="328"/>
      <c r="J61" s="328"/>
      <c r="K61" s="305"/>
      <c r="L61" s="305"/>
      <c r="M61" s="309"/>
      <c r="N61" s="309"/>
      <c r="O61" s="305"/>
      <c r="P61" s="209"/>
      <c r="Q61" s="209"/>
      <c r="R61" s="206"/>
      <c r="S61" s="206"/>
      <c r="T61" s="206"/>
    </row>
    <row r="62" spans="1:21">
      <c r="A62" s="206"/>
      <c r="B62" s="206"/>
      <c r="T62" s="206"/>
    </row>
    <row r="63" spans="1:21">
      <c r="A63" s="206"/>
      <c r="B63" s="206"/>
      <c r="T63" s="206"/>
    </row>
    <row r="64" spans="1:21">
      <c r="A64" s="206"/>
      <c r="B64" s="206"/>
      <c r="T64" s="206"/>
    </row>
    <row r="65" spans="1:20">
      <c r="A65" s="206"/>
      <c r="B65" s="206"/>
      <c r="C65" s="206"/>
      <c r="D65" s="206"/>
      <c r="E65" s="311"/>
      <c r="F65" s="206"/>
      <c r="G65" s="328"/>
      <c r="H65" s="328"/>
      <c r="I65" s="328"/>
      <c r="J65" s="328"/>
      <c r="K65" s="305"/>
      <c r="L65" s="305"/>
      <c r="M65" s="305"/>
      <c r="N65" s="305"/>
      <c r="O65" s="305"/>
      <c r="P65" s="209"/>
      <c r="Q65" s="209"/>
      <c r="R65" s="209"/>
      <c r="S65" s="209"/>
      <c r="T65" s="206"/>
    </row>
    <row r="66" spans="1:20">
      <c r="A66" s="206"/>
      <c r="B66" s="206"/>
      <c r="R66" s="209"/>
      <c r="S66" s="209"/>
      <c r="T66" s="206"/>
    </row>
    <row r="67" spans="1:20">
      <c r="R67" s="206"/>
      <c r="S67" s="206"/>
    </row>
  </sheetData>
  <sheetProtection algorithmName="SHA-512" hashValue="fwdR/uIMUJcbyh0LEaUvE8VAWMmpSDTtDhfDUQn4sd/MulI7ck/C1vrLNgHw9C6x1m7OvC/Qi6UPKWbCGzrzhg==" saltValue="zraUlWCImzDqrpufUSg83Q==" spinCount="100000" sheet="1" objects="1" scenarios="1"/>
  <mergeCells count="149">
    <mergeCell ref="B42:B43"/>
    <mergeCell ref="P38:Q38"/>
    <mergeCell ref="P39:Q39"/>
    <mergeCell ref="P40:Q40"/>
    <mergeCell ref="P41:Q41"/>
    <mergeCell ref="P42:Q42"/>
    <mergeCell ref="P44:Q44"/>
    <mergeCell ref="P49:Q49"/>
    <mergeCell ref="R38:S38"/>
    <mergeCell ref="R39:S39"/>
    <mergeCell ref="R40:S40"/>
    <mergeCell ref="R41:S41"/>
    <mergeCell ref="R42:S42"/>
    <mergeCell ref="R49:S49"/>
    <mergeCell ref="P43:Q43"/>
    <mergeCell ref="R43:S43"/>
    <mergeCell ref="R44:S44"/>
    <mergeCell ref="P45:Q45"/>
    <mergeCell ref="P46:Q46"/>
    <mergeCell ref="P47:Q47"/>
    <mergeCell ref="P48:Q48"/>
    <mergeCell ref="I49:L49"/>
    <mergeCell ref="I39:L42"/>
    <mergeCell ref="N38:O38"/>
    <mergeCell ref="N39:O39"/>
    <mergeCell ref="N40:O40"/>
    <mergeCell ref="N41:O41"/>
    <mergeCell ref="N42:O42"/>
    <mergeCell ref="N49:O49"/>
    <mergeCell ref="N43:O43"/>
    <mergeCell ref="N44:O44"/>
    <mergeCell ref="I38:L38"/>
    <mergeCell ref="N45:O45"/>
    <mergeCell ref="I43:L45"/>
    <mergeCell ref="I46:L46"/>
    <mergeCell ref="I47:L47"/>
    <mergeCell ref="I48:L48"/>
    <mergeCell ref="N46:O46"/>
    <mergeCell ref="N47:O47"/>
    <mergeCell ref="N48:O48"/>
    <mergeCell ref="B27:B28"/>
    <mergeCell ref="B29:B30"/>
    <mergeCell ref="P10:Q10"/>
    <mergeCell ref="P12:Q12"/>
    <mergeCell ref="N25:O25"/>
    <mergeCell ref="P25:Q25"/>
    <mergeCell ref="F18:L18"/>
    <mergeCell ref="F19:L19"/>
    <mergeCell ref="F21:L21"/>
    <mergeCell ref="F22:L22"/>
    <mergeCell ref="C27:H27"/>
    <mergeCell ref="C28:H28"/>
    <mergeCell ref="C29:H29"/>
    <mergeCell ref="C30:H30"/>
    <mergeCell ref="I25:L25"/>
    <mergeCell ref="I28:L28"/>
    <mergeCell ref="N22:O22"/>
    <mergeCell ref="B14:B15"/>
    <mergeCell ref="B16:B17"/>
    <mergeCell ref="N14:O14"/>
    <mergeCell ref="P14:Q14"/>
    <mergeCell ref="P22:Q22"/>
    <mergeCell ref="R14:S14"/>
    <mergeCell ref="N15:O15"/>
    <mergeCell ref="P15:Q15"/>
    <mergeCell ref="R15:S15"/>
    <mergeCell ref="F10:L10"/>
    <mergeCell ref="F11:L11"/>
    <mergeCell ref="F12:L12"/>
    <mergeCell ref="F15:L15"/>
    <mergeCell ref="R6:S7"/>
    <mergeCell ref="M3:S3"/>
    <mergeCell ref="A4:B4"/>
    <mergeCell ref="H4:I4"/>
    <mergeCell ref="M4:S4"/>
    <mergeCell ref="N6:O6"/>
    <mergeCell ref="D1:I1"/>
    <mergeCell ref="D2:I2"/>
    <mergeCell ref="R11:S11"/>
    <mergeCell ref="N11:O11"/>
    <mergeCell ref="P11:Q11"/>
    <mergeCell ref="A1:B1"/>
    <mergeCell ref="A2:B2"/>
    <mergeCell ref="A3:B3"/>
    <mergeCell ref="C3:C4"/>
    <mergeCell ref="G3:G4"/>
    <mergeCell ref="H3:I3"/>
    <mergeCell ref="P6:Q7"/>
    <mergeCell ref="P34:Q34"/>
    <mergeCell ref="R34:S34"/>
    <mergeCell ref="I32:L32"/>
    <mergeCell ref="I34:L34"/>
    <mergeCell ref="N8:O8"/>
    <mergeCell ref="P8:Q8"/>
    <mergeCell ref="R8:S8"/>
    <mergeCell ref="N9:O9"/>
    <mergeCell ref="P9:Q9"/>
    <mergeCell ref="R9:S9"/>
    <mergeCell ref="F9:L9"/>
    <mergeCell ref="R10:S10"/>
    <mergeCell ref="R12:S12"/>
    <mergeCell ref="N12:O12"/>
    <mergeCell ref="N10:O10"/>
    <mergeCell ref="N19:O19"/>
    <mergeCell ref="P19:Q19"/>
    <mergeCell ref="R19:S19"/>
    <mergeCell ref="N16:O16"/>
    <mergeCell ref="P16:Q16"/>
    <mergeCell ref="R16:S16"/>
    <mergeCell ref="N18:O18"/>
    <mergeCell ref="P18:Q18"/>
    <mergeCell ref="R18:S18"/>
    <mergeCell ref="R22:S22"/>
    <mergeCell ref="N21:O21"/>
    <mergeCell ref="P21:Q21"/>
    <mergeCell ref="R21:S21"/>
    <mergeCell ref="N31:O31"/>
    <mergeCell ref="P31:Q31"/>
    <mergeCell ref="R31:S31"/>
    <mergeCell ref="N28:O28"/>
    <mergeCell ref="P28:Q28"/>
    <mergeCell ref="R28:S28"/>
    <mergeCell ref="N29:O29"/>
    <mergeCell ref="P29:Q29"/>
    <mergeCell ref="R29:S29"/>
    <mergeCell ref="C42:H42"/>
    <mergeCell ref="I37:L37"/>
    <mergeCell ref="R25:S25"/>
    <mergeCell ref="N27:O27"/>
    <mergeCell ref="P27:Q27"/>
    <mergeCell ref="R27:S27"/>
    <mergeCell ref="B31:B32"/>
    <mergeCell ref="B33:B34"/>
    <mergeCell ref="C31:H31"/>
    <mergeCell ref="I31:L31"/>
    <mergeCell ref="N37:O37"/>
    <mergeCell ref="P37:Q37"/>
    <mergeCell ref="R37:S37"/>
    <mergeCell ref="I35:L35"/>
    <mergeCell ref="C32:H32"/>
    <mergeCell ref="C33:H33"/>
    <mergeCell ref="C34:H34"/>
    <mergeCell ref="N35:O35"/>
    <mergeCell ref="P35:Q35"/>
    <mergeCell ref="R35:S35"/>
    <mergeCell ref="N32:O32"/>
    <mergeCell ref="P32:Q32"/>
    <mergeCell ref="R32:S32"/>
    <mergeCell ref="N34:O34"/>
  </mergeCells>
  <pageMargins left="0.70866141732283472" right="0.70866141732283472" top="0.74803149606299213" bottom="0.74803149606299213" header="0.31496062992125984" footer="0.31496062992125984"/>
  <pageSetup paperSize="9" scale="63" orientation="landscape" r:id="rId1"/>
  <headerFooter>
    <oddFooter>&amp;LRijksdienst voor Arbeidsvoorziening&amp;ROffice national de l'Emploi</oddFooter>
  </headerFooter>
  <rowBreaks count="1" manualBreakCount="1">
    <brk id="51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A86"/>
  <sheetViews>
    <sheetView showGridLines="0" zoomScaleNormal="100" workbookViewId="0">
      <pane ySplit="4" topLeftCell="A5" activePane="bottomLeft" state="frozen"/>
      <selection activeCell="A2" sqref="A2"/>
      <selection pane="bottomLeft" activeCell="B2" sqref="B2:C2"/>
    </sheetView>
  </sheetViews>
  <sheetFormatPr defaultColWidth="9.109375" defaultRowHeight="14.4" outlineLevelCol="1"/>
  <cols>
    <col min="1" max="1" width="2.88671875" customWidth="1"/>
    <col min="4" max="4" width="5" customWidth="1"/>
    <col min="5" max="5" width="4.44140625" customWidth="1"/>
    <col min="7" max="10" width="9.109375" customWidth="1"/>
    <col min="11" max="11" width="28.44140625" customWidth="1"/>
    <col min="12" max="16" width="11.44140625" customWidth="1"/>
    <col min="17" max="18" width="1.44140625" customWidth="1"/>
    <col min="19" max="19" width="11.6640625" customWidth="1"/>
    <col min="20" max="20" width="8.88671875" hidden="1" customWidth="1" outlineLevel="1"/>
    <col min="21" max="21" width="11.6640625" customWidth="1" collapsed="1"/>
    <col min="22" max="22" width="0.5546875" customWidth="1"/>
  </cols>
  <sheetData>
    <row r="1" spans="2:18" ht="15" customHeight="1">
      <c r="B1" s="477" t="s">
        <v>5</v>
      </c>
      <c r="C1" s="478"/>
      <c r="D1" s="703" t="s">
        <v>84</v>
      </c>
      <c r="E1" s="704"/>
      <c r="F1" s="704"/>
      <c r="G1" s="704"/>
      <c r="H1" s="704"/>
      <c r="N1" s="701" t="s">
        <v>6</v>
      </c>
      <c r="O1" s="701"/>
      <c r="P1" s="143">
        <f>Basisbedragen!$I$2</f>
        <v>1.8113999999999999</v>
      </c>
    </row>
    <row r="2" spans="2:18" ht="18">
      <c r="B2" s="702">
        <v>46266</v>
      </c>
      <c r="C2" s="702"/>
      <c r="D2" s="704" t="s">
        <v>85</v>
      </c>
      <c r="E2" s="704"/>
      <c r="F2" s="704"/>
      <c r="G2" s="704"/>
      <c r="H2" s="704"/>
    </row>
    <row r="3" spans="2:18" ht="15" thickBot="1"/>
    <row r="4" spans="2:18" s="63" customFormat="1" ht="27" thickBot="1">
      <c r="B4" s="671" t="s">
        <v>88</v>
      </c>
      <c r="C4" s="672"/>
      <c r="D4" s="673"/>
      <c r="E4" s="671" t="s">
        <v>89</v>
      </c>
      <c r="F4" s="672"/>
      <c r="G4" s="672"/>
      <c r="H4" s="672"/>
      <c r="I4" s="672"/>
      <c r="J4" s="672"/>
      <c r="K4" s="673"/>
      <c r="L4" s="252" t="s">
        <v>153</v>
      </c>
      <c r="M4" s="252" t="s">
        <v>131</v>
      </c>
      <c r="N4" s="176" t="s">
        <v>103</v>
      </c>
      <c r="O4" s="176" t="s">
        <v>104</v>
      </c>
      <c r="P4" s="176" t="s">
        <v>105</v>
      </c>
      <c r="Q4" s="161"/>
    </row>
    <row r="5" spans="2:18" ht="15" thickBot="1"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64"/>
      <c r="O5" s="164"/>
      <c r="P5" s="164"/>
      <c r="Q5" s="144"/>
    </row>
    <row r="6" spans="2:18" ht="15" thickBot="1">
      <c r="B6" s="671" t="s">
        <v>177</v>
      </c>
      <c r="C6" s="672"/>
      <c r="D6" s="673"/>
      <c r="E6" s="627" t="s">
        <v>90</v>
      </c>
      <c r="F6" s="628"/>
      <c r="G6" s="628"/>
      <c r="H6" s="628"/>
      <c r="I6" s="628"/>
      <c r="J6" s="628"/>
      <c r="K6" s="628"/>
      <c r="L6" s="187"/>
      <c r="M6" s="187"/>
      <c r="N6" s="187"/>
      <c r="O6" s="235">
        <f>ROUND(Basisbedragen!$D$13*Basisbedragen!$I$3,2)</f>
        <v>2233.61</v>
      </c>
      <c r="P6" s="187"/>
      <c r="Q6" s="142"/>
    </row>
    <row r="7" spans="2:18" ht="15" thickBot="1">
      <c r="B7" s="162"/>
      <c r="C7" s="162"/>
      <c r="D7" s="162"/>
      <c r="E7" s="163"/>
      <c r="F7" s="163"/>
      <c r="G7" s="163"/>
      <c r="H7" s="163"/>
      <c r="I7" s="163"/>
      <c r="J7" s="163"/>
      <c r="K7" s="163"/>
      <c r="L7" s="163"/>
      <c r="M7" s="163"/>
      <c r="N7" s="177"/>
      <c r="O7" s="177"/>
      <c r="P7" s="177"/>
      <c r="Q7" s="142"/>
    </row>
    <row r="8" spans="2:18">
      <c r="B8" s="656" t="s">
        <v>390</v>
      </c>
      <c r="C8" s="657"/>
      <c r="D8" s="658"/>
      <c r="E8" s="635" t="s">
        <v>176</v>
      </c>
      <c r="F8" s="636"/>
      <c r="G8" s="636"/>
      <c r="H8" s="636"/>
      <c r="I8" s="636"/>
      <c r="J8" s="636"/>
      <c r="K8" s="687"/>
      <c r="L8" s="644"/>
      <c r="M8" s="644"/>
      <c r="N8" s="652">
        <f>ROUND($O$6/26,2)</f>
        <v>85.91</v>
      </c>
      <c r="O8" s="644"/>
      <c r="P8" s="644"/>
      <c r="Q8" s="142"/>
    </row>
    <row r="9" spans="2:18" ht="15" thickBot="1">
      <c r="B9" s="659"/>
      <c r="C9" s="660"/>
      <c r="D9" s="661"/>
      <c r="E9" s="639"/>
      <c r="F9" s="640"/>
      <c r="G9" s="640"/>
      <c r="H9" s="640"/>
      <c r="I9" s="640"/>
      <c r="J9" s="640"/>
      <c r="K9" s="688"/>
      <c r="L9" s="645"/>
      <c r="M9" s="645"/>
      <c r="N9" s="653"/>
      <c r="O9" s="645"/>
      <c r="P9" s="645"/>
      <c r="Q9" s="146"/>
    </row>
    <row r="10" spans="2:18" ht="15" thickBot="1">
      <c r="B10" s="162"/>
      <c r="C10" s="162"/>
      <c r="D10" s="162"/>
      <c r="E10" s="163"/>
      <c r="F10" s="163"/>
      <c r="G10" s="163"/>
      <c r="H10" s="163"/>
      <c r="I10" s="163"/>
      <c r="J10" s="163"/>
      <c r="K10" s="163"/>
      <c r="Q10" s="142"/>
    </row>
    <row r="11" spans="2:18" ht="15" thickBot="1">
      <c r="B11" s="705" t="s">
        <v>185</v>
      </c>
      <c r="C11" s="706"/>
      <c r="D11" s="707"/>
      <c r="E11" s="627" t="s">
        <v>186</v>
      </c>
      <c r="F11" s="628"/>
      <c r="G11" s="628"/>
      <c r="H11" s="628"/>
      <c r="I11" s="628"/>
      <c r="J11" s="628"/>
      <c r="K11" s="628"/>
      <c r="L11" s="628"/>
      <c r="M11" s="628"/>
      <c r="N11" s="633"/>
      <c r="O11" s="633"/>
      <c r="P11" s="638"/>
      <c r="Q11" s="142"/>
    </row>
    <row r="12" spans="2:18">
      <c r="B12" s="165"/>
      <c r="C12" s="162"/>
      <c r="D12" s="166"/>
      <c r="E12" s="708" t="s">
        <v>187</v>
      </c>
      <c r="F12" s="709"/>
      <c r="G12" s="709"/>
      <c r="H12" s="709"/>
      <c r="I12" s="709"/>
      <c r="J12" s="709"/>
      <c r="K12" s="710"/>
      <c r="L12" s="185"/>
      <c r="M12" s="185"/>
      <c r="N12" s="185"/>
      <c r="O12" s="386">
        <f>ROUND(P12/12,2)</f>
        <v>920</v>
      </c>
      <c r="P12" s="180">
        <f>Basisbedragen!$D$17</f>
        <v>11040</v>
      </c>
      <c r="Q12" s="142"/>
      <c r="R12" s="359"/>
    </row>
    <row r="13" spans="2:18" ht="15" thickBot="1">
      <c r="B13" s="167"/>
      <c r="C13" s="168"/>
      <c r="D13" s="169"/>
      <c r="E13" s="711" t="s">
        <v>116</v>
      </c>
      <c r="F13" s="712"/>
      <c r="G13" s="712"/>
      <c r="H13" s="712"/>
      <c r="I13" s="712"/>
      <c r="J13" s="712"/>
      <c r="K13" s="713"/>
      <c r="L13" s="186"/>
      <c r="M13" s="186"/>
      <c r="N13" s="186"/>
      <c r="O13" s="181">
        <f>2*O12</f>
        <v>1840</v>
      </c>
      <c r="P13" s="361"/>
      <c r="Q13" s="142"/>
      <c r="R13" s="359"/>
    </row>
    <row r="14" spans="2:18" ht="15" thickBot="1">
      <c r="B14" s="162"/>
      <c r="C14" s="162"/>
      <c r="D14" s="162"/>
      <c r="E14" s="118"/>
      <c r="F14" s="118"/>
      <c r="G14" s="118"/>
      <c r="H14" s="118"/>
      <c r="I14" s="118"/>
      <c r="J14" s="118"/>
      <c r="K14" s="118"/>
      <c r="L14" s="118"/>
      <c r="M14" s="118"/>
      <c r="N14" s="177"/>
      <c r="O14" s="177"/>
      <c r="P14" s="177"/>
      <c r="Q14" s="142"/>
    </row>
    <row r="15" spans="2:18" ht="15" thickBot="1">
      <c r="B15" s="671" t="s">
        <v>114</v>
      </c>
      <c r="C15" s="672"/>
      <c r="D15" s="673"/>
      <c r="E15" s="627" t="s">
        <v>115</v>
      </c>
      <c r="F15" s="628"/>
      <c r="G15" s="628"/>
      <c r="H15" s="628"/>
      <c r="I15" s="628"/>
      <c r="J15" s="628"/>
      <c r="K15" s="629"/>
      <c r="L15" s="187"/>
      <c r="M15" s="187"/>
      <c r="N15" s="178">
        <f>ROUND(Basisbedragen!$D$18*Basisbedragen!$I$5,2)</f>
        <v>44.02</v>
      </c>
      <c r="O15" s="187"/>
      <c r="P15" s="178">
        <f>ROUND(Basisbedragen!$D$19*Basisbedragen!$I$5,2)</f>
        <v>1760.83</v>
      </c>
      <c r="Q15" s="142"/>
    </row>
    <row r="16" spans="2:18" ht="15" thickBot="1">
      <c r="B16" s="162"/>
      <c r="C16" s="162"/>
      <c r="D16" s="162"/>
      <c r="E16" s="118"/>
      <c r="F16" s="118"/>
      <c r="G16" s="118"/>
      <c r="H16" s="118"/>
      <c r="I16" s="118"/>
      <c r="J16" s="118"/>
      <c r="K16" s="118"/>
      <c r="L16" s="118"/>
      <c r="M16" s="118"/>
      <c r="N16" s="177"/>
      <c r="O16" s="177"/>
      <c r="P16" s="177"/>
      <c r="Q16" s="142"/>
    </row>
    <row r="17" spans="2:27" ht="15" thickBot="1">
      <c r="B17" s="671" t="s">
        <v>328</v>
      </c>
      <c r="C17" s="672"/>
      <c r="D17" s="673"/>
      <c r="E17" s="627" t="s">
        <v>329</v>
      </c>
      <c r="F17" s="628"/>
      <c r="G17" s="628"/>
      <c r="H17" s="628"/>
      <c r="I17" s="628"/>
      <c r="J17" s="628"/>
      <c r="K17" s="629"/>
      <c r="L17" s="187"/>
      <c r="M17" s="187"/>
      <c r="N17" s="187"/>
      <c r="O17" s="187"/>
      <c r="P17" s="178">
        <f>ROUND(Basisbedragen!$D$20*$P$1,2)</f>
        <v>2219.54</v>
      </c>
      <c r="Q17" s="142"/>
    </row>
    <row r="18" spans="2:27" ht="15" thickBot="1">
      <c r="B18" s="162"/>
      <c r="C18" s="162"/>
      <c r="D18" s="162"/>
      <c r="E18" s="118"/>
      <c r="F18" s="118"/>
      <c r="G18" s="118"/>
      <c r="H18" s="118"/>
      <c r="I18" s="118"/>
      <c r="J18" s="118"/>
      <c r="K18" s="118"/>
      <c r="L18" s="118"/>
      <c r="M18" s="118"/>
      <c r="N18" s="177"/>
      <c r="O18" s="177"/>
      <c r="P18" s="177"/>
      <c r="Q18" s="142"/>
    </row>
    <row r="19" spans="2:27" ht="15" customHeight="1">
      <c r="B19" s="714" t="s">
        <v>343</v>
      </c>
      <c r="C19" s="714"/>
      <c r="D19" s="714"/>
      <c r="E19" s="723" t="s">
        <v>190</v>
      </c>
      <c r="F19" s="723"/>
      <c r="G19" s="723"/>
      <c r="H19" s="723"/>
      <c r="I19" s="723"/>
      <c r="J19" s="723"/>
      <c r="K19" s="723"/>
      <c r="L19" s="644"/>
      <c r="M19" s="644"/>
      <c r="N19" s="652">
        <f>ROUND($O$6*3/52,2)</f>
        <v>128.86000000000001</v>
      </c>
      <c r="O19" s="644"/>
      <c r="P19" s="644"/>
      <c r="Q19" s="142"/>
    </row>
    <row r="20" spans="2:27" ht="15" thickBot="1">
      <c r="B20" s="715"/>
      <c r="C20" s="715"/>
      <c r="D20" s="715"/>
      <c r="E20" s="724"/>
      <c r="F20" s="724"/>
      <c r="G20" s="724"/>
      <c r="H20" s="724"/>
      <c r="I20" s="724"/>
      <c r="J20" s="724"/>
      <c r="K20" s="724"/>
      <c r="L20" s="645"/>
      <c r="M20" s="645"/>
      <c r="N20" s="653"/>
      <c r="O20" s="645"/>
      <c r="P20" s="645"/>
      <c r="Q20" s="142"/>
    </row>
    <row r="21" spans="2:27" ht="15" thickBot="1">
      <c r="B21" s="162"/>
      <c r="C21" s="162"/>
      <c r="D21" s="162"/>
      <c r="E21" s="118"/>
      <c r="F21" s="118"/>
      <c r="G21" s="118"/>
      <c r="H21" s="118"/>
      <c r="I21" s="118"/>
      <c r="J21" s="118"/>
      <c r="K21" s="118"/>
      <c r="L21" s="118"/>
      <c r="M21" s="118"/>
      <c r="N21" s="177"/>
      <c r="O21" s="177"/>
      <c r="P21" s="177"/>
      <c r="Q21" s="142"/>
    </row>
    <row r="22" spans="2:27" ht="15" thickBot="1">
      <c r="B22" s="671" t="s">
        <v>174</v>
      </c>
      <c r="C22" s="672"/>
      <c r="D22" s="673"/>
      <c r="E22" s="627" t="s">
        <v>116</v>
      </c>
      <c r="F22" s="628"/>
      <c r="G22" s="628"/>
      <c r="H22" s="628"/>
      <c r="I22" s="628"/>
      <c r="J22" s="628"/>
      <c r="K22" s="629"/>
      <c r="L22" s="187"/>
      <c r="M22" s="187"/>
      <c r="N22" s="187"/>
      <c r="O22" s="178">
        <f>$O$6</f>
        <v>2233.61</v>
      </c>
      <c r="P22" s="187"/>
      <c r="Q22" s="142"/>
    </row>
    <row r="23" spans="2:27" ht="15" thickBot="1">
      <c r="B23" s="304"/>
      <c r="C23" s="304"/>
      <c r="D23" s="304"/>
      <c r="E23" s="419"/>
      <c r="F23" s="419"/>
      <c r="G23" s="419"/>
      <c r="H23" s="419"/>
      <c r="I23" s="419"/>
      <c r="J23" s="419"/>
      <c r="K23" s="419"/>
      <c r="Q23" s="142"/>
    </row>
    <row r="24" spans="2:27" ht="15" thickBot="1">
      <c r="B24" s="689" t="s">
        <v>86</v>
      </c>
      <c r="C24" s="690"/>
      <c r="D24" s="690"/>
      <c r="E24" s="627" t="s">
        <v>139</v>
      </c>
      <c r="F24" s="628"/>
      <c r="G24" s="628"/>
      <c r="H24" s="628"/>
      <c r="I24" s="628"/>
      <c r="J24" s="628"/>
      <c r="K24" s="628"/>
      <c r="L24" s="628"/>
      <c r="M24" s="628"/>
      <c r="N24" s="633"/>
      <c r="O24" s="633"/>
      <c r="P24" s="634"/>
      <c r="Q24" s="142"/>
      <c r="Y24" s="150"/>
      <c r="Z24" s="150"/>
      <c r="AA24" s="150"/>
    </row>
    <row r="25" spans="2:27">
      <c r="B25" s="695" t="s">
        <v>117</v>
      </c>
      <c r="C25" s="696"/>
      <c r="D25" s="696"/>
      <c r="E25" s="646" t="s">
        <v>100</v>
      </c>
      <c r="F25" s="647"/>
      <c r="G25" s="647"/>
      <c r="H25" s="647"/>
      <c r="I25" s="647"/>
      <c r="J25" s="647"/>
      <c r="K25" s="648"/>
      <c r="L25" s="185"/>
      <c r="M25" s="185"/>
      <c r="N25" s="185"/>
      <c r="O25" s="180">
        <f>ROUND(Basisbedragen!$D$21*$P$1,2)</f>
        <v>1030.8900000000001</v>
      </c>
      <c r="P25" s="185"/>
      <c r="Q25" s="142"/>
      <c r="Y25" s="150"/>
      <c r="Z25" s="150"/>
      <c r="AA25" s="150"/>
    </row>
    <row r="26" spans="2:27">
      <c r="B26" s="695" t="s">
        <v>173</v>
      </c>
      <c r="C26" s="696"/>
      <c r="D26" s="696"/>
      <c r="E26" s="649" t="s">
        <v>94</v>
      </c>
      <c r="F26" s="650"/>
      <c r="G26" s="650"/>
      <c r="H26" s="650"/>
      <c r="I26" s="650"/>
      <c r="J26" s="650"/>
      <c r="K26" s="651"/>
      <c r="L26" s="188"/>
      <c r="M26" s="188"/>
      <c r="N26" s="188"/>
      <c r="O26" s="182">
        <f>ROUND(Basisbedragen!$D$22*$P$1,2)</f>
        <v>552.05999999999995</v>
      </c>
      <c r="P26" s="188"/>
      <c r="Q26" s="142"/>
      <c r="R26" s="149"/>
      <c r="S26" s="151"/>
      <c r="T26" s="654"/>
      <c r="U26" s="655"/>
      <c r="V26" s="655"/>
      <c r="W26" s="655"/>
      <c r="X26" s="655"/>
      <c r="Y26" s="133"/>
      <c r="Z26" s="148"/>
      <c r="AA26" s="148"/>
    </row>
    <row r="27" spans="2:27">
      <c r="B27" s="695" t="s">
        <v>118</v>
      </c>
      <c r="C27" s="696"/>
      <c r="D27" s="696"/>
      <c r="E27" s="649" t="s">
        <v>95</v>
      </c>
      <c r="F27" s="650"/>
      <c r="G27" s="650"/>
      <c r="H27" s="650"/>
      <c r="I27" s="650"/>
      <c r="J27" s="650"/>
      <c r="K27" s="651"/>
      <c r="L27" s="188"/>
      <c r="M27" s="188"/>
      <c r="N27" s="188"/>
      <c r="O27" s="182">
        <f>ROUND(Basisbedragen!$D$23*$P$1,2)</f>
        <v>856.76</v>
      </c>
      <c r="P27" s="188"/>
      <c r="Q27" s="142"/>
      <c r="R27" s="149"/>
      <c r="S27" s="151"/>
      <c r="T27" s="654"/>
      <c r="U27" s="655"/>
      <c r="V27" s="655"/>
      <c r="W27" s="655"/>
      <c r="X27" s="655"/>
      <c r="Y27" s="148"/>
      <c r="Z27" s="152"/>
      <c r="AA27" s="148"/>
    </row>
    <row r="28" spans="2:27">
      <c r="B28" s="695" t="s">
        <v>119</v>
      </c>
      <c r="C28" s="696"/>
      <c r="D28" s="696"/>
      <c r="E28" s="649" t="s">
        <v>129</v>
      </c>
      <c r="F28" s="650"/>
      <c r="G28" s="650"/>
      <c r="H28" s="650"/>
      <c r="I28" s="650"/>
      <c r="J28" s="650"/>
      <c r="K28" s="651"/>
      <c r="L28" s="188"/>
      <c r="M28" s="188"/>
      <c r="N28" s="188"/>
      <c r="O28" s="182">
        <f>ROUND(Basisbedragen!$D$24*$P$1,2)</f>
        <v>744.38</v>
      </c>
      <c r="P28" s="188"/>
      <c r="Q28" s="142"/>
    </row>
    <row r="29" spans="2:27">
      <c r="B29" s="695" t="s">
        <v>120</v>
      </c>
      <c r="C29" s="696"/>
      <c r="D29" s="696"/>
      <c r="E29" s="649" t="s">
        <v>96</v>
      </c>
      <c r="F29" s="650"/>
      <c r="G29" s="650"/>
      <c r="H29" s="650"/>
      <c r="I29" s="650"/>
      <c r="J29" s="650"/>
      <c r="K29" s="651"/>
      <c r="L29" s="188"/>
      <c r="M29" s="188"/>
      <c r="N29" s="188"/>
      <c r="O29" s="182">
        <f>'W '!$P$21*26</f>
        <v>659.88</v>
      </c>
      <c r="P29" s="188"/>
      <c r="Q29" s="142"/>
      <c r="R29" s="149"/>
      <c r="S29" s="145"/>
      <c r="T29" s="654"/>
      <c r="U29" s="655"/>
      <c r="V29" s="655"/>
      <c r="W29" s="655"/>
      <c r="X29" s="655"/>
      <c r="Y29" s="148"/>
      <c r="Z29" s="148"/>
      <c r="AA29" s="147"/>
    </row>
    <row r="30" spans="2:27">
      <c r="B30" s="695" t="s">
        <v>121</v>
      </c>
      <c r="C30" s="696"/>
      <c r="D30" s="696"/>
      <c r="E30" s="649" t="s">
        <v>97</v>
      </c>
      <c r="F30" s="650"/>
      <c r="G30" s="650"/>
      <c r="H30" s="650"/>
      <c r="I30" s="650"/>
      <c r="J30" s="650"/>
      <c r="K30" s="651"/>
      <c r="L30" s="188"/>
      <c r="M30" s="188"/>
      <c r="N30" s="188"/>
      <c r="O30" s="182">
        <f>ROUND(Basisbedragen!$D$25*$P$1,2)</f>
        <v>2885.99</v>
      </c>
      <c r="P30" s="188"/>
      <c r="Q30" s="142"/>
      <c r="R30" s="153"/>
      <c r="S30" s="154"/>
      <c r="T30" s="154"/>
      <c r="U30" s="154"/>
      <c r="V30" s="154"/>
      <c r="W30" s="154"/>
      <c r="X30" s="154"/>
      <c r="Y30" s="155"/>
    </row>
    <row r="31" spans="2:27">
      <c r="B31" s="695" t="s">
        <v>122</v>
      </c>
      <c r="C31" s="696"/>
      <c r="D31" s="696"/>
      <c r="E31" s="649" t="s">
        <v>98</v>
      </c>
      <c r="F31" s="650"/>
      <c r="G31" s="650"/>
      <c r="H31" s="650"/>
      <c r="I31" s="650"/>
      <c r="J31" s="650"/>
      <c r="K31" s="651"/>
      <c r="L31" s="188"/>
      <c r="M31" s="188"/>
      <c r="N31" s="188"/>
      <c r="O31" s="182">
        <f>ROUND(Basisbedragen!$D$26*$P$1,2)</f>
        <v>1779.27</v>
      </c>
      <c r="P31" s="188"/>
      <c r="Q31" s="142"/>
      <c r="R31" s="153"/>
      <c r="S31" s="153"/>
      <c r="T31" s="153"/>
      <c r="U31" s="153"/>
      <c r="V31" s="153"/>
      <c r="W31" s="153"/>
      <c r="X31" s="153"/>
      <c r="Z31" s="156"/>
      <c r="AA31" s="156"/>
    </row>
    <row r="32" spans="2:27" ht="15" thickBot="1">
      <c r="B32" s="692" t="s">
        <v>122</v>
      </c>
      <c r="C32" s="693"/>
      <c r="D32" s="693"/>
      <c r="E32" s="684" t="s">
        <v>99</v>
      </c>
      <c r="F32" s="685"/>
      <c r="G32" s="685"/>
      <c r="H32" s="685"/>
      <c r="I32" s="685"/>
      <c r="J32" s="685"/>
      <c r="K32" s="686"/>
      <c r="L32" s="186"/>
      <c r="M32" s="186"/>
      <c r="N32" s="186"/>
      <c r="O32" s="181">
        <f>$O$30</f>
        <v>2885.99</v>
      </c>
      <c r="P32" s="186"/>
      <c r="Q32" s="142"/>
      <c r="R32" s="157"/>
      <c r="S32" s="157"/>
      <c r="T32" s="158"/>
      <c r="U32" s="158"/>
      <c r="V32" s="158"/>
      <c r="W32" s="158"/>
      <c r="X32" s="158"/>
      <c r="Y32" s="148"/>
      <c r="Z32" s="147"/>
      <c r="AA32" s="147"/>
    </row>
    <row r="33" spans="2:27" ht="15" thickBot="1">
      <c r="B33" s="162"/>
      <c r="C33" s="162"/>
      <c r="D33" s="162"/>
      <c r="E33" s="118"/>
      <c r="F33" s="118"/>
      <c r="G33" s="118"/>
      <c r="H33" s="118"/>
      <c r="I33" s="118"/>
      <c r="J33" s="118"/>
      <c r="K33" s="118"/>
      <c r="L33" s="118"/>
      <c r="M33" s="118"/>
      <c r="N33" s="177"/>
      <c r="O33" s="177"/>
      <c r="P33" s="177"/>
      <c r="Q33" s="142"/>
      <c r="R33" s="157"/>
      <c r="S33" s="157"/>
      <c r="T33" s="157"/>
      <c r="U33" s="157"/>
      <c r="V33" s="157"/>
      <c r="W33" s="157"/>
      <c r="X33" s="157"/>
      <c r="Y33" s="148"/>
      <c r="Z33" s="147"/>
      <c r="AA33" s="152"/>
    </row>
    <row r="34" spans="2:27">
      <c r="B34" s="689" t="s">
        <v>123</v>
      </c>
      <c r="C34" s="690"/>
      <c r="D34" s="691"/>
      <c r="E34" s="676" t="s">
        <v>400</v>
      </c>
      <c r="F34" s="677"/>
      <c r="G34" s="677"/>
      <c r="H34" s="677"/>
      <c r="I34" s="677"/>
      <c r="J34" s="677"/>
      <c r="K34" s="678"/>
      <c r="L34" s="185"/>
      <c r="M34" s="185"/>
      <c r="N34" s="183">
        <f>ROUND(Basisbedragen!$D$27*$P$1,4)</f>
        <v>167.36539999999999</v>
      </c>
      <c r="O34" s="180">
        <f t="shared" ref="O34:O39" si="0">ROUND(N34*26,2)</f>
        <v>4351.5</v>
      </c>
      <c r="P34" s="185"/>
      <c r="Q34" s="142"/>
      <c r="T34" s="157"/>
      <c r="U34" s="157"/>
      <c r="V34" s="157"/>
      <c r="W34" s="157"/>
      <c r="X34" s="157"/>
      <c r="Y34" s="148"/>
      <c r="Z34" s="147"/>
      <c r="AA34" s="152"/>
    </row>
    <row r="35" spans="2:27">
      <c r="B35" s="170"/>
      <c r="C35" s="174"/>
      <c r="D35" s="166"/>
      <c r="E35" s="665" t="s">
        <v>452</v>
      </c>
      <c r="F35" s="666"/>
      <c r="G35" s="666"/>
      <c r="H35" s="666"/>
      <c r="I35" s="666"/>
      <c r="J35" s="666"/>
      <c r="K35" s="667"/>
      <c r="L35" s="188"/>
      <c r="M35" s="188"/>
      <c r="N35" s="184">
        <f>ROUND(Basisbedragen!$D$28*$P$1,4)</f>
        <v>157.3612</v>
      </c>
      <c r="O35" s="182">
        <f t="shared" si="0"/>
        <v>4091.39</v>
      </c>
      <c r="P35" s="188"/>
      <c r="Q35" s="142"/>
      <c r="R35" s="157"/>
      <c r="T35" s="157"/>
      <c r="U35" s="157"/>
      <c r="V35" s="157"/>
      <c r="W35" s="157"/>
      <c r="X35" s="157"/>
      <c r="Y35" s="148"/>
      <c r="Z35" s="147"/>
      <c r="AA35" s="147"/>
    </row>
    <row r="36" spans="2:27">
      <c r="B36" s="165"/>
      <c r="C36" s="174"/>
      <c r="D36" s="166"/>
      <c r="E36" s="665" t="s">
        <v>92</v>
      </c>
      <c r="F36" s="666"/>
      <c r="G36" s="666"/>
      <c r="H36" s="666"/>
      <c r="I36" s="666"/>
      <c r="J36" s="666"/>
      <c r="K36" s="667"/>
      <c r="L36" s="188"/>
      <c r="M36" s="188"/>
      <c r="N36" s="184">
        <f>ROUND(Basisbedragen!$D$29*$P$1,4)</f>
        <v>128.0154</v>
      </c>
      <c r="O36" s="182">
        <f t="shared" si="0"/>
        <v>3328.4</v>
      </c>
      <c r="P36" s="188"/>
      <c r="Q36" s="142"/>
      <c r="R36" s="157"/>
      <c r="T36" s="73"/>
      <c r="U36" s="73"/>
      <c r="V36" s="73"/>
      <c r="W36" s="73"/>
      <c r="X36" s="73"/>
      <c r="Y36" s="725"/>
      <c r="Z36" s="726"/>
      <c r="AA36" s="159"/>
    </row>
    <row r="37" spans="2:27">
      <c r="B37" s="165"/>
      <c r="C37" s="174"/>
      <c r="D37" s="166"/>
      <c r="E37" s="630" t="s">
        <v>93</v>
      </c>
      <c r="F37" s="631"/>
      <c r="G37" s="631"/>
      <c r="H37" s="631"/>
      <c r="I37" s="631"/>
      <c r="J37" s="631"/>
      <c r="K37" s="632"/>
      <c r="L37" s="415"/>
      <c r="M37" s="415"/>
      <c r="N37" s="416">
        <f>ROUND(Basisbedragen!$D$30*$P$1,4)</f>
        <v>137.35300000000001</v>
      </c>
      <c r="O37" s="417">
        <f t="shared" si="0"/>
        <v>3571.18</v>
      </c>
      <c r="P37" s="415"/>
      <c r="R37" s="73"/>
    </row>
    <row r="38" spans="2:27">
      <c r="B38" s="165"/>
      <c r="C38" s="174"/>
      <c r="D38" s="166"/>
      <c r="E38" s="668" t="s">
        <v>91</v>
      </c>
      <c r="F38" s="669"/>
      <c r="G38" s="669"/>
      <c r="H38" s="669"/>
      <c r="I38" s="669"/>
      <c r="J38" s="669"/>
      <c r="K38" s="670"/>
      <c r="L38" s="412"/>
      <c r="M38" s="412"/>
      <c r="N38" s="413">
        <f>ROUND(Basisbedragen!$D$31*$P$1,4)</f>
        <v>118.1507</v>
      </c>
      <c r="O38" s="414">
        <f t="shared" si="0"/>
        <v>3071.92</v>
      </c>
      <c r="P38" s="412"/>
    </row>
    <row r="39" spans="2:27" ht="15" thickBot="1">
      <c r="B39" s="167"/>
      <c r="C39" s="175"/>
      <c r="D39" s="169"/>
      <c r="E39" s="662" t="s">
        <v>161</v>
      </c>
      <c r="F39" s="663"/>
      <c r="G39" s="663"/>
      <c r="H39" s="663"/>
      <c r="I39" s="663"/>
      <c r="J39" s="663"/>
      <c r="K39" s="664"/>
      <c r="L39" s="186"/>
      <c r="M39" s="186"/>
      <c r="N39" s="411">
        <f>ROUND(Basisbedragen!$D$32*$P$1,4)</f>
        <v>115.1469</v>
      </c>
      <c r="O39" s="181">
        <f t="shared" si="0"/>
        <v>2993.82</v>
      </c>
      <c r="P39" s="186"/>
      <c r="Y39" s="160"/>
    </row>
    <row r="40" spans="2:27" ht="15" thickBot="1">
      <c r="B40" s="162"/>
      <c r="C40" s="174"/>
      <c r="D40" s="162"/>
      <c r="E40" s="419"/>
      <c r="F40" s="419"/>
      <c r="G40" s="419"/>
      <c r="H40" s="419"/>
      <c r="I40" s="419"/>
      <c r="J40" s="419"/>
      <c r="K40" s="419"/>
      <c r="Y40" s="160"/>
    </row>
    <row r="41" spans="2:27" ht="15" customHeight="1" thickBot="1">
      <c r="B41" s="716" t="s">
        <v>444</v>
      </c>
      <c r="C41" s="657"/>
      <c r="D41" s="658"/>
      <c r="E41" s="627" t="s">
        <v>439</v>
      </c>
      <c r="F41" s="628"/>
      <c r="G41" s="628"/>
      <c r="H41" s="628"/>
      <c r="I41" s="628"/>
      <c r="J41" s="628"/>
      <c r="K41" s="628"/>
      <c r="L41" s="628"/>
      <c r="M41" s="628"/>
      <c r="N41" s="633"/>
      <c r="O41" s="633"/>
      <c r="P41" s="634"/>
      <c r="Q41" s="142"/>
      <c r="R41" s="427"/>
      <c r="W41" s="73"/>
      <c r="X41" s="73"/>
      <c r="Y41" s="147"/>
      <c r="Z41" s="147"/>
      <c r="AA41" s="148"/>
    </row>
    <row r="42" spans="2:27" ht="15" thickBot="1">
      <c r="B42" s="717"/>
      <c r="C42" s="718"/>
      <c r="D42" s="719"/>
      <c r="E42" s="684" t="s">
        <v>389</v>
      </c>
      <c r="F42" s="685"/>
      <c r="G42" s="685"/>
      <c r="H42" s="685"/>
      <c r="I42" s="685"/>
      <c r="J42" s="685"/>
      <c r="K42" s="686"/>
      <c r="L42" s="186"/>
      <c r="M42" s="267">
        <f>ROUND(N42/2,2)</f>
        <v>14.93</v>
      </c>
      <c r="N42" s="267">
        <f>ROUND(Basisbedragen!$D$33*$P$1,2)</f>
        <v>29.85</v>
      </c>
      <c r="O42" s="181">
        <f>N42*26</f>
        <v>776.1</v>
      </c>
      <c r="P42" s="186"/>
      <c r="Q42" s="142"/>
      <c r="R42" s="427"/>
      <c r="W42" s="73"/>
      <c r="X42" s="73"/>
      <c r="Y42" s="147"/>
      <c r="Z42" s="147"/>
      <c r="AA42" s="148"/>
    </row>
    <row r="43" spans="2:27" ht="15" thickBot="1">
      <c r="B43" s="162"/>
      <c r="C43" s="174"/>
      <c r="D43" s="162"/>
      <c r="E43" s="419"/>
      <c r="F43" s="419"/>
      <c r="G43" s="419"/>
      <c r="H43" s="419"/>
      <c r="I43" s="419"/>
      <c r="J43" s="419"/>
      <c r="K43" s="419"/>
      <c r="Y43" s="160"/>
    </row>
    <row r="44" spans="2:27" ht="15" thickBot="1">
      <c r="B44" s="689" t="s">
        <v>423</v>
      </c>
      <c r="C44" s="690"/>
      <c r="D44" s="691"/>
      <c r="E44" s="627" t="s">
        <v>422</v>
      </c>
      <c r="F44" s="628"/>
      <c r="G44" s="628"/>
      <c r="H44" s="628"/>
      <c r="I44" s="628"/>
      <c r="J44" s="628"/>
      <c r="K44" s="628"/>
      <c r="L44" s="628"/>
      <c r="M44" s="628"/>
      <c r="N44" s="633"/>
      <c r="O44" s="633"/>
      <c r="P44" s="634"/>
    </row>
    <row r="45" spans="2:27">
      <c r="B45" s="173"/>
      <c r="C45" s="162"/>
      <c r="D45" s="166"/>
      <c r="E45" s="708" t="s">
        <v>110</v>
      </c>
      <c r="F45" s="709"/>
      <c r="G45" s="709"/>
      <c r="H45" s="709"/>
      <c r="I45" s="709"/>
      <c r="J45" s="709"/>
      <c r="K45" s="710"/>
      <c r="L45" s="185"/>
      <c r="M45" s="185"/>
      <c r="N45" s="180">
        <f>ROUND(Basisbedragen!D35*$P$1,2)</f>
        <v>70.989999999999995</v>
      </c>
      <c r="O45" s="185"/>
      <c r="P45" s="185"/>
    </row>
    <row r="46" spans="2:27">
      <c r="B46" s="173"/>
      <c r="C46" s="162"/>
      <c r="D46" s="166"/>
      <c r="E46" s="727" t="s">
        <v>109</v>
      </c>
      <c r="F46" s="728"/>
      <c r="G46" s="728"/>
      <c r="H46" s="728"/>
      <c r="I46" s="728"/>
      <c r="J46" s="728"/>
      <c r="K46" s="729"/>
      <c r="L46" s="188"/>
      <c r="M46" s="188"/>
      <c r="N46" s="182">
        <f>ROUND(Basisbedragen!D37*$P$1,2)</f>
        <v>57.53</v>
      </c>
      <c r="O46" s="188"/>
      <c r="P46" s="188"/>
    </row>
    <row r="47" spans="2:27" ht="15" thickBot="1">
      <c r="B47" s="172"/>
      <c r="C47" s="168"/>
      <c r="D47" s="169"/>
      <c r="E47" s="711" t="s">
        <v>111</v>
      </c>
      <c r="F47" s="712"/>
      <c r="G47" s="712"/>
      <c r="H47" s="712"/>
      <c r="I47" s="712"/>
      <c r="J47" s="712"/>
      <c r="K47" s="713"/>
      <c r="L47" s="186"/>
      <c r="M47" s="186"/>
      <c r="N47" s="181">
        <f>ROUND(Basisbedragen!D42*$P$1,2)</f>
        <v>29.85</v>
      </c>
      <c r="O47" s="186"/>
      <c r="P47" s="186"/>
    </row>
    <row r="48" spans="2:27" ht="15" thickBot="1">
      <c r="B48" s="174"/>
      <c r="C48" s="162"/>
      <c r="D48" s="162"/>
      <c r="E48" s="163"/>
      <c r="F48" s="163"/>
      <c r="G48" s="163"/>
      <c r="H48" s="163"/>
      <c r="I48" s="163"/>
      <c r="J48" s="163"/>
      <c r="K48" s="163"/>
    </row>
    <row r="49" spans="2:27" ht="15" thickBot="1">
      <c r="B49" s="624" t="s">
        <v>425</v>
      </c>
      <c r="C49" s="625"/>
      <c r="D49" s="626"/>
      <c r="E49" s="627" t="s">
        <v>424</v>
      </c>
      <c r="F49" s="628"/>
      <c r="G49" s="628"/>
      <c r="H49" s="628"/>
      <c r="I49" s="628"/>
      <c r="J49" s="628"/>
      <c r="K49" s="629"/>
      <c r="L49" s="187"/>
      <c r="M49" s="187"/>
      <c r="N49" s="235">
        <f>ROUND(Basisbedragen!$D$41*$P$1,2)</f>
        <v>42.37</v>
      </c>
      <c r="O49" s="187"/>
      <c r="P49" s="187"/>
    </row>
    <row r="50" spans="2:27" ht="15" thickBot="1">
      <c r="B50" s="162"/>
      <c r="C50" s="174"/>
      <c r="D50" s="162"/>
      <c r="E50" s="419"/>
      <c r="F50" s="419"/>
      <c r="G50" s="419"/>
      <c r="H50" s="419"/>
      <c r="I50" s="419"/>
      <c r="J50" s="419"/>
      <c r="K50" s="419"/>
      <c r="Y50" s="160"/>
    </row>
    <row r="51" spans="2:27" ht="15" thickBot="1">
      <c r="B51" s="671" t="s">
        <v>414</v>
      </c>
      <c r="C51" s="674"/>
      <c r="D51" s="675"/>
      <c r="E51" s="679" t="s">
        <v>415</v>
      </c>
      <c r="F51" s="680"/>
      <c r="G51" s="680"/>
      <c r="H51" s="680"/>
      <c r="I51" s="680"/>
      <c r="J51" s="680"/>
      <c r="K51" s="681"/>
      <c r="L51" s="187"/>
      <c r="M51" s="187"/>
      <c r="N51" s="250">
        <f>ROUND(Basisbedragen!$D$43*$P$1,2)</f>
        <v>5.65</v>
      </c>
      <c r="O51" s="187"/>
      <c r="P51" s="187"/>
      <c r="Y51" s="160"/>
    </row>
    <row r="52" spans="2:27" ht="15" thickBot="1">
      <c r="B52" s="304"/>
      <c r="C52" s="422"/>
      <c r="D52" s="422"/>
      <c r="E52" s="423"/>
      <c r="F52" s="423"/>
      <c r="G52" s="423"/>
      <c r="H52" s="423"/>
      <c r="I52" s="423"/>
      <c r="J52" s="423"/>
      <c r="K52" s="423"/>
      <c r="Y52" s="160"/>
    </row>
    <row r="53" spans="2:27" ht="15" customHeight="1" thickBot="1">
      <c r="B53" s="698" t="s">
        <v>441</v>
      </c>
      <c r="C53" s="699"/>
      <c r="D53" s="700"/>
      <c r="E53" s="627" t="s">
        <v>440</v>
      </c>
      <c r="F53" s="674"/>
      <c r="G53" s="674"/>
      <c r="H53" s="674"/>
      <c r="I53" s="674"/>
      <c r="J53" s="674"/>
      <c r="K53" s="674"/>
      <c r="L53" s="187"/>
      <c r="M53" s="235">
        <f>ROUND(N53/2,2)</f>
        <v>12.69</v>
      </c>
      <c r="N53" s="235">
        <f>ROUND(Basisbedragen!$D$59*$P$1,2)</f>
        <v>25.38</v>
      </c>
      <c r="O53" s="178">
        <f>N53*26</f>
        <v>659.88</v>
      </c>
      <c r="P53" s="187"/>
      <c r="Q53" s="142"/>
      <c r="R53" s="427"/>
      <c r="W53" s="73"/>
      <c r="X53" s="73"/>
      <c r="Y53" s="147"/>
      <c r="Z53" s="147"/>
      <c r="AA53" s="148"/>
    </row>
    <row r="54" spans="2:27" ht="15" thickBot="1">
      <c r="B54" s="304"/>
      <c r="C54" s="422"/>
      <c r="D54" s="422"/>
      <c r="E54" s="423"/>
      <c r="F54" s="423"/>
      <c r="G54" s="423"/>
      <c r="H54" s="423"/>
      <c r="I54" s="423"/>
      <c r="J54" s="423"/>
      <c r="K54" s="423"/>
      <c r="Y54" s="160"/>
    </row>
    <row r="55" spans="2:27">
      <c r="B55" s="689" t="s">
        <v>124</v>
      </c>
      <c r="C55" s="690"/>
      <c r="D55" s="691"/>
      <c r="E55" s="635" t="s">
        <v>101</v>
      </c>
      <c r="F55" s="636"/>
      <c r="G55" s="636"/>
      <c r="H55" s="636"/>
      <c r="I55" s="636"/>
      <c r="J55" s="636"/>
      <c r="K55" s="687"/>
      <c r="L55" s="644"/>
      <c r="M55" s="644"/>
      <c r="N55" s="644"/>
      <c r="O55" s="652">
        <f>ROUND(Basisbedragen!$D$60*$P$1,2)</f>
        <v>271.70999999999998</v>
      </c>
      <c r="P55" s="644"/>
    </row>
    <row r="56" spans="2:27" ht="15" thickBot="1">
      <c r="B56" s="692" t="s">
        <v>125</v>
      </c>
      <c r="C56" s="693"/>
      <c r="D56" s="694"/>
      <c r="E56" s="639"/>
      <c r="F56" s="640"/>
      <c r="G56" s="640"/>
      <c r="H56" s="640"/>
      <c r="I56" s="640"/>
      <c r="J56" s="640"/>
      <c r="K56" s="688"/>
      <c r="L56" s="645"/>
      <c r="M56" s="645"/>
      <c r="N56" s="645"/>
      <c r="O56" s="653"/>
      <c r="P56" s="645"/>
    </row>
    <row r="57" spans="2:27" ht="15" thickBot="1">
      <c r="B57" s="162"/>
      <c r="C57" s="162"/>
      <c r="D57" s="162"/>
      <c r="E57" s="118"/>
      <c r="F57" s="118"/>
      <c r="G57" s="118"/>
      <c r="H57" s="118"/>
      <c r="I57" s="118"/>
      <c r="J57" s="118"/>
      <c r="K57" s="118"/>
      <c r="L57" s="118"/>
      <c r="M57" s="118"/>
      <c r="N57" s="177"/>
      <c r="O57" s="177"/>
      <c r="P57" s="177"/>
    </row>
    <row r="58" spans="2:27">
      <c r="B58" s="689" t="s">
        <v>126</v>
      </c>
      <c r="C58" s="690"/>
      <c r="D58" s="691"/>
      <c r="E58" s="635" t="s">
        <v>102</v>
      </c>
      <c r="F58" s="636"/>
      <c r="G58" s="636"/>
      <c r="H58" s="636"/>
      <c r="I58" s="636"/>
      <c r="J58" s="636"/>
      <c r="K58" s="636"/>
      <c r="L58" s="636"/>
      <c r="M58" s="636"/>
      <c r="N58" s="637"/>
      <c r="O58" s="637"/>
      <c r="P58" s="638"/>
    </row>
    <row r="59" spans="2:27" ht="15" thickBot="1">
      <c r="B59" s="695" t="s">
        <v>127</v>
      </c>
      <c r="C59" s="696"/>
      <c r="D59" s="697"/>
      <c r="E59" s="639"/>
      <c r="F59" s="640"/>
      <c r="G59" s="640"/>
      <c r="H59" s="640"/>
      <c r="I59" s="640"/>
      <c r="J59" s="640"/>
      <c r="K59" s="640"/>
      <c r="L59" s="640"/>
      <c r="M59" s="640"/>
      <c r="N59" s="641"/>
      <c r="O59" s="641"/>
      <c r="P59" s="642"/>
    </row>
    <row r="60" spans="2:27">
      <c r="B60" s="173"/>
      <c r="C60" s="162"/>
      <c r="D60" s="166"/>
      <c r="E60" s="646" t="s">
        <v>106</v>
      </c>
      <c r="F60" s="647"/>
      <c r="G60" s="647"/>
      <c r="H60" s="647"/>
      <c r="I60" s="647"/>
      <c r="J60" s="647"/>
      <c r="K60" s="648"/>
      <c r="L60" s="185"/>
      <c r="M60" s="185"/>
      <c r="N60" s="185"/>
      <c r="O60" s="180">
        <f>ROUND(Basisbedragen!$D$61*$P$1,2)</f>
        <v>271.70999999999998</v>
      </c>
      <c r="P60" s="185"/>
    </row>
    <row r="61" spans="2:27">
      <c r="B61" s="173"/>
      <c r="C61" s="162"/>
      <c r="D61" s="166"/>
      <c r="E61" s="649" t="s">
        <v>107</v>
      </c>
      <c r="F61" s="650"/>
      <c r="G61" s="650"/>
      <c r="H61" s="650"/>
      <c r="I61" s="650"/>
      <c r="J61" s="650"/>
      <c r="K61" s="651"/>
      <c r="L61" s="188"/>
      <c r="M61" s="188"/>
      <c r="N61" s="188"/>
      <c r="O61" s="182">
        <f>ROUND(Basisbedragen!$D$62*$P$1,2)</f>
        <v>181.14</v>
      </c>
      <c r="P61" s="188"/>
    </row>
    <row r="62" spans="2:27" ht="15" thickBot="1">
      <c r="B62" s="172"/>
      <c r="C62" s="168"/>
      <c r="D62" s="169"/>
      <c r="E62" s="684" t="s">
        <v>108</v>
      </c>
      <c r="F62" s="685"/>
      <c r="G62" s="685"/>
      <c r="H62" s="685"/>
      <c r="I62" s="685"/>
      <c r="J62" s="685"/>
      <c r="K62" s="686"/>
      <c r="L62" s="186"/>
      <c r="M62" s="186"/>
      <c r="N62" s="186"/>
      <c r="O62" s="181">
        <f>ROUND(Basisbedragen!$D$63*$P$1,2)</f>
        <v>90.57</v>
      </c>
      <c r="P62" s="186"/>
    </row>
    <row r="63" spans="2:27" ht="15" thickBot="1">
      <c r="B63" s="162"/>
      <c r="C63" s="162"/>
      <c r="D63" s="162"/>
      <c r="E63" s="118"/>
      <c r="F63" s="118"/>
      <c r="G63" s="118"/>
      <c r="H63" s="118"/>
      <c r="I63" s="118"/>
      <c r="J63" s="118"/>
      <c r="K63" s="118"/>
      <c r="L63" s="118"/>
      <c r="M63" s="118"/>
      <c r="N63" s="177"/>
      <c r="O63" s="177"/>
      <c r="P63" s="177"/>
    </row>
    <row r="64" spans="2:27" ht="15" thickBot="1">
      <c r="B64" s="624" t="s">
        <v>175</v>
      </c>
      <c r="C64" s="625"/>
      <c r="D64" s="626"/>
      <c r="E64" s="627" t="s">
        <v>130</v>
      </c>
      <c r="F64" s="628"/>
      <c r="G64" s="628"/>
      <c r="H64" s="628"/>
      <c r="I64" s="628"/>
      <c r="J64" s="628"/>
      <c r="K64" s="629"/>
      <c r="L64" s="251"/>
      <c r="M64" s="251"/>
      <c r="N64" s="187"/>
      <c r="O64" s="178">
        <f>ROUND(Basisbedragen!$D$64*$P$1,2)</f>
        <v>181.14</v>
      </c>
      <c r="P64" s="187"/>
    </row>
    <row r="65" spans="2:19" ht="15" thickBot="1">
      <c r="B65" s="162"/>
      <c r="C65" s="162"/>
      <c r="D65" s="162"/>
      <c r="E65" s="118"/>
      <c r="F65" s="118"/>
      <c r="G65" s="118"/>
      <c r="H65" s="118"/>
      <c r="I65" s="118"/>
      <c r="J65" s="118"/>
      <c r="K65" s="118"/>
      <c r="L65" s="118"/>
      <c r="M65" s="118"/>
      <c r="N65" s="177"/>
      <c r="O65" s="177"/>
      <c r="P65" s="179"/>
    </row>
    <row r="66" spans="2:19" ht="15" thickBot="1">
      <c r="B66" s="698" t="s">
        <v>128</v>
      </c>
      <c r="C66" s="699"/>
      <c r="D66" s="700"/>
      <c r="E66" s="643" t="s">
        <v>184</v>
      </c>
      <c r="F66" s="643"/>
      <c r="G66" s="643"/>
      <c r="H66" s="643"/>
      <c r="I66" s="643"/>
      <c r="J66" s="643"/>
      <c r="K66" s="643"/>
      <c r="L66" s="187"/>
      <c r="M66" s="187"/>
      <c r="N66" s="178">
        <f>ROUND(Basisbedragen!$D$65*$P$1,2)</f>
        <v>18.440000000000001</v>
      </c>
      <c r="O66" s="178">
        <f>N66*26</f>
        <v>479.44000000000005</v>
      </c>
      <c r="P66" s="178">
        <f>N66*312</f>
        <v>5753.2800000000007</v>
      </c>
    </row>
    <row r="67" spans="2:19" ht="15" thickBot="1">
      <c r="B67" s="162"/>
      <c r="C67" s="162"/>
      <c r="D67" s="162"/>
      <c r="E67" s="118"/>
      <c r="F67" s="118"/>
      <c r="G67" s="118"/>
      <c r="H67" s="118"/>
      <c r="I67" s="118"/>
      <c r="J67" s="118"/>
      <c r="K67" s="118"/>
      <c r="L67" s="118"/>
      <c r="M67" s="118"/>
      <c r="N67" s="177"/>
      <c r="O67" s="177"/>
      <c r="P67" s="177"/>
    </row>
    <row r="68" spans="2:19" ht="15" thickBot="1">
      <c r="B68" s="689" t="s">
        <v>87</v>
      </c>
      <c r="C68" s="690"/>
      <c r="D68" s="691"/>
      <c r="E68" s="627" t="s">
        <v>140</v>
      </c>
      <c r="F68" s="628"/>
      <c r="G68" s="628"/>
      <c r="H68" s="628"/>
      <c r="I68" s="628"/>
      <c r="J68" s="628"/>
      <c r="K68" s="628"/>
      <c r="L68" s="628"/>
      <c r="M68" s="628"/>
      <c r="N68" s="633"/>
      <c r="O68" s="633"/>
      <c r="P68" s="634"/>
    </row>
    <row r="69" spans="2:19">
      <c r="B69" s="173"/>
      <c r="C69" s="162"/>
      <c r="D69" s="166"/>
      <c r="E69" s="646" t="s">
        <v>110</v>
      </c>
      <c r="F69" s="647"/>
      <c r="G69" s="647"/>
      <c r="H69" s="647"/>
      <c r="I69" s="647"/>
      <c r="J69" s="647"/>
      <c r="K69" s="648"/>
      <c r="L69" s="185"/>
      <c r="M69" s="180">
        <f>ROUND(N69/2,2)</f>
        <v>35.54</v>
      </c>
      <c r="N69" s="180">
        <f>ROUNDUP(AndereUitk_AutresAlloc!$G$21/312,2)</f>
        <v>71.08</v>
      </c>
      <c r="O69" s="185"/>
      <c r="P69" s="185"/>
      <c r="R69" s="359"/>
    </row>
    <row r="70" spans="2:19" ht="15" thickBot="1">
      <c r="B70" s="172"/>
      <c r="C70" s="168"/>
      <c r="D70" s="169"/>
      <c r="E70" s="684" t="s">
        <v>109</v>
      </c>
      <c r="F70" s="685"/>
      <c r="G70" s="685"/>
      <c r="H70" s="685"/>
      <c r="I70" s="685"/>
      <c r="J70" s="685"/>
      <c r="K70" s="686"/>
      <c r="L70" s="186"/>
      <c r="M70" s="181">
        <f>ROUND(N70/2,2)</f>
        <v>26.3</v>
      </c>
      <c r="N70" s="181">
        <f>ROUNDUP(AndereUitk_AutresAlloc!$G$22/312,2)</f>
        <v>52.6</v>
      </c>
      <c r="O70" s="186"/>
      <c r="P70" s="186"/>
      <c r="R70" s="359"/>
    </row>
    <row r="71" spans="2:19" ht="15" thickBot="1">
      <c r="B71" s="174"/>
      <c r="C71" s="162"/>
      <c r="D71" s="162"/>
      <c r="E71" s="271"/>
      <c r="F71" s="271"/>
      <c r="G71" s="271"/>
      <c r="H71" s="271"/>
      <c r="I71" s="271"/>
      <c r="J71" s="271"/>
      <c r="K71" s="271"/>
      <c r="S71" s="160"/>
    </row>
    <row r="72" spans="2:19" ht="15" thickBot="1">
      <c r="B72" s="624" t="s">
        <v>135</v>
      </c>
      <c r="C72" s="625"/>
      <c r="D72" s="626"/>
      <c r="E72" s="627" t="s">
        <v>132</v>
      </c>
      <c r="F72" s="628"/>
      <c r="G72" s="628"/>
      <c r="H72" s="628"/>
      <c r="I72" s="628"/>
      <c r="J72" s="628"/>
      <c r="K72" s="628"/>
      <c r="L72" s="187"/>
      <c r="M72" s="187"/>
      <c r="N72" s="187"/>
      <c r="O72" s="420">
        <f>$O$6</f>
        <v>2233.61</v>
      </c>
      <c r="P72" s="187"/>
    </row>
    <row r="73" spans="2:19" ht="15" customHeight="1" thickBot="1">
      <c r="B73" s="162"/>
      <c r="C73" s="162"/>
      <c r="D73" s="162"/>
      <c r="E73" s="163"/>
      <c r="F73" s="163"/>
      <c r="G73" s="163"/>
      <c r="H73" s="163"/>
      <c r="I73" s="163"/>
      <c r="J73" s="163"/>
      <c r="K73" s="163"/>
      <c r="L73" s="163"/>
      <c r="M73" s="163"/>
      <c r="N73" s="177"/>
      <c r="O73" s="177"/>
      <c r="P73" s="177"/>
    </row>
    <row r="74" spans="2:19" ht="15" thickBot="1">
      <c r="B74" s="624" t="s">
        <v>172</v>
      </c>
      <c r="C74" s="625"/>
      <c r="D74" s="626"/>
      <c r="E74" s="720" t="s">
        <v>133</v>
      </c>
      <c r="F74" s="721"/>
      <c r="G74" s="721"/>
      <c r="H74" s="721"/>
      <c r="I74" s="721"/>
      <c r="J74" s="721"/>
      <c r="K74" s="721"/>
      <c r="L74" s="235">
        <f>ROUND(Basisbedragen!$D$72*$P$1,2)</f>
        <v>4.18</v>
      </c>
      <c r="M74" s="187"/>
      <c r="N74" s="187"/>
      <c r="O74" s="187"/>
      <c r="P74" s="187"/>
    </row>
    <row r="75" spans="2:19" ht="15" thickBot="1">
      <c r="B75" s="162"/>
      <c r="C75" s="162"/>
      <c r="D75" s="162"/>
      <c r="E75" s="163"/>
      <c r="F75" s="163"/>
      <c r="G75" s="163"/>
      <c r="H75" s="163"/>
      <c r="I75" s="163"/>
      <c r="J75" s="163"/>
      <c r="K75" s="163"/>
      <c r="L75" s="163"/>
      <c r="M75" s="163"/>
      <c r="N75" s="177"/>
      <c r="O75" s="177"/>
      <c r="P75" s="177"/>
    </row>
    <row r="76" spans="2:19" ht="15" thickBot="1">
      <c r="B76" s="624" t="s">
        <v>136</v>
      </c>
      <c r="C76" s="625"/>
      <c r="D76" s="626"/>
      <c r="E76" s="720" t="s">
        <v>134</v>
      </c>
      <c r="F76" s="721"/>
      <c r="G76" s="721"/>
      <c r="H76" s="721"/>
      <c r="I76" s="721"/>
      <c r="J76" s="721"/>
      <c r="K76" s="722"/>
      <c r="L76" s="187"/>
      <c r="M76" s="235">
        <f>A_N_B_half_demi!$T$12</f>
        <v>14.93</v>
      </c>
      <c r="N76" s="187"/>
      <c r="O76" s="187"/>
      <c r="P76" s="187"/>
    </row>
    <row r="77" spans="2:19" ht="15" thickBot="1">
      <c r="B77" s="162"/>
      <c r="C77" s="162"/>
      <c r="D77" s="162"/>
      <c r="E77" s="118"/>
      <c r="F77" s="118"/>
      <c r="G77" s="118"/>
      <c r="H77" s="118"/>
      <c r="I77" s="118"/>
      <c r="J77" s="118"/>
      <c r="K77" s="118"/>
      <c r="L77" s="118"/>
      <c r="M77" s="118"/>
      <c r="N77" s="177"/>
      <c r="O77" s="177"/>
      <c r="P77" s="177"/>
    </row>
    <row r="78" spans="2:19" ht="15" thickBot="1">
      <c r="B78" s="624" t="s">
        <v>137</v>
      </c>
      <c r="C78" s="625"/>
      <c r="D78" s="626"/>
      <c r="E78" s="627" t="s">
        <v>112</v>
      </c>
      <c r="F78" s="628"/>
      <c r="G78" s="628"/>
      <c r="H78" s="628"/>
      <c r="I78" s="628"/>
      <c r="J78" s="628"/>
      <c r="K78" s="629"/>
      <c r="L78" s="187"/>
      <c r="M78" s="187"/>
      <c r="N78" s="187"/>
      <c r="O78" s="178">
        <f>ROUND(Basisbedragen!$D$74*$P$1,2)</f>
        <v>111.46</v>
      </c>
      <c r="P78" s="187"/>
    </row>
    <row r="79" spans="2:19" ht="15" thickBot="1">
      <c r="B79" s="162"/>
      <c r="C79" s="162"/>
      <c r="D79" s="162"/>
      <c r="E79" s="118"/>
      <c r="F79" s="118"/>
      <c r="G79" s="118"/>
      <c r="H79" s="118"/>
      <c r="I79" s="118"/>
      <c r="J79" s="118"/>
      <c r="K79" s="118"/>
      <c r="L79" s="118"/>
      <c r="M79" s="118"/>
      <c r="N79" s="177"/>
      <c r="O79" s="177"/>
      <c r="P79" s="179"/>
    </row>
    <row r="80" spans="2:19" ht="15" thickBot="1">
      <c r="B80" s="624" t="s">
        <v>138</v>
      </c>
      <c r="C80" s="625"/>
      <c r="D80" s="626"/>
      <c r="E80" s="627" t="s">
        <v>113</v>
      </c>
      <c r="F80" s="628"/>
      <c r="G80" s="628"/>
      <c r="H80" s="628"/>
      <c r="I80" s="628"/>
      <c r="J80" s="628"/>
      <c r="K80" s="629"/>
      <c r="L80" s="187"/>
      <c r="M80" s="187"/>
      <c r="N80" s="187"/>
      <c r="O80" s="187"/>
      <c r="P80" s="178">
        <f>ROUND(Basisbedragen!$D$75*$P$1,2)</f>
        <v>13961.84</v>
      </c>
    </row>
    <row r="81" spans="2:16" ht="15" thickBot="1"/>
    <row r="82" spans="2:16" ht="15" thickBot="1">
      <c r="B82" s="624" t="s">
        <v>348</v>
      </c>
      <c r="C82" s="625"/>
      <c r="D82" s="626"/>
      <c r="E82" s="627" t="s">
        <v>349</v>
      </c>
      <c r="F82" s="628"/>
      <c r="G82" s="628"/>
      <c r="H82" s="628"/>
      <c r="I82" s="628"/>
      <c r="J82" s="628"/>
      <c r="K82" s="629"/>
      <c r="L82" s="187"/>
      <c r="M82" s="187"/>
      <c r="N82" s="235">
        <f>ROUND($O$6*5/52,2)</f>
        <v>214.77</v>
      </c>
      <c r="O82" s="187"/>
      <c r="P82" s="187"/>
    </row>
    <row r="83" spans="2:16" ht="15" thickBot="1"/>
    <row r="84" spans="2:16" ht="15" thickBot="1">
      <c r="B84" s="682" t="s">
        <v>350</v>
      </c>
      <c r="C84" s="682"/>
      <c r="D84" s="682"/>
      <c r="E84" s="683" t="s">
        <v>342</v>
      </c>
      <c r="F84" s="683"/>
      <c r="G84" s="683"/>
      <c r="H84" s="683"/>
      <c r="I84" s="683"/>
      <c r="J84" s="683"/>
      <c r="K84" s="683"/>
      <c r="L84" s="187"/>
      <c r="M84" s="187"/>
      <c r="N84" s="339">
        <f>ROUND(Basisbedragen!$D$76*$P$1,2)</f>
        <v>36.880000000000003</v>
      </c>
      <c r="O84" s="339">
        <f>N84*26</f>
        <v>958.88000000000011</v>
      </c>
      <c r="P84" s="341">
        <f>N84*312</f>
        <v>11506.560000000001</v>
      </c>
    </row>
    <row r="85" spans="2:16" ht="15" thickBot="1">
      <c r="O85" s="340"/>
    </row>
    <row r="86" spans="2:16" ht="15" thickBot="1">
      <c r="B86" s="671" t="s">
        <v>141</v>
      </c>
      <c r="C86" s="674"/>
      <c r="D86" s="675"/>
      <c r="E86" s="679" t="s">
        <v>142</v>
      </c>
      <c r="F86" s="680"/>
      <c r="G86" s="680"/>
      <c r="H86" s="680"/>
      <c r="I86" s="680"/>
      <c r="J86" s="680"/>
      <c r="K86" s="681"/>
      <c r="L86" s="187"/>
      <c r="M86" s="187"/>
      <c r="N86" s="250">
        <f>ROUND(Basisbedragen!$D$80*$P$1,2)</f>
        <v>20.47</v>
      </c>
      <c r="O86" s="187"/>
      <c r="P86" s="187"/>
    </row>
  </sheetData>
  <sheetProtection algorithmName="SHA-512" hashValue="Mr+oEJf2YUl/F/wgrz2uJAtp4Mz8zshhdaQm7cGV+TZTYiFy4I57vYu/9VspQQJKz+ss/lNJqyevNAdRa55YMg==" saltValue="3UXad1XYKVpHb02aMCp5bQ==" spinCount="100000" sheet="1" objects="1" scenarios="1"/>
  <mergeCells count="114">
    <mergeCell ref="Y36:Z36"/>
    <mergeCell ref="E72:K72"/>
    <mergeCell ref="E74:K74"/>
    <mergeCell ref="B44:D44"/>
    <mergeCell ref="E44:P44"/>
    <mergeCell ref="E45:K45"/>
    <mergeCell ref="E46:K46"/>
    <mergeCell ref="E47:K47"/>
    <mergeCell ref="B51:D51"/>
    <mergeCell ref="E51:K51"/>
    <mergeCell ref="B74:D74"/>
    <mergeCell ref="B49:D49"/>
    <mergeCell ref="E49:K49"/>
    <mergeCell ref="B53:D53"/>
    <mergeCell ref="E53:K53"/>
    <mergeCell ref="M8:M9"/>
    <mergeCell ref="N8:N9"/>
    <mergeCell ref="O8:O9"/>
    <mergeCell ref="P8:P9"/>
    <mergeCell ref="B78:D78"/>
    <mergeCell ref="E76:K76"/>
    <mergeCell ref="E78:K78"/>
    <mergeCell ref="E64:K64"/>
    <mergeCell ref="E69:K69"/>
    <mergeCell ref="E70:K70"/>
    <mergeCell ref="B76:D76"/>
    <mergeCell ref="B34:D34"/>
    <mergeCell ref="B15:D15"/>
    <mergeCell ref="E19:K20"/>
    <mergeCell ref="L19:L20"/>
    <mergeCell ref="B30:D30"/>
    <mergeCell ref="B31:D31"/>
    <mergeCell ref="E31:K31"/>
    <mergeCell ref="B27:D27"/>
    <mergeCell ref="B24:D24"/>
    <mergeCell ref="E24:P24"/>
    <mergeCell ref="E22:K22"/>
    <mergeCell ref="B22:D22"/>
    <mergeCell ref="E29:K29"/>
    <mergeCell ref="B25:D25"/>
    <mergeCell ref="B32:D32"/>
    <mergeCell ref="B41:D42"/>
    <mergeCell ref="B26:D26"/>
    <mergeCell ref="B28:D28"/>
    <mergeCell ref="E25:K25"/>
    <mergeCell ref="E26:K26"/>
    <mergeCell ref="E27:K27"/>
    <mergeCell ref="E28:K28"/>
    <mergeCell ref="E41:P41"/>
    <mergeCell ref="E42:K42"/>
    <mergeCell ref="T29:X29"/>
    <mergeCell ref="B29:D29"/>
    <mergeCell ref="N1:O1"/>
    <mergeCell ref="B4:D4"/>
    <mergeCell ref="B6:D6"/>
    <mergeCell ref="B1:C1"/>
    <mergeCell ref="B2:C2"/>
    <mergeCell ref="D1:H1"/>
    <mergeCell ref="D2:H2"/>
    <mergeCell ref="E17:K17"/>
    <mergeCell ref="P19:P20"/>
    <mergeCell ref="B11:D11"/>
    <mergeCell ref="E11:P11"/>
    <mergeCell ref="E12:K12"/>
    <mergeCell ref="E15:K15"/>
    <mergeCell ref="E13:K13"/>
    <mergeCell ref="M19:M20"/>
    <mergeCell ref="N19:N20"/>
    <mergeCell ref="O19:O20"/>
    <mergeCell ref="B19:D20"/>
    <mergeCell ref="E4:K4"/>
    <mergeCell ref="E6:K6"/>
    <mergeCell ref="E8:K9"/>
    <mergeCell ref="L8:L9"/>
    <mergeCell ref="T26:X26"/>
    <mergeCell ref="T27:X27"/>
    <mergeCell ref="B8:D9"/>
    <mergeCell ref="E30:K30"/>
    <mergeCell ref="E39:K39"/>
    <mergeCell ref="E35:K35"/>
    <mergeCell ref="E38:K38"/>
    <mergeCell ref="B17:D17"/>
    <mergeCell ref="B86:D86"/>
    <mergeCell ref="E34:K34"/>
    <mergeCell ref="E36:K36"/>
    <mergeCell ref="E86:K86"/>
    <mergeCell ref="B84:D84"/>
    <mergeCell ref="E84:K84"/>
    <mergeCell ref="E32:K32"/>
    <mergeCell ref="E55:K56"/>
    <mergeCell ref="B55:D55"/>
    <mergeCell ref="B56:D56"/>
    <mergeCell ref="B58:D58"/>
    <mergeCell ref="B59:D59"/>
    <mergeCell ref="B64:D64"/>
    <mergeCell ref="B68:D68"/>
    <mergeCell ref="B66:D66"/>
    <mergeCell ref="E62:K62"/>
    <mergeCell ref="B82:D82"/>
    <mergeCell ref="E82:K82"/>
    <mergeCell ref="E37:K37"/>
    <mergeCell ref="E68:P68"/>
    <mergeCell ref="E58:P59"/>
    <mergeCell ref="E66:K66"/>
    <mergeCell ref="N55:N56"/>
    <mergeCell ref="B72:D72"/>
    <mergeCell ref="L55:L56"/>
    <mergeCell ref="P55:P56"/>
    <mergeCell ref="B80:D80"/>
    <mergeCell ref="E80:K80"/>
    <mergeCell ref="M55:M56"/>
    <mergeCell ref="E60:K60"/>
    <mergeCell ref="E61:K61"/>
    <mergeCell ref="O55:O56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headerFooter>
    <oddFooter xml:space="preserve">&amp;LRijksdienst voor Arbeidsvoorziening&amp;ROffice national de l'Emploi
</oddFooter>
  </headerFooter>
  <rowBreaks count="2" manualBreakCount="2">
    <brk id="32" max="17" man="1"/>
    <brk id="70" max="1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1"/>
  <sheetViews>
    <sheetView showGridLines="0" zoomScaleNormal="100" workbookViewId="0">
      <selection activeCell="A2" sqref="A2:B2"/>
    </sheetView>
  </sheetViews>
  <sheetFormatPr defaultColWidth="9.109375" defaultRowHeight="14.4"/>
  <cols>
    <col min="1" max="1" width="12.109375" customWidth="1"/>
    <col min="3" max="3" width="9.44140625" bestFit="1" customWidth="1"/>
    <col min="4" max="4" width="3.44140625" customWidth="1"/>
    <col min="5" max="5" width="10" customWidth="1"/>
    <col min="6" max="6" width="10.6640625" customWidth="1"/>
    <col min="7" max="7" width="9.5546875" customWidth="1"/>
    <col min="8" max="8" width="2.33203125" customWidth="1"/>
    <col min="9" max="9" width="12.109375" customWidth="1"/>
    <col min="13" max="13" width="9.33203125" bestFit="1" customWidth="1"/>
    <col min="14" max="14" width="11.109375" bestFit="1" customWidth="1"/>
    <col min="15" max="17" width="1.44140625" customWidth="1"/>
    <col min="18" max="19" width="9.109375" customWidth="1"/>
  </cols>
  <sheetData>
    <row r="1" spans="1:17" ht="15.6">
      <c r="A1" s="477" t="s">
        <v>5</v>
      </c>
      <c r="B1" s="478"/>
      <c r="C1" s="490" t="s">
        <v>37</v>
      </c>
      <c r="D1" s="491"/>
      <c r="E1" s="491"/>
      <c r="F1" s="491"/>
      <c r="G1" s="491"/>
      <c r="H1" s="82"/>
      <c r="I1" s="82"/>
      <c r="J1" s="497"/>
      <c r="K1" s="497"/>
      <c r="L1" s="497"/>
      <c r="M1" s="108"/>
    </row>
    <row r="2" spans="1:17" ht="15.75" customHeight="1">
      <c r="A2" s="479">
        <v>44927</v>
      </c>
      <c r="B2" s="480"/>
      <c r="C2" s="488" t="s">
        <v>38</v>
      </c>
      <c r="D2" s="489"/>
      <c r="E2" s="489"/>
      <c r="F2" s="489"/>
      <c r="G2" s="489"/>
      <c r="H2" s="82"/>
      <c r="I2" s="82"/>
      <c r="J2" s="5"/>
      <c r="K2" s="14"/>
      <c r="L2" s="73"/>
      <c r="M2" s="83"/>
      <c r="N2" s="83"/>
      <c r="O2" s="83"/>
      <c r="Q2" s="84"/>
    </row>
    <row r="5" spans="1:17">
      <c r="A5" s="40" t="s">
        <v>52</v>
      </c>
      <c r="B5" s="40"/>
      <c r="C5" s="40"/>
      <c r="D5" s="40"/>
      <c r="E5" s="40"/>
    </row>
    <row r="6" spans="1:17" ht="15" thickBot="1"/>
    <row r="7" spans="1:17">
      <c r="A7" s="770" t="s">
        <v>45</v>
      </c>
      <c r="B7" s="771"/>
      <c r="C7" s="771"/>
      <c r="D7" s="771"/>
      <c r="E7" s="771"/>
      <c r="F7" s="771"/>
      <c r="G7" s="772"/>
      <c r="I7" s="743" t="s">
        <v>193</v>
      </c>
      <c r="J7" s="744"/>
      <c r="K7" s="744"/>
      <c r="L7" s="744"/>
      <c r="M7" s="744"/>
      <c r="N7" s="744"/>
      <c r="O7" s="744"/>
      <c r="P7" s="745"/>
    </row>
    <row r="8" spans="1:17" ht="15" thickBot="1">
      <c r="A8" s="764" t="s">
        <v>51</v>
      </c>
      <c r="B8" s="765"/>
      <c r="C8" s="765"/>
      <c r="D8" s="765"/>
      <c r="E8" s="765"/>
      <c r="F8" s="765"/>
      <c r="G8" s="766"/>
      <c r="I8" s="752" t="s">
        <v>42</v>
      </c>
      <c r="J8" s="753"/>
      <c r="K8" s="753"/>
      <c r="L8" s="753"/>
      <c r="M8" s="753"/>
      <c r="N8" s="753"/>
      <c r="O8" s="753"/>
      <c r="P8" s="754"/>
    </row>
    <row r="9" spans="1:17" ht="16.2" thickBot="1">
      <c r="A9" s="123" t="s">
        <v>3</v>
      </c>
      <c r="B9" s="767" t="s">
        <v>43</v>
      </c>
      <c r="C9" s="768"/>
      <c r="D9" s="768"/>
      <c r="E9" s="768"/>
      <c r="F9" s="768"/>
      <c r="G9" s="769"/>
      <c r="H9" s="111"/>
      <c r="I9" s="112" t="s">
        <v>3</v>
      </c>
      <c r="J9" s="755" t="s">
        <v>43</v>
      </c>
      <c r="K9" s="756"/>
      <c r="L9" s="756"/>
      <c r="M9" s="756"/>
      <c r="N9" s="756"/>
      <c r="O9" s="756"/>
      <c r="P9" s="757"/>
    </row>
    <row r="10" spans="1:17">
      <c r="A10" s="113" t="s">
        <v>48</v>
      </c>
      <c r="B10" s="730">
        <v>433.81</v>
      </c>
      <c r="C10" s="731"/>
      <c r="D10" s="731"/>
      <c r="E10" s="731"/>
      <c r="F10" s="731"/>
      <c r="G10" s="732"/>
      <c r="I10" s="113" t="s">
        <v>194</v>
      </c>
      <c r="J10" s="749" t="s">
        <v>44</v>
      </c>
      <c r="K10" s="750"/>
      <c r="L10" s="750"/>
      <c r="M10" s="750"/>
      <c r="N10" s="750"/>
      <c r="O10" s="750"/>
      <c r="P10" s="751"/>
    </row>
    <row r="11" spans="1:17" ht="15" thickBot="1">
      <c r="A11" s="115" t="s">
        <v>50</v>
      </c>
      <c r="B11" s="761">
        <v>545.37</v>
      </c>
      <c r="C11" s="762"/>
      <c r="D11" s="762"/>
      <c r="E11" s="762"/>
      <c r="F11" s="762"/>
      <c r="G11" s="763"/>
      <c r="I11" s="114" t="s">
        <v>195</v>
      </c>
      <c r="J11" s="733" t="s">
        <v>200</v>
      </c>
      <c r="K11" s="734"/>
      <c r="L11" s="734"/>
      <c r="M11" s="734"/>
      <c r="N11" s="734"/>
      <c r="O11" s="735"/>
      <c r="P11" s="736"/>
    </row>
    <row r="12" spans="1:17" ht="15" thickBot="1">
      <c r="A12" s="289"/>
      <c r="I12" s="290" t="s">
        <v>196</v>
      </c>
      <c r="J12" s="733" t="s">
        <v>201</v>
      </c>
      <c r="K12" s="734"/>
      <c r="L12" s="734"/>
      <c r="M12" s="734"/>
      <c r="N12" s="734"/>
      <c r="O12" s="735"/>
      <c r="P12" s="736"/>
    </row>
    <row r="13" spans="1:17">
      <c r="A13" s="743" t="s">
        <v>45</v>
      </c>
      <c r="B13" s="744"/>
      <c r="C13" s="744"/>
      <c r="D13" s="744"/>
      <c r="E13" s="744"/>
      <c r="F13" s="744"/>
      <c r="G13" s="745"/>
      <c r="I13" s="116" t="s">
        <v>197</v>
      </c>
      <c r="J13" s="749" t="s">
        <v>44</v>
      </c>
      <c r="K13" s="750"/>
      <c r="L13" s="750"/>
      <c r="M13" s="750"/>
      <c r="N13" s="750"/>
      <c r="O13" s="750"/>
      <c r="P13" s="751"/>
    </row>
    <row r="14" spans="1:17">
      <c r="A14" s="746" t="s">
        <v>46</v>
      </c>
      <c r="B14" s="747"/>
      <c r="C14" s="747"/>
      <c r="D14" s="747"/>
      <c r="E14" s="747"/>
      <c r="F14" s="747"/>
      <c r="G14" s="748"/>
      <c r="I14" s="114" t="s">
        <v>198</v>
      </c>
      <c r="J14" s="733" t="s">
        <v>200</v>
      </c>
      <c r="K14" s="734"/>
      <c r="L14" s="734"/>
      <c r="M14" s="734"/>
      <c r="N14" s="734"/>
      <c r="O14" s="735"/>
      <c r="P14" s="736"/>
    </row>
    <row r="15" spans="1:17" ht="15" thickBot="1">
      <c r="A15" s="752" t="s">
        <v>47</v>
      </c>
      <c r="B15" s="753"/>
      <c r="C15" s="753"/>
      <c r="D15" s="753"/>
      <c r="E15" s="753"/>
      <c r="F15" s="753"/>
      <c r="G15" s="754"/>
      <c r="I15" s="290" t="s">
        <v>199</v>
      </c>
      <c r="J15" s="737" t="s">
        <v>201</v>
      </c>
      <c r="K15" s="738"/>
      <c r="L15" s="738"/>
      <c r="M15" s="738"/>
      <c r="N15" s="738"/>
      <c r="O15" s="738"/>
      <c r="P15" s="739"/>
    </row>
    <row r="16" spans="1:17" ht="15" thickBot="1">
      <c r="A16" s="112" t="s">
        <v>3</v>
      </c>
      <c r="B16" s="755" t="s">
        <v>43</v>
      </c>
      <c r="C16" s="756"/>
      <c r="D16" s="756"/>
      <c r="E16" s="756"/>
      <c r="F16" s="756"/>
      <c r="G16" s="757"/>
    </row>
    <row r="17" spans="1:16">
      <c r="A17" s="122" t="s">
        <v>191</v>
      </c>
      <c r="B17" s="730" t="s">
        <v>49</v>
      </c>
      <c r="C17" s="758"/>
      <c r="D17" s="758"/>
      <c r="E17" s="758"/>
      <c r="F17" s="758"/>
      <c r="G17" s="759"/>
      <c r="I17" s="743" t="s">
        <v>202</v>
      </c>
      <c r="J17" s="744"/>
      <c r="K17" s="744"/>
      <c r="L17" s="744"/>
      <c r="M17" s="744"/>
      <c r="N17" s="744"/>
      <c r="O17" s="744"/>
      <c r="P17" s="745"/>
    </row>
    <row r="18" spans="1:16" ht="15" thickBot="1">
      <c r="A18" s="740" t="s">
        <v>192</v>
      </c>
      <c r="B18" s="741"/>
      <c r="C18" s="741"/>
      <c r="D18" s="741"/>
      <c r="E18" s="741"/>
      <c r="F18" s="741"/>
      <c r="G18" s="742"/>
      <c r="I18" s="752" t="s">
        <v>42</v>
      </c>
      <c r="J18" s="753"/>
      <c r="K18" s="753"/>
      <c r="L18" s="753"/>
      <c r="M18" s="753"/>
      <c r="N18" s="753"/>
      <c r="O18" s="753"/>
      <c r="P18" s="754"/>
    </row>
    <row r="19" spans="1:16" ht="15" thickBot="1">
      <c r="A19" s="357"/>
      <c r="B19" s="357"/>
      <c r="C19" s="357"/>
      <c r="D19" s="357"/>
      <c r="E19" s="357"/>
      <c r="F19" s="357"/>
      <c r="G19" s="357"/>
      <c r="I19" s="112" t="s">
        <v>3</v>
      </c>
      <c r="J19" s="755" t="s">
        <v>43</v>
      </c>
      <c r="K19" s="756"/>
      <c r="L19" s="756"/>
      <c r="M19" s="756"/>
      <c r="N19" s="756"/>
      <c r="O19" s="756"/>
      <c r="P19" s="757"/>
    </row>
    <row r="20" spans="1:16">
      <c r="I20" s="113" t="s">
        <v>203</v>
      </c>
      <c r="J20" s="749" t="s">
        <v>208</v>
      </c>
      <c r="K20" s="750"/>
      <c r="L20" s="750"/>
      <c r="M20" s="750"/>
      <c r="N20" s="750"/>
      <c r="O20" s="750"/>
      <c r="P20" s="751"/>
    </row>
    <row r="21" spans="1:16">
      <c r="I21" s="114" t="s">
        <v>204</v>
      </c>
      <c r="J21" s="733" t="s">
        <v>209</v>
      </c>
      <c r="K21" s="734"/>
      <c r="L21" s="734"/>
      <c r="M21" s="734"/>
      <c r="N21" s="734"/>
      <c r="O21" s="735"/>
      <c r="P21" s="736"/>
    </row>
    <row r="22" spans="1:16" ht="15" thickBot="1">
      <c r="I22" s="290" t="s">
        <v>205</v>
      </c>
      <c r="J22" s="733" t="s">
        <v>210</v>
      </c>
      <c r="K22" s="734"/>
      <c r="L22" s="734"/>
      <c r="M22" s="734"/>
      <c r="N22" s="734"/>
      <c r="O22" s="735"/>
      <c r="P22" s="736"/>
    </row>
    <row r="23" spans="1:16">
      <c r="I23" s="116" t="s">
        <v>206</v>
      </c>
      <c r="J23" s="749" t="s">
        <v>211</v>
      </c>
      <c r="K23" s="750"/>
      <c r="L23" s="750"/>
      <c r="M23" s="750"/>
      <c r="N23" s="750"/>
      <c r="O23" s="750"/>
      <c r="P23" s="751"/>
    </row>
    <row r="24" spans="1:16" ht="15" thickBot="1">
      <c r="I24" s="290" t="s">
        <v>207</v>
      </c>
      <c r="J24" s="737" t="s">
        <v>212</v>
      </c>
      <c r="K24" s="760"/>
      <c r="L24" s="760"/>
      <c r="M24" s="760"/>
      <c r="N24" s="760"/>
      <c r="O24" s="760"/>
      <c r="P24" s="739"/>
    </row>
    <row r="31" spans="1:16">
      <c r="I31" s="288"/>
      <c r="J31" s="288"/>
      <c r="K31" s="288"/>
      <c r="L31" s="288"/>
      <c r="M31" s="288"/>
      <c r="N31" s="288"/>
      <c r="O31" s="288"/>
      <c r="P31" s="288"/>
    </row>
    <row r="36" spans="8:16">
      <c r="I36" s="288"/>
      <c r="J36" s="288"/>
      <c r="K36" s="288"/>
      <c r="L36" s="288"/>
      <c r="M36" s="288"/>
      <c r="N36" s="288"/>
      <c r="O36" s="288"/>
      <c r="P36" s="288"/>
    </row>
    <row r="37" spans="8:16">
      <c r="I37" s="288"/>
      <c r="J37" s="288"/>
      <c r="K37" s="288"/>
      <c r="L37" s="288"/>
      <c r="M37" s="288"/>
      <c r="N37" s="288"/>
      <c r="O37" s="288"/>
      <c r="P37" s="288"/>
    </row>
    <row r="39" spans="8:16">
      <c r="I39" s="118"/>
      <c r="J39" s="118"/>
      <c r="K39" s="118"/>
      <c r="L39" s="118"/>
      <c r="M39" s="118"/>
      <c r="N39" s="118"/>
      <c r="O39" s="118"/>
      <c r="P39" s="118"/>
    </row>
    <row r="40" spans="8:16">
      <c r="H40" s="200"/>
    </row>
    <row r="41" spans="8:16">
      <c r="H41" s="164"/>
    </row>
  </sheetData>
  <sheetProtection algorithmName="SHA-512" hashValue="FZSu2haR5AR09uMa0/sPUORip0aEzMeyENXfovEYvawCP8aIFkMUrW6Z5UnJK6F8MyaFSvcihW3ILOjJA7Lj1A==" saltValue="pVF5SQT++I8tOCT30WA0Wg==" spinCount="100000" sheet="1" objects="1" scenarios="1"/>
  <mergeCells count="33">
    <mergeCell ref="J22:P22"/>
    <mergeCell ref="J23:P23"/>
    <mergeCell ref="J11:P11"/>
    <mergeCell ref="I17:P17"/>
    <mergeCell ref="I18:P18"/>
    <mergeCell ref="J24:P24"/>
    <mergeCell ref="A1:B1"/>
    <mergeCell ref="C1:G1"/>
    <mergeCell ref="J1:L1"/>
    <mergeCell ref="A2:B2"/>
    <mergeCell ref="C2:G2"/>
    <mergeCell ref="B11:G11"/>
    <mergeCell ref="A8:G8"/>
    <mergeCell ref="B9:G9"/>
    <mergeCell ref="A7:G7"/>
    <mergeCell ref="I7:P7"/>
    <mergeCell ref="I8:P8"/>
    <mergeCell ref="J9:P9"/>
    <mergeCell ref="J19:P19"/>
    <mergeCell ref="J20:P20"/>
    <mergeCell ref="J21:P21"/>
    <mergeCell ref="B10:G10"/>
    <mergeCell ref="J14:P14"/>
    <mergeCell ref="J15:P15"/>
    <mergeCell ref="A18:G18"/>
    <mergeCell ref="A13:G13"/>
    <mergeCell ref="A14:G14"/>
    <mergeCell ref="J12:P12"/>
    <mergeCell ref="J13:P13"/>
    <mergeCell ref="A15:G15"/>
    <mergeCell ref="B16:G16"/>
    <mergeCell ref="B17:G17"/>
    <mergeCell ref="J10:P10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Footer>&amp;LRijksdienst voor Arbeidsvoorziening&amp;ROffice national de l'Emploi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23"/>
  <sheetViews>
    <sheetView showGridLines="0" zoomScaleNormal="100" workbookViewId="0">
      <pane ySplit="2" topLeftCell="A3" activePane="bottomLeft" state="frozen"/>
      <selection activeCell="G86" sqref="G86"/>
      <selection pane="bottomLeft" activeCell="A2" sqref="A2:B2"/>
    </sheetView>
  </sheetViews>
  <sheetFormatPr defaultColWidth="9.109375" defaultRowHeight="14.4"/>
  <cols>
    <col min="1" max="1" width="12.109375" customWidth="1"/>
    <col min="3" max="3" width="9.44140625" bestFit="1" customWidth="1"/>
    <col min="4" max="4" width="3.44140625" customWidth="1"/>
    <col min="5" max="5" width="10" customWidth="1"/>
    <col min="6" max="6" width="10.6640625" customWidth="1"/>
    <col min="7" max="7" width="13.44140625" customWidth="1"/>
    <col min="8" max="8" width="9.33203125" bestFit="1" customWidth="1"/>
    <col min="9" max="9" width="12.109375" customWidth="1"/>
    <col min="13" max="13" width="9.33203125" bestFit="1" customWidth="1"/>
    <col min="14" max="14" width="11.109375" bestFit="1" customWidth="1"/>
    <col min="15" max="16" width="1.44140625" customWidth="1"/>
    <col min="17" max="17" width="12" customWidth="1"/>
    <col min="18" max="19" width="9.109375" customWidth="1"/>
  </cols>
  <sheetData>
    <row r="1" spans="1:19" ht="15.6">
      <c r="A1" s="477" t="s">
        <v>5</v>
      </c>
      <c r="B1" s="478"/>
      <c r="C1" s="490" t="s">
        <v>37</v>
      </c>
      <c r="D1" s="491"/>
      <c r="E1" s="491"/>
      <c r="F1" s="491"/>
      <c r="G1" s="491"/>
      <c r="H1" s="82"/>
      <c r="I1" s="82"/>
      <c r="J1" s="497" t="s">
        <v>6</v>
      </c>
      <c r="K1" s="497"/>
      <c r="L1" s="497"/>
      <c r="M1" s="335">
        <f>Basisbedragen!$I$2</f>
        <v>1.8113999999999999</v>
      </c>
    </row>
    <row r="2" spans="1:19" ht="15.75" customHeight="1">
      <c r="A2" s="479">
        <v>46266</v>
      </c>
      <c r="B2" s="480"/>
      <c r="C2" s="488" t="s">
        <v>38</v>
      </c>
      <c r="D2" s="489"/>
      <c r="E2" s="489"/>
      <c r="F2" s="489"/>
      <c r="G2" s="489"/>
      <c r="H2" s="82"/>
      <c r="I2" s="82"/>
      <c r="J2" s="5"/>
      <c r="K2" s="14"/>
      <c r="L2" s="73"/>
      <c r="M2" s="83"/>
      <c r="N2" s="83"/>
      <c r="O2" s="83"/>
      <c r="Q2" s="84"/>
    </row>
    <row r="5" spans="1:19">
      <c r="A5" s="497" t="s">
        <v>149</v>
      </c>
      <c r="B5" s="497"/>
      <c r="C5" s="497"/>
      <c r="D5" s="497"/>
      <c r="E5" s="497"/>
      <c r="F5" s="497"/>
      <c r="G5" s="497"/>
      <c r="H5" s="497"/>
      <c r="I5" s="497"/>
    </row>
    <row r="6" spans="1:19" ht="15" thickBot="1">
      <c r="B6" s="802" t="s">
        <v>151</v>
      </c>
      <c r="C6" s="802"/>
      <c r="D6" s="802"/>
      <c r="E6" s="802"/>
      <c r="F6" s="802"/>
      <c r="G6" s="802"/>
      <c r="H6" s="802"/>
      <c r="I6" s="802"/>
      <c r="K6" s="802" t="s">
        <v>150</v>
      </c>
      <c r="L6" s="802"/>
      <c r="M6" s="802"/>
      <c r="N6" s="802"/>
      <c r="O6" s="244"/>
      <c r="Q6" s="244"/>
      <c r="R6" s="244"/>
      <c r="S6" s="244"/>
    </row>
    <row r="7" spans="1:19" ht="30" customHeight="1" thickBot="1">
      <c r="B7" s="796" t="s">
        <v>78</v>
      </c>
      <c r="C7" s="797"/>
      <c r="D7" s="797"/>
      <c r="E7" s="798"/>
      <c r="F7" s="799" t="s">
        <v>79</v>
      </c>
      <c r="G7" s="800"/>
      <c r="H7" s="801" t="s">
        <v>6</v>
      </c>
      <c r="I7" s="792"/>
      <c r="K7" s="809" t="s">
        <v>80</v>
      </c>
      <c r="L7" s="810"/>
      <c r="M7" s="810"/>
      <c r="N7" s="811"/>
      <c r="O7" s="255"/>
    </row>
    <row r="8" spans="1:19" ht="15" thickBot="1">
      <c r="B8" s="190" t="s">
        <v>39</v>
      </c>
      <c r="C8" s="245">
        <f>ROUND(Basisbedragen!D81*H8,2)</f>
        <v>2432.59</v>
      </c>
      <c r="D8" s="191"/>
      <c r="E8" s="192"/>
      <c r="F8" s="781">
        <v>189.02</v>
      </c>
      <c r="G8" s="781"/>
      <c r="H8" s="803">
        <f>Basisbedragen!I6</f>
        <v>1.8522000000000001</v>
      </c>
      <c r="I8" s="804"/>
      <c r="K8" s="793">
        <v>28.36</v>
      </c>
      <c r="L8" s="794"/>
      <c r="M8" s="794"/>
      <c r="N8" s="795"/>
      <c r="O8" s="256"/>
      <c r="Q8" s="343"/>
    </row>
    <row r="9" spans="1:19">
      <c r="B9" s="124" t="s">
        <v>40</v>
      </c>
      <c r="C9" s="246">
        <f>C8</f>
        <v>2432.59</v>
      </c>
      <c r="D9" s="125" t="s">
        <v>39</v>
      </c>
      <c r="E9" s="248">
        <f>C10</f>
        <v>4865.17</v>
      </c>
      <c r="F9" s="807">
        <v>141.75</v>
      </c>
      <c r="G9" s="807"/>
      <c r="H9" s="803"/>
      <c r="I9" s="804"/>
    </row>
    <row r="10" spans="1:19" ht="15" thickBot="1">
      <c r="B10" s="119" t="s">
        <v>40</v>
      </c>
      <c r="C10" s="247">
        <f>ROUND(Basisbedragen!D82*H8,2)</f>
        <v>4865.17</v>
      </c>
      <c r="D10" s="120"/>
      <c r="E10" s="121"/>
      <c r="F10" s="808">
        <v>28.36</v>
      </c>
      <c r="G10" s="808"/>
      <c r="H10" s="805"/>
      <c r="I10" s="806"/>
    </row>
    <row r="11" spans="1:19">
      <c r="B11" s="110"/>
    </row>
    <row r="12" spans="1:19">
      <c r="A12" s="497" t="s">
        <v>41</v>
      </c>
      <c r="B12" s="497"/>
      <c r="C12" s="497"/>
      <c r="D12" s="497"/>
      <c r="E12" s="497"/>
    </row>
    <row r="13" spans="1:19" ht="15" thickBot="1">
      <c r="A13" s="107"/>
      <c r="B13" s="107"/>
      <c r="C13" s="107"/>
      <c r="D13" s="107"/>
      <c r="E13" s="117"/>
    </row>
    <row r="14" spans="1:19" ht="15" thickBot="1">
      <c r="B14" s="790" t="s">
        <v>83</v>
      </c>
      <c r="C14" s="791"/>
      <c r="D14" s="791"/>
      <c r="E14" s="792"/>
    </row>
    <row r="15" spans="1:19">
      <c r="B15" s="782" t="s">
        <v>81</v>
      </c>
      <c r="C15" s="783"/>
      <c r="D15" s="786">
        <f>ROUND(Basisbedragen!D83*$M$1,2)</f>
        <v>46.68</v>
      </c>
      <c r="E15" s="787"/>
      <c r="F15" s="170"/>
    </row>
    <row r="16" spans="1:19" ht="15" thickBot="1">
      <c r="B16" s="784" t="s">
        <v>82</v>
      </c>
      <c r="C16" s="785"/>
      <c r="D16" s="788">
        <f>ROUND(D15/2,2)</f>
        <v>23.34</v>
      </c>
      <c r="E16" s="789"/>
      <c r="F16" s="360"/>
      <c r="G16" s="301"/>
    </row>
    <row r="17" spans="1:8">
      <c r="F17" s="107"/>
      <c r="G17" s="107"/>
    </row>
    <row r="18" spans="1:8">
      <c r="A18" s="696" t="s">
        <v>155</v>
      </c>
      <c r="B18" s="696"/>
      <c r="C18" s="696"/>
    </row>
    <row r="19" spans="1:8" ht="15" thickBot="1"/>
    <row r="20" spans="1:8" ht="27.6" thickBot="1">
      <c r="F20" s="253" t="s">
        <v>159</v>
      </c>
      <c r="G20" s="254" t="s">
        <v>160</v>
      </c>
    </row>
    <row r="21" spans="1:8">
      <c r="B21" s="775" t="s">
        <v>156</v>
      </c>
      <c r="C21" s="776"/>
      <c r="D21" s="776"/>
      <c r="E21" s="777"/>
      <c r="F21" s="292">
        <f>G21/12</f>
        <v>1847.8908333333331</v>
      </c>
      <c r="G21" s="295">
        <f>ROUND(Basisbedragen!D66*$M$1,2)</f>
        <v>22174.69</v>
      </c>
      <c r="H21" s="170"/>
    </row>
    <row r="22" spans="1:8">
      <c r="B22" s="620" t="s">
        <v>157</v>
      </c>
      <c r="C22" s="773"/>
      <c r="D22" s="773"/>
      <c r="E22" s="774"/>
      <c r="F22" s="293">
        <f>G22/12</f>
        <v>1367.3425</v>
      </c>
      <c r="G22" s="296">
        <f>ROUND(Basisbedragen!D67*$M$1,2)</f>
        <v>16408.11</v>
      </c>
      <c r="H22" s="170"/>
    </row>
    <row r="23" spans="1:8" ht="15" thickBot="1">
      <c r="B23" s="778" t="s">
        <v>158</v>
      </c>
      <c r="C23" s="779"/>
      <c r="D23" s="779"/>
      <c r="E23" s="780"/>
      <c r="F23" s="294">
        <f>G23/12</f>
        <v>911.56166666666661</v>
      </c>
      <c r="G23" s="297">
        <f>ROUND(Basisbedragen!D68*$M$1,2)</f>
        <v>10938.74</v>
      </c>
      <c r="H23" s="170"/>
    </row>
  </sheetData>
  <sheetProtection algorithmName="SHA-512" hashValue="QvqbfUBDeC+4NGmUABtRitT/wGR7s/rYcBJ9lhg7muNYUzkCllski23vsg3Auh5pD0DkpXQwe2zXu8PZEgDJaA==" saltValue="+GJ/NdJgkOiQob+G31QUyw==" spinCount="100000" sheet="1" objects="1" scenarios="1"/>
  <mergeCells count="27">
    <mergeCell ref="K8:N8"/>
    <mergeCell ref="J1:L1"/>
    <mergeCell ref="A2:B2"/>
    <mergeCell ref="C2:G2"/>
    <mergeCell ref="A5:I5"/>
    <mergeCell ref="B7:E7"/>
    <mergeCell ref="F7:G7"/>
    <mergeCell ref="H7:I7"/>
    <mergeCell ref="K6:N6"/>
    <mergeCell ref="B6:I6"/>
    <mergeCell ref="H8:I10"/>
    <mergeCell ref="F9:G9"/>
    <mergeCell ref="F10:G10"/>
    <mergeCell ref="K7:N7"/>
    <mergeCell ref="A18:C18"/>
    <mergeCell ref="B22:E22"/>
    <mergeCell ref="B21:E21"/>
    <mergeCell ref="B23:E23"/>
    <mergeCell ref="A1:B1"/>
    <mergeCell ref="C1:G1"/>
    <mergeCell ref="F8:G8"/>
    <mergeCell ref="B15:C15"/>
    <mergeCell ref="A12:E12"/>
    <mergeCell ref="B16:C16"/>
    <mergeCell ref="D15:E15"/>
    <mergeCell ref="D16:E16"/>
    <mergeCell ref="B14:E1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  <headerFooter>
    <oddFooter>&amp;LRijksdienst voor Arbeidsvoorziening&amp;ROffice national de l'Emploi</oddFooter>
  </headerFooter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27"/>
  <sheetViews>
    <sheetView showGridLines="0" zoomScaleNormal="100" workbookViewId="0">
      <pane ySplit="2" topLeftCell="A3" activePane="bottomLeft" state="frozen"/>
      <selection activeCell="E22" sqref="E22:K23"/>
      <selection pane="bottomLeft" activeCell="A2" sqref="A2:B2"/>
    </sheetView>
  </sheetViews>
  <sheetFormatPr defaultColWidth="9.109375" defaultRowHeight="14.4"/>
  <cols>
    <col min="2" max="2" width="5.33203125" customWidth="1"/>
    <col min="3" max="3" width="11.109375" customWidth="1"/>
    <col min="4" max="4" width="8" customWidth="1"/>
    <col min="5" max="5" width="16.33203125" customWidth="1"/>
    <col min="6" max="6" width="3.44140625" customWidth="1"/>
    <col min="7" max="7" width="9.33203125" bestFit="1" customWidth="1"/>
    <col min="8" max="8" width="2.33203125" customWidth="1"/>
    <col min="9" max="9" width="7" customWidth="1"/>
    <col min="10" max="10" width="5" customWidth="1"/>
    <col min="11" max="11" width="8.109375" customWidth="1"/>
    <col min="12" max="12" width="26" customWidth="1"/>
    <col min="13" max="13" width="7" customWidth="1"/>
    <col min="14" max="14" width="9.33203125" bestFit="1" customWidth="1"/>
    <col min="16" max="16" width="9.44140625" bestFit="1" customWidth="1"/>
    <col min="17" max="17" width="18.5546875" customWidth="1"/>
    <col min="19" max="19" width="6" customWidth="1"/>
  </cols>
  <sheetData>
    <row r="1" spans="1:21" ht="15.6">
      <c r="A1" s="477" t="s">
        <v>5</v>
      </c>
      <c r="B1" s="478"/>
      <c r="C1" s="812" t="s">
        <v>74</v>
      </c>
      <c r="D1" s="489"/>
      <c r="E1" s="272"/>
      <c r="F1" s="272"/>
      <c r="G1" s="272"/>
      <c r="H1" s="272"/>
      <c r="I1" s="82"/>
      <c r="J1" s="82"/>
      <c r="K1" s="497" t="s">
        <v>6</v>
      </c>
      <c r="L1" s="497"/>
      <c r="M1" s="497"/>
      <c r="N1" s="335">
        <f>Basisbedragen!$I$2</f>
        <v>1.8113999999999999</v>
      </c>
    </row>
    <row r="2" spans="1:21" ht="15.75" customHeight="1">
      <c r="A2" s="479">
        <v>46266</v>
      </c>
      <c r="B2" s="480"/>
      <c r="C2" s="812" t="s">
        <v>75</v>
      </c>
      <c r="D2" s="489"/>
      <c r="E2" s="37"/>
      <c r="F2" s="37"/>
      <c r="G2" s="37"/>
      <c r="H2" s="37"/>
      <c r="I2" s="82"/>
      <c r="J2" s="82"/>
      <c r="K2" s="5"/>
      <c r="L2" s="14"/>
      <c r="M2" s="73"/>
      <c r="N2" s="83"/>
      <c r="O2" s="83"/>
      <c r="Q2" s="84"/>
    </row>
    <row r="6" spans="1:21">
      <c r="B6" s="813" t="s">
        <v>56</v>
      </c>
      <c r="C6" s="813"/>
      <c r="D6" s="813"/>
      <c r="E6" s="813"/>
      <c r="F6" s="813"/>
      <c r="G6" s="813"/>
      <c r="H6" s="813"/>
      <c r="I6" s="813"/>
      <c r="J6" s="813"/>
      <c r="K6" s="813"/>
      <c r="L6" s="813"/>
    </row>
    <row r="7" spans="1:21">
      <c r="B7" s="813" t="s">
        <v>57</v>
      </c>
      <c r="C7" s="813"/>
      <c r="D7" s="813"/>
      <c r="E7" s="813"/>
      <c r="F7" s="813"/>
      <c r="G7" s="813"/>
      <c r="H7" s="813"/>
      <c r="I7" s="813"/>
      <c r="J7" s="813"/>
      <c r="K7" s="813"/>
      <c r="L7" s="813"/>
    </row>
    <row r="8" spans="1:21" ht="15" thickBot="1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</row>
    <row r="9" spans="1:21">
      <c r="B9" s="130" t="s">
        <v>77</v>
      </c>
      <c r="C9" s="814" t="s">
        <v>58</v>
      </c>
      <c r="D9" s="815"/>
      <c r="E9" s="816"/>
      <c r="F9" s="130" t="s">
        <v>59</v>
      </c>
      <c r="G9" s="817" t="s">
        <v>60</v>
      </c>
      <c r="H9" s="817"/>
      <c r="I9" s="817"/>
      <c r="J9" s="817"/>
      <c r="K9" s="817"/>
      <c r="L9" s="818"/>
      <c r="N9" s="127"/>
      <c r="O9" s="128"/>
      <c r="P9" s="128"/>
      <c r="Q9" s="128"/>
    </row>
    <row r="10" spans="1:21" ht="15" thickBot="1">
      <c r="B10" s="132"/>
      <c r="C10" s="819" t="s">
        <v>61</v>
      </c>
      <c r="D10" s="820"/>
      <c r="E10" s="821"/>
      <c r="F10" s="131"/>
      <c r="G10" s="822" t="s">
        <v>62</v>
      </c>
      <c r="H10" s="822"/>
      <c r="I10" s="823"/>
      <c r="J10" s="823"/>
      <c r="K10" s="823"/>
      <c r="L10" s="824"/>
      <c r="N10" s="828" t="s">
        <v>63</v>
      </c>
      <c r="O10" s="826"/>
      <c r="P10" s="826"/>
      <c r="Q10" s="826"/>
      <c r="R10" s="826"/>
      <c r="S10" s="129"/>
      <c r="T10" s="129"/>
      <c r="U10" s="129"/>
    </row>
    <row r="11" spans="1:21">
      <c r="B11" s="236" t="s">
        <v>64</v>
      </c>
      <c r="C11" s="364">
        <f>ROUND(AndereBedrWLH_AutresMontCHOM!$O$6*Basisbedragen!$D$86,2)</f>
        <v>2300.62</v>
      </c>
      <c r="D11" s="365"/>
      <c r="E11" s="366"/>
      <c r="F11" s="365"/>
      <c r="G11" s="364">
        <f>ROUND(AndereBedrWLH_AutresMontCHOM!$O$6*Basisbedragen!$D$87/100,2)+ROUND(AndereBedrWLH_AutresMontCHOM!$O$6*Basisbedragen!$D$88/100,2)</f>
        <v>299.53000000000003</v>
      </c>
      <c r="H11" s="364"/>
      <c r="I11" s="365"/>
      <c r="J11" s="365"/>
      <c r="K11" s="365"/>
      <c r="L11" s="366"/>
      <c r="N11" s="826"/>
      <c r="O11" s="826"/>
      <c r="P11" s="826"/>
      <c r="Q11" s="826"/>
      <c r="R11" s="826"/>
      <c r="T11" s="129"/>
      <c r="U11" s="129"/>
    </row>
    <row r="12" spans="1:21">
      <c r="B12" s="358" t="s">
        <v>40</v>
      </c>
      <c r="C12" s="362">
        <f>C11</f>
        <v>2300.62</v>
      </c>
      <c r="D12" s="367" t="s">
        <v>76</v>
      </c>
      <c r="E12" s="368">
        <f>ROUND(AndereBedrWLH_AutresMontCHOM!$O$6*Basisbedragen!$D$85,2)</f>
        <v>2937.93</v>
      </c>
      <c r="F12" s="369"/>
      <c r="G12" s="370">
        <f>G11</f>
        <v>299.53000000000003</v>
      </c>
      <c r="H12" s="371" t="s">
        <v>171</v>
      </c>
      <c r="I12" s="372">
        <f>ROUND(ROUND(AndereBedrWLH_AutresMontCHOM!$O$6*Basisbedragen!$D$88/100,2)/(Bonus!$E$12-Bonus!$C$12),4)</f>
        <v>0.26989999999999997</v>
      </c>
      <c r="J12" s="373" t="s">
        <v>65</v>
      </c>
      <c r="K12" s="374">
        <f>C11</f>
        <v>2300.62</v>
      </c>
      <c r="L12" s="375" t="s">
        <v>66</v>
      </c>
      <c r="N12" s="342"/>
      <c r="O12" s="342"/>
      <c r="P12" s="342"/>
      <c r="Q12" s="342"/>
      <c r="R12" s="342"/>
      <c r="T12" s="129"/>
      <c r="U12" s="129"/>
    </row>
    <row r="13" spans="1:21" ht="15" customHeight="1">
      <c r="B13" s="273" t="s">
        <v>40</v>
      </c>
      <c r="C13" s="376">
        <f>E12</f>
        <v>2937.93</v>
      </c>
      <c r="D13" s="377" t="s">
        <v>76</v>
      </c>
      <c r="E13" s="333">
        <f>ROUND(ROUND(Basisbedragen!$D$15*Basisbedragen!$I$4,2)*Basisbedragen!$D$84,2)</f>
        <v>3403.62</v>
      </c>
      <c r="F13" s="378"/>
      <c r="G13" s="379">
        <f>ROUND(AndereBedrWLH_AutresMontCHOM!$O$6*Basisbedragen!$D$87/100,2)</f>
        <v>127.54</v>
      </c>
      <c r="H13" s="379" t="s">
        <v>171</v>
      </c>
      <c r="I13" s="380">
        <f>ROUND(ROUND(AndereBedrWLH_AutresMontCHOM!$O$6*Basisbedragen!$D$87/100,2)/(Bonus!$E$13-Bonus!$C$13),4)</f>
        <v>0.27389999999999998</v>
      </c>
      <c r="J13" s="378" t="s">
        <v>65</v>
      </c>
      <c r="K13" s="381">
        <f>C13</f>
        <v>2937.93</v>
      </c>
      <c r="L13" s="382" t="s">
        <v>66</v>
      </c>
      <c r="N13" s="827" t="s">
        <v>67</v>
      </c>
      <c r="O13" s="827"/>
      <c r="P13" s="827"/>
      <c r="Q13" s="827"/>
      <c r="R13" s="827"/>
      <c r="S13" s="129"/>
      <c r="T13" s="129"/>
      <c r="U13" s="129"/>
    </row>
    <row r="14" spans="1:21" ht="15" thickBot="1">
      <c r="B14" s="279" t="s">
        <v>40</v>
      </c>
      <c r="C14" s="383">
        <f>E13</f>
        <v>3403.62</v>
      </c>
      <c r="D14" s="384"/>
      <c r="E14" s="385"/>
      <c r="F14" s="384"/>
      <c r="G14" s="383">
        <v>0</v>
      </c>
      <c r="H14" s="383"/>
      <c r="I14" s="384"/>
      <c r="J14" s="384"/>
      <c r="K14" s="384"/>
      <c r="L14" s="385"/>
      <c r="N14" s="827"/>
      <c r="O14" s="827"/>
      <c r="P14" s="827"/>
      <c r="Q14" s="827"/>
      <c r="R14" s="827"/>
    </row>
    <row r="15" spans="1:21"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N15" s="129"/>
    </row>
    <row r="16" spans="1:21">
      <c r="B16" s="813" t="s">
        <v>68</v>
      </c>
      <c r="C16" s="813"/>
      <c r="D16" s="813"/>
      <c r="E16" s="813"/>
      <c r="F16" s="813"/>
      <c r="G16" s="813"/>
      <c r="H16" s="813"/>
      <c r="I16" s="813"/>
      <c r="J16" s="813"/>
      <c r="K16" s="813"/>
      <c r="L16" s="813"/>
    </row>
    <row r="17" spans="2:20">
      <c r="B17" s="813" t="s">
        <v>69</v>
      </c>
      <c r="C17" s="813"/>
      <c r="D17" s="813"/>
      <c r="E17" s="813"/>
      <c r="F17" s="813"/>
      <c r="G17" s="813"/>
      <c r="H17" s="813"/>
      <c r="I17" s="813"/>
      <c r="J17" s="813"/>
      <c r="K17" s="813"/>
      <c r="L17" s="813"/>
    </row>
    <row r="18" spans="2:20" ht="15" thickBot="1"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</row>
    <row r="19" spans="2:20">
      <c r="B19" s="130" t="s">
        <v>77</v>
      </c>
      <c r="C19" s="814" t="s">
        <v>58</v>
      </c>
      <c r="D19" s="829"/>
      <c r="E19" s="830"/>
      <c r="F19" s="130" t="s">
        <v>59</v>
      </c>
      <c r="G19" s="817" t="s">
        <v>60</v>
      </c>
      <c r="H19" s="817"/>
      <c r="I19" s="817"/>
      <c r="J19" s="817"/>
      <c r="K19" s="817"/>
      <c r="L19" s="818"/>
      <c r="N19" s="828" t="s">
        <v>70</v>
      </c>
      <c r="O19" s="831"/>
      <c r="P19" s="831"/>
      <c r="Q19" s="831"/>
    </row>
    <row r="20" spans="2:20" ht="15" thickBot="1">
      <c r="B20" s="132"/>
      <c r="C20" s="819" t="s">
        <v>61</v>
      </c>
      <c r="D20" s="820"/>
      <c r="E20" s="821"/>
      <c r="F20" s="131"/>
      <c r="G20" s="822" t="s">
        <v>62</v>
      </c>
      <c r="H20" s="822"/>
      <c r="I20" s="823"/>
      <c r="J20" s="823"/>
      <c r="K20" s="823"/>
      <c r="L20" s="824"/>
      <c r="N20" s="826"/>
      <c r="O20" s="826"/>
      <c r="P20" s="826"/>
      <c r="Q20" s="826"/>
      <c r="R20" s="129"/>
      <c r="S20" s="129"/>
      <c r="T20" s="129"/>
    </row>
    <row r="21" spans="2:20">
      <c r="B21" s="242" t="s">
        <v>64</v>
      </c>
      <c r="C21" s="237">
        <f>C11</f>
        <v>2300.62</v>
      </c>
      <c r="D21" s="238"/>
      <c r="E21" s="239"/>
      <c r="F21" s="238"/>
      <c r="G21" s="237">
        <f>ROUND(ROUND(AndereBedrWLH_AutresMontCHOM!$O$6*Basisbedragen!$D$87/100,2)*1.08,2)+ROUND(ROUND(AndereBedrWLH_AutresMontCHOM!$O$6*Basisbedragen!$D$88/100,2)*1.08,2)</f>
        <v>323.49</v>
      </c>
      <c r="H21" s="237"/>
      <c r="I21" s="238"/>
      <c r="J21" s="238"/>
      <c r="K21" s="238"/>
      <c r="L21" s="239"/>
      <c r="N21" s="825" t="s">
        <v>71</v>
      </c>
      <c r="O21" s="826"/>
      <c r="P21" s="826"/>
      <c r="Q21" s="826"/>
    </row>
    <row r="22" spans="2:20" ht="15" customHeight="1">
      <c r="B22" s="243" t="s">
        <v>40</v>
      </c>
      <c r="C22" s="352">
        <f>C12</f>
        <v>2300.62</v>
      </c>
      <c r="D22" s="275" t="s">
        <v>76</v>
      </c>
      <c r="E22" s="355">
        <f>E12</f>
        <v>2937.93</v>
      </c>
      <c r="F22" s="353"/>
      <c r="G22" s="356">
        <f>G21</f>
        <v>323.49</v>
      </c>
      <c r="H22" s="263" t="s">
        <v>171</v>
      </c>
      <c r="I22" s="363">
        <f>ROUND(ROUND(ROUND(AndereBedrWLH_AutresMontCHOM!$O$6*Basisbedragen!$D$88/100,2)*1.08,2)/(Bonus!$E$22-Bonus!$C$22),4)</f>
        <v>0.29149999999999998</v>
      </c>
      <c r="J22" s="276" t="s">
        <v>65</v>
      </c>
      <c r="K22" s="278">
        <f>$K$12</f>
        <v>2300.62</v>
      </c>
      <c r="L22" s="354" t="s">
        <v>66</v>
      </c>
      <c r="N22" s="827" t="s">
        <v>72</v>
      </c>
      <c r="O22" s="827"/>
      <c r="P22" s="827"/>
      <c r="Q22" s="827"/>
    </row>
    <row r="23" spans="2:20">
      <c r="B23" s="243" t="s">
        <v>40</v>
      </c>
      <c r="C23" s="274">
        <f>C13</f>
        <v>2937.93</v>
      </c>
      <c r="D23" s="275" t="s">
        <v>76</v>
      </c>
      <c r="E23" s="241">
        <f>E13</f>
        <v>3403.62</v>
      </c>
      <c r="F23" s="276"/>
      <c r="G23" s="352">
        <f>ROUND(G13*1.08,2)</f>
        <v>137.74</v>
      </c>
      <c r="H23" s="263" t="s">
        <v>171</v>
      </c>
      <c r="I23" s="277">
        <f>ROUND(ROUND(ROUND(AndereBedrWLH_AutresMontCHOM!$O$6*Basisbedragen!$D$87/100,2)*1.08,2)/(Bonus!$E$23-Bonus!$C$23),4)</f>
        <v>0.29580000000000001</v>
      </c>
      <c r="J23" s="276" t="s">
        <v>65</v>
      </c>
      <c r="K23" s="278">
        <f>$K$13</f>
        <v>2937.93</v>
      </c>
      <c r="L23" s="240" t="s">
        <v>66</v>
      </c>
      <c r="N23" s="827"/>
      <c r="O23" s="827"/>
      <c r="P23" s="827"/>
      <c r="Q23" s="827"/>
    </row>
    <row r="24" spans="2:20" ht="15" thickBot="1">
      <c r="B24" s="283" t="s">
        <v>40</v>
      </c>
      <c r="C24" s="280">
        <f>C14</f>
        <v>3403.62</v>
      </c>
      <c r="D24" s="281"/>
      <c r="E24" s="282"/>
      <c r="F24" s="281"/>
      <c r="G24" s="280">
        <v>0</v>
      </c>
      <c r="H24" s="280"/>
      <c r="I24" s="281"/>
      <c r="J24" s="281"/>
      <c r="K24" s="281"/>
      <c r="L24" s="282"/>
      <c r="M24" s="3"/>
      <c r="N24" s="825" t="s">
        <v>73</v>
      </c>
      <c r="O24" s="826"/>
      <c r="P24" s="826"/>
      <c r="Q24" s="826"/>
      <c r="R24" s="129"/>
      <c r="S24" s="129"/>
    </row>
    <row r="25" spans="2:20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20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20">
      <c r="D27" s="3"/>
      <c r="E27" s="3"/>
      <c r="F27" s="3"/>
      <c r="G27" s="3"/>
      <c r="H27" s="3"/>
      <c r="I27" s="3"/>
      <c r="J27" s="3"/>
      <c r="K27" s="3"/>
      <c r="L27" s="3"/>
    </row>
  </sheetData>
  <sheetProtection algorithmName="SHA-512" hashValue="F38KdP87OOzqMosVMQ9iyW+ogUYrB1mTsnrKBSDzHur1F5n4TQ3x+uP7owuZ0gzRARrYx5xW5iYVR9BVI7szwg==" saltValue="QdQTiQiJ+tGD4/mUT5FBvQ==" spinCount="100000" sheet="1" objects="1" scenarios="1"/>
  <mergeCells count="23">
    <mergeCell ref="C10:E10"/>
    <mergeCell ref="G10:L10"/>
    <mergeCell ref="N21:Q21"/>
    <mergeCell ref="N22:Q23"/>
    <mergeCell ref="N24:Q24"/>
    <mergeCell ref="N10:R11"/>
    <mergeCell ref="N13:R14"/>
    <mergeCell ref="B16:L16"/>
    <mergeCell ref="B17:L17"/>
    <mergeCell ref="C19:E19"/>
    <mergeCell ref="G19:L19"/>
    <mergeCell ref="N19:Q20"/>
    <mergeCell ref="C20:E20"/>
    <mergeCell ref="G20:L20"/>
    <mergeCell ref="C1:D1"/>
    <mergeCell ref="C2:D2"/>
    <mergeCell ref="B7:L7"/>
    <mergeCell ref="C9:E9"/>
    <mergeCell ref="G9:L9"/>
    <mergeCell ref="A1:B1"/>
    <mergeCell ref="K1:M1"/>
    <mergeCell ref="A2:B2"/>
    <mergeCell ref="B6:L6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&amp;LRijksdienst voor Arbeidsvoorziening&amp;ROffice national de l'Emploi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BE84-1587-4148-B335-DA9A33061EE9}">
  <dimension ref="A1:J88"/>
  <sheetViews>
    <sheetView showGridLines="0" topLeftCell="B1" zoomScaleNormal="100" workbookViewId="0">
      <pane ySplit="11" topLeftCell="A12" activePane="bottomLeft" state="frozen"/>
      <selection pane="bottomLeft" activeCell="B1" sqref="B1"/>
    </sheetView>
  </sheetViews>
  <sheetFormatPr defaultRowHeight="14.4"/>
  <cols>
    <col min="1" max="1" width="50.6640625" customWidth="1"/>
    <col min="2" max="2" width="68.109375" bestFit="1" customWidth="1"/>
    <col min="3" max="3" width="7.77734375" customWidth="1"/>
    <col min="4" max="5" width="12.88671875" style="445" customWidth="1"/>
    <col min="6" max="6" width="35.6640625" bestFit="1" customWidth="1"/>
    <col min="7" max="7" width="12.33203125" customWidth="1"/>
    <col min="8" max="8" width="37.6640625" customWidth="1"/>
    <col min="9" max="9" width="8.88671875" style="32"/>
    <col min="10" max="10" width="12.33203125" customWidth="1"/>
  </cols>
  <sheetData>
    <row r="1" spans="1:10" s="431" customFormat="1">
      <c r="A1" s="428" t="s">
        <v>221</v>
      </c>
      <c r="B1" s="426">
        <v>46266</v>
      </c>
      <c r="C1" s="428"/>
      <c r="D1" s="429"/>
      <c r="E1" s="435"/>
      <c r="F1" s="359"/>
      <c r="G1" s="430" t="s">
        <v>222</v>
      </c>
      <c r="H1" s="430" t="s">
        <v>223</v>
      </c>
      <c r="I1" s="436"/>
      <c r="J1" s="430" t="s">
        <v>224</v>
      </c>
    </row>
    <row r="2" spans="1:10" s="431" customFormat="1">
      <c r="A2" s="428"/>
      <c r="B2" s="426"/>
      <c r="C2" s="428"/>
      <c r="D2" s="429"/>
      <c r="E2" s="435"/>
      <c r="F2" s="359"/>
      <c r="G2" s="424">
        <v>30</v>
      </c>
      <c r="H2" s="359" t="s">
        <v>225</v>
      </c>
      <c r="I2" s="446">
        <f>ROUND(POWER(1.02,G2),4)</f>
        <v>1.8113999999999999</v>
      </c>
      <c r="J2" s="425">
        <v>46266</v>
      </c>
    </row>
    <row r="3" spans="1:10">
      <c r="A3" s="428"/>
      <c r="B3" s="426"/>
      <c r="C3" s="428"/>
      <c r="D3" s="429"/>
      <c r="E3" s="435"/>
      <c r="F3" s="359"/>
      <c r="G3" s="359">
        <v>1</v>
      </c>
      <c r="H3" s="359" t="s">
        <v>450</v>
      </c>
      <c r="I3" s="436">
        <f t="shared" ref="I3:I4" si="0">ROUND(POWER(1.02,G3),4)</f>
        <v>1.02</v>
      </c>
      <c r="J3" s="437">
        <v>46204</v>
      </c>
    </row>
    <row r="4" spans="1:10">
      <c r="A4" s="428"/>
      <c r="B4" s="426"/>
      <c r="C4" s="428"/>
      <c r="D4" s="429"/>
      <c r="E4" s="435"/>
      <c r="F4" s="359"/>
      <c r="G4" s="424">
        <f>G2-21</f>
        <v>9</v>
      </c>
      <c r="H4" s="359" t="s">
        <v>358</v>
      </c>
      <c r="I4" s="446">
        <f t="shared" si="0"/>
        <v>1.1951000000000001</v>
      </c>
      <c r="J4" s="425">
        <v>46266</v>
      </c>
    </row>
    <row r="5" spans="1:10">
      <c r="A5" s="428"/>
      <c r="B5" s="426"/>
      <c r="C5" s="428"/>
      <c r="D5" s="429"/>
      <c r="E5" s="435"/>
      <c r="F5" s="359"/>
      <c r="G5" s="359">
        <v>29</v>
      </c>
      <c r="H5" s="359" t="s">
        <v>230</v>
      </c>
      <c r="I5" s="436">
        <f>ROUND(POWER(1.02,G5),4)</f>
        <v>1.7758</v>
      </c>
      <c r="J5" s="437">
        <v>46023</v>
      </c>
    </row>
    <row r="6" spans="1:10" s="431" customFormat="1">
      <c r="A6" s="428"/>
      <c r="B6" s="426"/>
      <c r="C6" s="428"/>
      <c r="D6" s="429"/>
      <c r="E6" s="435"/>
      <c r="F6" s="359"/>
      <c r="G6" s="359">
        <v>3</v>
      </c>
      <c r="H6" s="359" t="s">
        <v>231</v>
      </c>
      <c r="I6" s="436">
        <f>ROUND(ROUND($D$14*ROUND(POWER(1.02,G6),4),2)/1163.02,4)</f>
        <v>1.8522000000000001</v>
      </c>
      <c r="J6" s="437">
        <v>46023</v>
      </c>
    </row>
    <row r="7" spans="1:10" s="431" customFormat="1">
      <c r="A7" s="428"/>
      <c r="B7" s="426"/>
      <c r="C7" s="428"/>
      <c r="D7" s="429"/>
      <c r="E7" s="435"/>
      <c r="F7" s="359"/>
      <c r="G7" s="424">
        <f>G2-1</f>
        <v>29</v>
      </c>
      <c r="H7" s="424" t="s">
        <v>445</v>
      </c>
      <c r="I7" s="446">
        <f>ROUND(POWER(1.02,G7),4)</f>
        <v>1.7758</v>
      </c>
      <c r="J7" s="425">
        <v>46082</v>
      </c>
    </row>
    <row r="8" spans="1:10" s="431" customFormat="1">
      <c r="A8" s="428"/>
      <c r="B8" s="426"/>
      <c r="C8" s="428"/>
      <c r="D8" s="429"/>
      <c r="E8" s="435"/>
      <c r="F8" s="359"/>
      <c r="G8" s="424"/>
      <c r="H8" s="424" t="s">
        <v>446</v>
      </c>
      <c r="I8" s="447">
        <v>76.92</v>
      </c>
      <c r="J8" s="425">
        <v>46266</v>
      </c>
    </row>
    <row r="9" spans="1:10" s="431" customFormat="1">
      <c r="A9" s="428"/>
      <c r="B9" s="426"/>
      <c r="C9" s="428"/>
      <c r="D9" s="429"/>
      <c r="E9" s="435"/>
      <c r="F9" s="359"/>
      <c r="G9" s="424"/>
      <c r="H9" s="424" t="s">
        <v>447</v>
      </c>
      <c r="I9" s="447">
        <v>92.29</v>
      </c>
      <c r="J9" s="425">
        <v>46266</v>
      </c>
    </row>
    <row r="10" spans="1:10" s="431" customFormat="1">
      <c r="A10" s="430"/>
      <c r="B10" s="359"/>
      <c r="C10" s="359"/>
      <c r="D10" s="435"/>
      <c r="E10" s="435"/>
      <c r="F10" s="359"/>
      <c r="G10" s="424"/>
      <c r="H10" s="424" t="s">
        <v>448</v>
      </c>
      <c r="I10" s="447">
        <v>1.54</v>
      </c>
      <c r="J10" s="425">
        <v>46266</v>
      </c>
    </row>
    <row r="11" spans="1:10" s="431" customFormat="1">
      <c r="A11" s="430" t="s">
        <v>451</v>
      </c>
      <c r="B11" s="430" t="s">
        <v>226</v>
      </c>
      <c r="C11" s="430"/>
      <c r="D11" s="432" t="s">
        <v>227</v>
      </c>
      <c r="E11" s="432" t="s">
        <v>228</v>
      </c>
      <c r="F11" s="430" t="s">
        <v>229</v>
      </c>
      <c r="G11" s="424"/>
      <c r="H11" s="424" t="s">
        <v>449</v>
      </c>
      <c r="I11" s="447">
        <v>1.85</v>
      </c>
      <c r="J11" s="425">
        <v>46266</v>
      </c>
    </row>
    <row r="12" spans="1:10" s="431" customFormat="1">
      <c r="A12" s="430"/>
      <c r="B12" s="359"/>
      <c r="C12" s="359"/>
      <c r="D12" s="435"/>
      <c r="E12" s="435"/>
      <c r="F12" s="359"/>
      <c r="G12"/>
      <c r="H12" s="359"/>
      <c r="I12" s="436"/>
      <c r="J12" s="437"/>
    </row>
    <row r="13" spans="1:10" s="431" customFormat="1">
      <c r="A13" s="438" t="s">
        <v>232</v>
      </c>
      <c r="B13" s="438" t="s">
        <v>443</v>
      </c>
      <c r="C13" s="438" t="str">
        <f>"D"&amp;ROW()</f>
        <v>D13</v>
      </c>
      <c r="D13" s="439">
        <v>2189.81</v>
      </c>
      <c r="E13" s="439" t="s">
        <v>233</v>
      </c>
      <c r="F13" s="433" t="s">
        <v>234</v>
      </c>
      <c r="G13"/>
      <c r="H13" s="359"/>
      <c r="I13" s="436"/>
      <c r="J13" s="437"/>
    </row>
    <row r="14" spans="1:10" s="431" customFormat="1">
      <c r="A14" s="438"/>
      <c r="B14" s="438" t="s">
        <v>442</v>
      </c>
      <c r="C14" s="438" t="str">
        <f>"D"&amp;ROW()</f>
        <v>D14</v>
      </c>
      <c r="D14" s="439">
        <v>2029.88</v>
      </c>
      <c r="E14" s="439" t="s">
        <v>233</v>
      </c>
      <c r="F14" s="433"/>
      <c r="G14"/>
      <c r="H14" s="359"/>
      <c r="I14" s="436"/>
      <c r="J14" s="437"/>
    </row>
    <row r="15" spans="1:10">
      <c r="A15" s="438"/>
      <c r="B15" s="438" t="s">
        <v>357</v>
      </c>
      <c r="C15" s="438" t="str">
        <f t="shared" ref="C15:C78" si="1">"D"&amp;ROW()</f>
        <v>D15</v>
      </c>
      <c r="D15" s="439">
        <v>1806.16</v>
      </c>
      <c r="E15" s="439" t="s">
        <v>233</v>
      </c>
      <c r="F15" s="433"/>
      <c r="H15" s="430"/>
      <c r="I15" s="436"/>
      <c r="J15" s="359"/>
    </row>
    <row r="16" spans="1:10">
      <c r="A16" s="438" t="s">
        <v>235</v>
      </c>
      <c r="B16" s="438" t="s">
        <v>236</v>
      </c>
      <c r="C16" s="438" t="str">
        <f t="shared" si="1"/>
        <v>D16</v>
      </c>
      <c r="D16" s="439">
        <v>26.82</v>
      </c>
      <c r="E16" s="439" t="s">
        <v>237</v>
      </c>
      <c r="F16" s="438"/>
      <c r="H16" s="359"/>
      <c r="I16" s="436"/>
      <c r="J16" s="359"/>
    </row>
    <row r="17" spans="1:10">
      <c r="A17" s="440">
        <v>37</v>
      </c>
      <c r="B17" s="438" t="s">
        <v>238</v>
      </c>
      <c r="C17" s="438" t="str">
        <f t="shared" si="1"/>
        <v>D17</v>
      </c>
      <c r="D17" s="439">
        <v>11040</v>
      </c>
      <c r="E17" s="439" t="s">
        <v>239</v>
      </c>
      <c r="F17" s="433" t="s">
        <v>240</v>
      </c>
      <c r="H17" s="359"/>
      <c r="I17" s="436"/>
      <c r="J17" s="359"/>
    </row>
    <row r="18" spans="1:10">
      <c r="A18" s="438" t="s">
        <v>241</v>
      </c>
      <c r="B18" s="438" t="s">
        <v>242</v>
      </c>
      <c r="C18" s="438" t="str">
        <f t="shared" si="1"/>
        <v>D18</v>
      </c>
      <c r="D18" s="439">
        <v>24.79</v>
      </c>
      <c r="E18" s="439" t="s">
        <v>237</v>
      </c>
      <c r="F18" s="433" t="s">
        <v>243</v>
      </c>
      <c r="H18" s="359"/>
      <c r="I18" s="436"/>
      <c r="J18" s="359"/>
    </row>
    <row r="19" spans="1:10">
      <c r="A19" s="438" t="s">
        <v>241</v>
      </c>
      <c r="B19" s="438" t="s">
        <v>244</v>
      </c>
      <c r="C19" s="438" t="str">
        <f t="shared" si="1"/>
        <v>D19</v>
      </c>
      <c r="D19" s="439">
        <v>991.57</v>
      </c>
      <c r="E19" s="439" t="s">
        <v>239</v>
      </c>
      <c r="F19" s="433" t="s">
        <v>243</v>
      </c>
      <c r="H19" s="359"/>
      <c r="I19" s="436"/>
      <c r="J19" s="359"/>
    </row>
    <row r="20" spans="1:10">
      <c r="A20" s="438" t="s">
        <v>330</v>
      </c>
      <c r="B20" s="438" t="s">
        <v>331</v>
      </c>
      <c r="C20" s="438" t="str">
        <f t="shared" si="1"/>
        <v>D20</v>
      </c>
      <c r="D20" s="439">
        <v>1225.32</v>
      </c>
      <c r="E20" s="439" t="s">
        <v>239</v>
      </c>
      <c r="F20" s="433"/>
      <c r="H20" s="359"/>
      <c r="I20" s="436"/>
      <c r="J20" s="359"/>
    </row>
    <row r="21" spans="1:10">
      <c r="A21" s="440" t="s">
        <v>245</v>
      </c>
      <c r="B21" s="438" t="s">
        <v>246</v>
      </c>
      <c r="C21" s="438" t="str">
        <f t="shared" si="1"/>
        <v>D21</v>
      </c>
      <c r="D21" s="439">
        <v>569.11</v>
      </c>
      <c r="E21" s="439" t="s">
        <v>233</v>
      </c>
      <c r="F21" s="438"/>
      <c r="H21" s="359"/>
      <c r="I21" s="436"/>
      <c r="J21" s="359"/>
    </row>
    <row r="22" spans="1:10">
      <c r="A22" s="440" t="s">
        <v>247</v>
      </c>
      <c r="B22" s="438" t="s">
        <v>248</v>
      </c>
      <c r="C22" s="438" t="str">
        <f t="shared" si="1"/>
        <v>D22</v>
      </c>
      <c r="D22" s="439">
        <v>304.77</v>
      </c>
      <c r="E22" s="439" t="s">
        <v>233</v>
      </c>
      <c r="F22" s="438"/>
      <c r="H22" s="359"/>
      <c r="I22" s="436"/>
      <c r="J22" s="359"/>
    </row>
    <row r="23" spans="1:10">
      <c r="A23" s="440" t="s">
        <v>249</v>
      </c>
      <c r="B23" s="438" t="s">
        <v>250</v>
      </c>
      <c r="C23" s="438" t="str">
        <f t="shared" si="1"/>
        <v>D23</v>
      </c>
      <c r="D23" s="439">
        <v>472.98</v>
      </c>
      <c r="E23" s="439" t="s">
        <v>233</v>
      </c>
      <c r="F23" s="438"/>
      <c r="H23" s="359"/>
      <c r="I23" s="436"/>
      <c r="J23" s="359"/>
    </row>
    <row r="24" spans="1:10">
      <c r="A24" s="440" t="s">
        <v>251</v>
      </c>
      <c r="B24" s="438" t="s">
        <v>252</v>
      </c>
      <c r="C24" s="438" t="str">
        <f t="shared" si="1"/>
        <v>D24</v>
      </c>
      <c r="D24" s="439">
        <v>410.94</v>
      </c>
      <c r="E24" s="439" t="s">
        <v>233</v>
      </c>
      <c r="F24" s="438"/>
      <c r="H24" s="359"/>
      <c r="I24" s="436"/>
      <c r="J24" s="359"/>
    </row>
    <row r="25" spans="1:10">
      <c r="A25" s="440" t="s">
        <v>253</v>
      </c>
      <c r="B25" s="438" t="s">
        <v>254</v>
      </c>
      <c r="C25" s="438" t="str">
        <f t="shared" si="1"/>
        <v>D25</v>
      </c>
      <c r="D25" s="439">
        <v>1593.24</v>
      </c>
      <c r="E25" s="439" t="s">
        <v>233</v>
      </c>
      <c r="F25" s="438"/>
      <c r="H25" s="359"/>
      <c r="I25" s="436"/>
      <c r="J25" s="359"/>
    </row>
    <row r="26" spans="1:10">
      <c r="A26" s="440" t="s">
        <v>255</v>
      </c>
      <c r="B26" s="438" t="s">
        <v>256</v>
      </c>
      <c r="C26" s="438" t="str">
        <f t="shared" si="1"/>
        <v>D26</v>
      </c>
      <c r="D26" s="439">
        <v>982.26</v>
      </c>
      <c r="E26" s="439" t="s">
        <v>233</v>
      </c>
      <c r="F26" s="438"/>
      <c r="H26" s="359"/>
      <c r="I26" s="436"/>
      <c r="J26" s="359"/>
    </row>
    <row r="27" spans="1:10">
      <c r="A27" s="438" t="s">
        <v>323</v>
      </c>
      <c r="B27" s="438" t="s">
        <v>365</v>
      </c>
      <c r="C27" s="438" t="str">
        <f t="shared" si="1"/>
        <v>D27</v>
      </c>
      <c r="D27" s="441">
        <v>92.395600000000002</v>
      </c>
      <c r="E27" s="441" t="s">
        <v>237</v>
      </c>
      <c r="F27" s="438"/>
      <c r="H27" s="359"/>
      <c r="I27" s="436"/>
      <c r="J27" s="359"/>
    </row>
    <row r="28" spans="1:10">
      <c r="A28" s="438" t="s">
        <v>364</v>
      </c>
      <c r="B28" s="438" t="s">
        <v>366</v>
      </c>
      <c r="C28" s="438" t="str">
        <f t="shared" si="1"/>
        <v>D28</v>
      </c>
      <c r="D28" s="441">
        <v>86.872699999999995</v>
      </c>
      <c r="E28" s="441" t="s">
        <v>237</v>
      </c>
      <c r="F28" s="438"/>
      <c r="H28" s="359"/>
      <c r="I28" s="436"/>
      <c r="J28" s="359"/>
    </row>
    <row r="29" spans="1:10">
      <c r="A29" s="438" t="s">
        <v>324</v>
      </c>
      <c r="B29" s="438" t="s">
        <v>257</v>
      </c>
      <c r="C29" s="438" t="str">
        <f t="shared" si="1"/>
        <v>D29</v>
      </c>
      <c r="D29" s="441">
        <v>70.6721</v>
      </c>
      <c r="E29" s="441" t="s">
        <v>237</v>
      </c>
      <c r="F29" s="438"/>
      <c r="H29" s="359"/>
      <c r="I29" s="436"/>
      <c r="J29" s="359"/>
    </row>
    <row r="30" spans="1:10">
      <c r="A30" s="438" t="s">
        <v>325</v>
      </c>
      <c r="B30" s="438" t="s">
        <v>258</v>
      </c>
      <c r="C30" s="438" t="str">
        <f t="shared" si="1"/>
        <v>D30</v>
      </c>
      <c r="D30" s="441">
        <v>75.826999999999998</v>
      </c>
      <c r="E30" s="441" t="s">
        <v>237</v>
      </c>
      <c r="F30" s="438"/>
      <c r="H30" s="359"/>
      <c r="I30" s="436"/>
      <c r="J30" s="359"/>
    </row>
    <row r="31" spans="1:10">
      <c r="A31" s="438" t="s">
        <v>326</v>
      </c>
      <c r="B31" s="438" t="s">
        <v>259</v>
      </c>
      <c r="C31" s="438" t="str">
        <f t="shared" si="1"/>
        <v>D31</v>
      </c>
      <c r="D31" s="441">
        <v>65.226200000000006</v>
      </c>
      <c r="E31" s="441" t="s">
        <v>237</v>
      </c>
      <c r="F31" s="438"/>
      <c r="H31" s="359"/>
      <c r="I31" s="436"/>
      <c r="J31" s="359"/>
    </row>
    <row r="32" spans="1:10">
      <c r="A32" s="438" t="s">
        <v>327</v>
      </c>
      <c r="B32" s="438" t="s">
        <v>260</v>
      </c>
      <c r="C32" s="438" t="str">
        <f t="shared" si="1"/>
        <v>D32</v>
      </c>
      <c r="D32" s="441">
        <v>63.567900000000002</v>
      </c>
      <c r="E32" s="441" t="s">
        <v>237</v>
      </c>
      <c r="F32" s="438"/>
      <c r="H32" s="359"/>
      <c r="I32" s="436"/>
      <c r="J32" s="359"/>
    </row>
    <row r="33" spans="1:10">
      <c r="A33" s="438" t="s">
        <v>437</v>
      </c>
      <c r="B33" s="438" t="s">
        <v>438</v>
      </c>
      <c r="C33" s="438" t="str">
        <f t="shared" si="1"/>
        <v>D33</v>
      </c>
      <c r="D33" s="439">
        <v>16.48</v>
      </c>
      <c r="E33" s="441" t="s">
        <v>237</v>
      </c>
      <c r="F33" s="438"/>
      <c r="H33" s="359"/>
      <c r="I33" s="436"/>
      <c r="J33" s="359"/>
    </row>
    <row r="34" spans="1:10">
      <c r="A34" s="438" t="s">
        <v>367</v>
      </c>
      <c r="B34" s="438" t="s">
        <v>378</v>
      </c>
      <c r="C34" s="438" t="str">
        <f t="shared" si="1"/>
        <v>D34</v>
      </c>
      <c r="D34" s="439">
        <v>43.11</v>
      </c>
      <c r="E34" s="441" t="s">
        <v>237</v>
      </c>
      <c r="F34" s="438"/>
      <c r="H34" s="359"/>
      <c r="I34" s="436"/>
      <c r="J34" s="359"/>
    </row>
    <row r="35" spans="1:10">
      <c r="A35" s="438" t="s">
        <v>368</v>
      </c>
      <c r="B35" s="438" t="s">
        <v>379</v>
      </c>
      <c r="C35" s="438" t="str">
        <f t="shared" si="1"/>
        <v>D35</v>
      </c>
      <c r="D35" s="439">
        <v>39.19</v>
      </c>
      <c r="E35" s="441" t="s">
        <v>237</v>
      </c>
      <c r="F35" s="438"/>
      <c r="H35" s="359"/>
      <c r="I35" s="436"/>
      <c r="J35" s="359"/>
    </row>
    <row r="36" spans="1:10">
      <c r="A36" s="438" t="s">
        <v>369</v>
      </c>
      <c r="B36" s="438" t="s">
        <v>380</v>
      </c>
      <c r="C36" s="438" t="str">
        <f t="shared" si="1"/>
        <v>D36</v>
      </c>
      <c r="D36" s="439">
        <v>34.94</v>
      </c>
      <c r="E36" s="441" t="s">
        <v>237</v>
      </c>
      <c r="F36" s="438"/>
      <c r="H36" s="359"/>
      <c r="I36" s="436"/>
      <c r="J36" s="359"/>
    </row>
    <row r="37" spans="1:10">
      <c r="A37" s="438" t="s">
        <v>370</v>
      </c>
      <c r="B37" s="438" t="s">
        <v>381</v>
      </c>
      <c r="C37" s="438" t="str">
        <f t="shared" si="1"/>
        <v>D37</v>
      </c>
      <c r="D37" s="439">
        <v>31.76</v>
      </c>
      <c r="E37" s="441" t="s">
        <v>237</v>
      </c>
      <c r="F37" s="438"/>
      <c r="H37" s="359"/>
      <c r="I37" s="436"/>
      <c r="J37" s="359"/>
    </row>
    <row r="38" spans="1:10">
      <c r="A38" s="438" t="s">
        <v>374</v>
      </c>
      <c r="B38" s="438" t="s">
        <v>261</v>
      </c>
      <c r="C38" s="438" t="str">
        <f t="shared" si="1"/>
        <v>D38</v>
      </c>
      <c r="D38" s="439">
        <v>33.630000000000003</v>
      </c>
      <c r="E38" s="441" t="s">
        <v>237</v>
      </c>
      <c r="F38" s="438"/>
      <c r="H38" s="359"/>
      <c r="I38" s="436"/>
      <c r="J38" s="359"/>
    </row>
    <row r="39" spans="1:10">
      <c r="A39" s="438" t="s">
        <v>375</v>
      </c>
      <c r="B39" s="438" t="s">
        <v>373</v>
      </c>
      <c r="C39" s="438" t="str">
        <f t="shared" si="1"/>
        <v>D39</v>
      </c>
      <c r="D39" s="439">
        <v>31.04</v>
      </c>
      <c r="E39" s="441" t="s">
        <v>237</v>
      </c>
      <c r="F39" s="438"/>
      <c r="H39" s="359"/>
      <c r="I39" s="436"/>
      <c r="J39" s="359"/>
    </row>
    <row r="40" spans="1:10">
      <c r="A40" s="438" t="s">
        <v>376</v>
      </c>
      <c r="B40" s="438" t="s">
        <v>377</v>
      </c>
      <c r="C40" s="438" t="str">
        <f t="shared" si="1"/>
        <v>D40</v>
      </c>
      <c r="D40" s="439">
        <v>28.22</v>
      </c>
      <c r="E40" s="441" t="s">
        <v>237</v>
      </c>
      <c r="F40" s="438"/>
      <c r="H40" s="359"/>
      <c r="I40" s="436"/>
      <c r="J40" s="359"/>
    </row>
    <row r="41" spans="1:10">
      <c r="A41" s="438" t="s">
        <v>382</v>
      </c>
      <c r="B41" s="438" t="s">
        <v>383</v>
      </c>
      <c r="C41" s="438" t="str">
        <f t="shared" si="1"/>
        <v>D41</v>
      </c>
      <c r="D41" s="439">
        <v>23.39</v>
      </c>
      <c r="E41" s="441" t="s">
        <v>237</v>
      </c>
      <c r="F41" s="438"/>
      <c r="H41" s="359"/>
      <c r="I41" s="436"/>
      <c r="J41" s="359"/>
    </row>
    <row r="42" spans="1:10">
      <c r="A42" s="438" t="s">
        <v>384</v>
      </c>
      <c r="B42" s="438" t="s">
        <v>385</v>
      </c>
      <c r="C42" s="438" t="str">
        <f t="shared" si="1"/>
        <v>D42</v>
      </c>
      <c r="D42" s="439">
        <v>16.48</v>
      </c>
      <c r="E42" s="441" t="s">
        <v>237</v>
      </c>
      <c r="F42" s="438"/>
      <c r="H42" s="359"/>
      <c r="I42" s="436"/>
      <c r="J42" s="359"/>
    </row>
    <row r="43" spans="1:10">
      <c r="A43" s="438" t="s">
        <v>416</v>
      </c>
      <c r="B43" s="438" t="s">
        <v>417</v>
      </c>
      <c r="C43" s="438" t="str">
        <f t="shared" si="1"/>
        <v>D43</v>
      </c>
      <c r="D43" s="439">
        <v>3.12</v>
      </c>
      <c r="E43" s="441" t="s">
        <v>237</v>
      </c>
      <c r="F43" s="438"/>
      <c r="H43" s="359"/>
      <c r="I43" s="436"/>
      <c r="J43" s="359"/>
    </row>
    <row r="44" spans="1:10">
      <c r="A44" s="438" t="s">
        <v>371</v>
      </c>
      <c r="B44" s="438" t="s">
        <v>320</v>
      </c>
      <c r="C44" s="438" t="str">
        <f t="shared" si="1"/>
        <v>D44</v>
      </c>
      <c r="D44" s="439">
        <v>37.89</v>
      </c>
      <c r="E44" s="441" t="s">
        <v>237</v>
      </c>
      <c r="F44" s="438"/>
      <c r="H44" s="359"/>
      <c r="I44" s="436"/>
      <c r="J44" s="359"/>
    </row>
    <row r="45" spans="1:10">
      <c r="A45" s="438" t="s">
        <v>372</v>
      </c>
      <c r="B45" s="438" t="s">
        <v>321</v>
      </c>
      <c r="C45" s="438" t="str">
        <f t="shared" si="1"/>
        <v>D45</v>
      </c>
      <c r="D45" s="439">
        <v>30.71</v>
      </c>
      <c r="E45" s="441" t="s">
        <v>237</v>
      </c>
      <c r="F45" s="438"/>
      <c r="H45" s="359"/>
      <c r="I45" s="436"/>
      <c r="J45" s="359"/>
    </row>
    <row r="46" spans="1:10">
      <c r="A46" s="438" t="s">
        <v>386</v>
      </c>
      <c r="B46" s="438" t="s">
        <v>322</v>
      </c>
      <c r="C46" s="438" t="str">
        <f t="shared" si="1"/>
        <v>D46</v>
      </c>
      <c r="D46" s="439">
        <v>27.29</v>
      </c>
      <c r="E46" s="441" t="s">
        <v>237</v>
      </c>
      <c r="F46" s="438"/>
      <c r="H46" s="359"/>
      <c r="I46" s="436"/>
      <c r="J46" s="359"/>
    </row>
    <row r="47" spans="1:10">
      <c r="A47" s="438" t="s">
        <v>387</v>
      </c>
      <c r="B47" s="438" t="s">
        <v>388</v>
      </c>
      <c r="C47" s="438" t="str">
        <f t="shared" si="1"/>
        <v>D47</v>
      </c>
      <c r="D47" s="439">
        <f>D35</f>
        <v>39.19</v>
      </c>
      <c r="E47" s="441" t="s">
        <v>237</v>
      </c>
      <c r="F47" s="438"/>
      <c r="H47" s="359"/>
      <c r="I47" s="436"/>
      <c r="J47" s="359"/>
    </row>
    <row r="48" spans="1:10">
      <c r="A48" s="438" t="s">
        <v>351</v>
      </c>
      <c r="B48" s="438" t="s">
        <v>359</v>
      </c>
      <c r="C48" s="438" t="str">
        <f t="shared" si="1"/>
        <v>D48</v>
      </c>
      <c r="D48" s="439">
        <v>38.72</v>
      </c>
      <c r="E48" s="441" t="s">
        <v>237</v>
      </c>
      <c r="F48" s="438"/>
      <c r="H48" s="359"/>
      <c r="I48" s="436"/>
      <c r="J48" s="359"/>
    </row>
    <row r="49" spans="1:10">
      <c r="A49" s="438" t="s">
        <v>352</v>
      </c>
      <c r="B49" s="438" t="s">
        <v>353</v>
      </c>
      <c r="C49" s="438" t="str">
        <f t="shared" si="1"/>
        <v>D49</v>
      </c>
      <c r="D49" s="439">
        <v>35.74</v>
      </c>
      <c r="E49" s="441" t="s">
        <v>237</v>
      </c>
      <c r="F49" s="438"/>
      <c r="H49" s="359"/>
      <c r="I49" s="436"/>
      <c r="J49" s="359"/>
    </row>
    <row r="50" spans="1:10">
      <c r="A50" s="438" t="s">
        <v>262</v>
      </c>
      <c r="B50" s="438" t="s">
        <v>263</v>
      </c>
      <c r="C50" s="438" t="str">
        <f t="shared" si="1"/>
        <v>D50</v>
      </c>
      <c r="D50" s="439">
        <v>39</v>
      </c>
      <c r="E50" s="441" t="s">
        <v>237</v>
      </c>
      <c r="F50" s="438"/>
      <c r="H50" s="359"/>
      <c r="I50" s="436"/>
      <c r="J50" s="359"/>
    </row>
    <row r="51" spans="1:10">
      <c r="A51" s="438" t="s">
        <v>264</v>
      </c>
      <c r="B51" s="438" t="s">
        <v>265</v>
      </c>
      <c r="C51" s="438" t="str">
        <f t="shared" si="1"/>
        <v>D51</v>
      </c>
      <c r="D51" s="439">
        <v>10.66</v>
      </c>
      <c r="E51" s="441" t="s">
        <v>237</v>
      </c>
      <c r="F51" s="438"/>
      <c r="H51" s="359"/>
      <c r="I51" s="436"/>
      <c r="J51" s="359"/>
    </row>
    <row r="52" spans="1:10">
      <c r="A52" s="438" t="s">
        <v>266</v>
      </c>
      <c r="B52" s="438" t="s">
        <v>267</v>
      </c>
      <c r="C52" s="438" t="str">
        <f t="shared" si="1"/>
        <v>D52</v>
      </c>
      <c r="D52" s="439">
        <v>16.760000000000002</v>
      </c>
      <c r="E52" s="441" t="s">
        <v>237</v>
      </c>
      <c r="F52" s="438"/>
      <c r="H52" s="359"/>
      <c r="I52" s="436"/>
      <c r="J52" s="359"/>
    </row>
    <row r="53" spans="1:10">
      <c r="A53" s="438" t="s">
        <v>268</v>
      </c>
      <c r="B53" s="438" t="s">
        <v>312</v>
      </c>
      <c r="C53" s="438" t="str">
        <f t="shared" si="1"/>
        <v>D53</v>
      </c>
      <c r="D53" s="439">
        <v>28</v>
      </c>
      <c r="E53" s="441" t="s">
        <v>237</v>
      </c>
      <c r="F53" s="438"/>
      <c r="H53" s="359"/>
      <c r="I53" s="436"/>
      <c r="J53" s="359"/>
    </row>
    <row r="54" spans="1:10">
      <c r="A54" s="438" t="s">
        <v>269</v>
      </c>
      <c r="B54" s="438" t="s">
        <v>270</v>
      </c>
      <c r="C54" s="438" t="str">
        <f t="shared" si="1"/>
        <v>D54</v>
      </c>
      <c r="D54" s="439">
        <v>8.7899999999999991</v>
      </c>
      <c r="E54" s="441" t="s">
        <v>237</v>
      </c>
      <c r="F54" s="438"/>
      <c r="H54" s="359"/>
      <c r="I54" s="436"/>
      <c r="J54" s="359"/>
    </row>
    <row r="55" spans="1:10">
      <c r="A55" s="438" t="s">
        <v>271</v>
      </c>
      <c r="B55" s="438" t="s">
        <v>272</v>
      </c>
      <c r="C55" s="438" t="str">
        <f t="shared" si="1"/>
        <v>D55</v>
      </c>
      <c r="D55" s="439">
        <v>14.01</v>
      </c>
      <c r="E55" s="441" t="s">
        <v>237</v>
      </c>
      <c r="F55" s="438"/>
      <c r="H55" s="359"/>
      <c r="I55" s="436"/>
      <c r="J55" s="359"/>
    </row>
    <row r="56" spans="1:10">
      <c r="A56" s="438" t="s">
        <v>273</v>
      </c>
      <c r="B56" s="438" t="s">
        <v>313</v>
      </c>
      <c r="C56" s="438" t="str">
        <f t="shared" si="1"/>
        <v>D56</v>
      </c>
      <c r="D56" s="439">
        <v>9.9499999999999993</v>
      </c>
      <c r="E56" s="441" t="s">
        <v>237</v>
      </c>
      <c r="F56" s="438"/>
      <c r="H56" s="359"/>
      <c r="I56" s="436"/>
      <c r="J56" s="359"/>
    </row>
    <row r="57" spans="1:10">
      <c r="A57" s="438" t="s">
        <v>273</v>
      </c>
      <c r="B57" s="438" t="s">
        <v>314</v>
      </c>
      <c r="C57" s="438" t="str">
        <f t="shared" si="1"/>
        <v>D57</v>
      </c>
      <c r="D57" s="439">
        <v>15.98</v>
      </c>
      <c r="E57" s="441" t="s">
        <v>237</v>
      </c>
      <c r="F57" s="438"/>
      <c r="H57" s="359"/>
      <c r="I57" s="436"/>
      <c r="J57" s="359"/>
    </row>
    <row r="58" spans="1:10">
      <c r="A58" s="438" t="s">
        <v>274</v>
      </c>
      <c r="B58" s="438" t="s">
        <v>436</v>
      </c>
      <c r="C58" s="438" t="str">
        <f t="shared" si="1"/>
        <v>D58</v>
      </c>
      <c r="D58" s="439">
        <v>40.53</v>
      </c>
      <c r="E58" s="441" t="s">
        <v>237</v>
      </c>
      <c r="F58" s="438"/>
      <c r="H58" s="359"/>
      <c r="I58" s="436"/>
      <c r="J58" s="359"/>
    </row>
    <row r="59" spans="1:10">
      <c r="A59" s="440">
        <v>125</v>
      </c>
      <c r="B59" s="438" t="s">
        <v>438</v>
      </c>
      <c r="C59" s="438" t="str">
        <f t="shared" si="1"/>
        <v>D59</v>
      </c>
      <c r="D59" s="439">
        <v>14.01</v>
      </c>
      <c r="E59" s="441" t="s">
        <v>237</v>
      </c>
      <c r="F59" s="438"/>
      <c r="H59" s="359"/>
      <c r="I59" s="436"/>
      <c r="J59" s="359"/>
    </row>
    <row r="60" spans="1:10">
      <c r="A60" s="438" t="s">
        <v>275</v>
      </c>
      <c r="B60" s="438" t="s">
        <v>276</v>
      </c>
      <c r="C60" s="438" t="str">
        <f t="shared" si="1"/>
        <v>D60</v>
      </c>
      <c r="D60" s="439">
        <v>150</v>
      </c>
      <c r="E60" s="439" t="s">
        <v>233</v>
      </c>
      <c r="F60" s="438"/>
      <c r="H60" s="359"/>
      <c r="I60" s="436"/>
      <c r="J60" s="359"/>
    </row>
    <row r="61" spans="1:10">
      <c r="A61" s="438" t="s">
        <v>277</v>
      </c>
      <c r="B61" s="438" t="s">
        <v>278</v>
      </c>
      <c r="C61" s="438" t="str">
        <f t="shared" si="1"/>
        <v>D61</v>
      </c>
      <c r="D61" s="439">
        <v>150</v>
      </c>
      <c r="E61" s="439" t="s">
        <v>233</v>
      </c>
      <c r="F61" s="438"/>
      <c r="H61" s="359"/>
      <c r="I61" s="436"/>
      <c r="J61" s="359"/>
    </row>
    <row r="62" spans="1:10">
      <c r="A62" s="438" t="s">
        <v>277</v>
      </c>
      <c r="B62" s="438" t="s">
        <v>279</v>
      </c>
      <c r="C62" s="438" t="str">
        <f t="shared" si="1"/>
        <v>D62</v>
      </c>
      <c r="D62" s="439">
        <v>100</v>
      </c>
      <c r="E62" s="439" t="s">
        <v>233</v>
      </c>
      <c r="F62" s="438"/>
      <c r="H62" s="359"/>
      <c r="I62" s="436"/>
      <c r="J62" s="359"/>
    </row>
    <row r="63" spans="1:10">
      <c r="A63" s="438" t="s">
        <v>277</v>
      </c>
      <c r="B63" s="438" t="s">
        <v>280</v>
      </c>
      <c r="C63" s="438" t="str">
        <f t="shared" si="1"/>
        <v>D63</v>
      </c>
      <c r="D63" s="439">
        <v>50</v>
      </c>
      <c r="E63" s="439" t="s">
        <v>233</v>
      </c>
      <c r="F63" s="438"/>
      <c r="H63" s="359"/>
      <c r="I63" s="436"/>
      <c r="J63" s="359"/>
    </row>
    <row r="64" spans="1:10">
      <c r="A64" s="438" t="s">
        <v>281</v>
      </c>
      <c r="B64" s="438" t="s">
        <v>282</v>
      </c>
      <c r="C64" s="438" t="str">
        <f t="shared" si="1"/>
        <v>D64</v>
      </c>
      <c r="D64" s="439">
        <v>100</v>
      </c>
      <c r="E64" s="439" t="s">
        <v>233</v>
      </c>
      <c r="F64" s="438"/>
      <c r="H64" s="359"/>
      <c r="I64" s="436"/>
      <c r="J64" s="359"/>
    </row>
    <row r="65" spans="1:10">
      <c r="A65" s="438" t="s">
        <v>283</v>
      </c>
      <c r="B65" s="438" t="s">
        <v>284</v>
      </c>
      <c r="C65" s="438" t="str">
        <f t="shared" si="1"/>
        <v>D65</v>
      </c>
      <c r="D65" s="439">
        <v>10.18</v>
      </c>
      <c r="E65" s="439" t="s">
        <v>237</v>
      </c>
      <c r="F65" s="438"/>
      <c r="H65" s="359"/>
      <c r="I65" s="436"/>
      <c r="J65" s="359"/>
    </row>
    <row r="66" spans="1:10">
      <c r="A66" s="438" t="s">
        <v>285</v>
      </c>
      <c r="B66" s="438" t="s">
        <v>286</v>
      </c>
      <c r="C66" s="438" t="str">
        <f t="shared" si="1"/>
        <v>D66</v>
      </c>
      <c r="D66" s="439">
        <v>12241.74</v>
      </c>
      <c r="E66" s="439" t="s">
        <v>239</v>
      </c>
      <c r="F66" s="433" t="s">
        <v>287</v>
      </c>
      <c r="H66" s="359"/>
      <c r="I66" s="436"/>
      <c r="J66" s="359"/>
    </row>
    <row r="67" spans="1:10">
      <c r="A67" s="438" t="s">
        <v>285</v>
      </c>
      <c r="B67" s="438" t="s">
        <v>288</v>
      </c>
      <c r="C67" s="438" t="str">
        <f t="shared" si="1"/>
        <v>D67</v>
      </c>
      <c r="D67" s="439">
        <v>9058.25</v>
      </c>
      <c r="E67" s="439" t="s">
        <v>239</v>
      </c>
      <c r="F67" s="433" t="s">
        <v>287</v>
      </c>
      <c r="H67" s="359"/>
      <c r="I67" s="436"/>
      <c r="J67" s="359"/>
    </row>
    <row r="68" spans="1:10">
      <c r="A68" s="438"/>
      <c r="B68" s="438" t="s">
        <v>289</v>
      </c>
      <c r="C68" s="438" t="str">
        <f t="shared" si="1"/>
        <v>D68</v>
      </c>
      <c r="D68" s="439">
        <v>6038.83</v>
      </c>
      <c r="E68" s="439" t="s">
        <v>239</v>
      </c>
      <c r="F68" s="433" t="s">
        <v>287</v>
      </c>
      <c r="H68" s="359"/>
      <c r="I68" s="436"/>
      <c r="J68" s="359"/>
    </row>
    <row r="69" spans="1:10">
      <c r="A69" s="438" t="s">
        <v>290</v>
      </c>
      <c r="B69" s="438" t="s">
        <v>291</v>
      </c>
      <c r="C69" s="438" t="str">
        <f t="shared" si="1"/>
        <v>D69</v>
      </c>
      <c r="D69" s="439">
        <v>136.81</v>
      </c>
      <c r="E69" s="439" t="s">
        <v>233</v>
      </c>
      <c r="F69" s="438"/>
      <c r="H69" s="359"/>
      <c r="I69" s="436"/>
      <c r="J69" s="359"/>
    </row>
    <row r="70" spans="1:10">
      <c r="A70" s="438" t="s">
        <v>292</v>
      </c>
      <c r="B70" s="438" t="s">
        <v>293</v>
      </c>
      <c r="C70" s="438" t="str">
        <f t="shared" si="1"/>
        <v>D70</v>
      </c>
      <c r="D70" s="439">
        <v>109.45</v>
      </c>
      <c r="E70" s="439" t="s">
        <v>233</v>
      </c>
      <c r="F70" s="438"/>
      <c r="H70" s="359"/>
      <c r="I70" s="436"/>
      <c r="J70" s="359"/>
    </row>
    <row r="71" spans="1:10">
      <c r="A71" s="438" t="s">
        <v>294</v>
      </c>
      <c r="B71" s="438" t="s">
        <v>295</v>
      </c>
      <c r="C71" s="438" t="str">
        <f t="shared" si="1"/>
        <v>D71</v>
      </c>
      <c r="D71" s="439">
        <v>82.08</v>
      </c>
      <c r="E71" s="439" t="s">
        <v>233</v>
      </c>
      <c r="F71" s="438"/>
      <c r="H71" s="359"/>
      <c r="I71" s="436"/>
      <c r="J71" s="359"/>
    </row>
    <row r="72" spans="1:10">
      <c r="A72" s="438" t="s">
        <v>296</v>
      </c>
      <c r="B72" s="438" t="s">
        <v>297</v>
      </c>
      <c r="C72" s="438" t="str">
        <f t="shared" si="1"/>
        <v>D72</v>
      </c>
      <c r="D72" s="439">
        <v>2.31</v>
      </c>
      <c r="E72" s="439" t="s">
        <v>298</v>
      </c>
      <c r="F72" s="438"/>
      <c r="H72" s="359"/>
      <c r="I72" s="436"/>
      <c r="J72" s="359"/>
    </row>
    <row r="73" spans="1:10">
      <c r="A73" s="438" t="s">
        <v>299</v>
      </c>
      <c r="B73" s="438" t="s">
        <v>300</v>
      </c>
      <c r="C73" s="438" t="str">
        <f t="shared" si="1"/>
        <v>D73</v>
      </c>
      <c r="D73" s="439">
        <v>31.18</v>
      </c>
      <c r="E73" s="439" t="s">
        <v>237</v>
      </c>
      <c r="F73" s="438"/>
      <c r="H73" s="359"/>
      <c r="I73" s="436"/>
      <c r="J73" s="359"/>
    </row>
    <row r="74" spans="1:10">
      <c r="A74" s="438" t="s">
        <v>301</v>
      </c>
      <c r="B74" s="438" t="s">
        <v>302</v>
      </c>
      <c r="C74" s="438" t="str">
        <f t="shared" si="1"/>
        <v>D74</v>
      </c>
      <c r="D74" s="439">
        <v>61.53</v>
      </c>
      <c r="E74" s="439" t="s">
        <v>233</v>
      </c>
      <c r="F74" s="438"/>
      <c r="H74" s="359"/>
      <c r="I74" s="436"/>
      <c r="J74" s="359"/>
    </row>
    <row r="75" spans="1:10">
      <c r="A75" s="438" t="s">
        <v>303</v>
      </c>
      <c r="B75" s="438" t="s">
        <v>304</v>
      </c>
      <c r="C75" s="438" t="str">
        <f t="shared" si="1"/>
        <v>D75</v>
      </c>
      <c r="D75" s="439">
        <v>7707.76</v>
      </c>
      <c r="E75" s="439" t="s">
        <v>239</v>
      </c>
      <c r="F75" s="438"/>
      <c r="H75" s="359"/>
      <c r="I75" s="436"/>
      <c r="J75" s="359"/>
    </row>
    <row r="76" spans="1:10">
      <c r="A76" s="438" t="s">
        <v>340</v>
      </c>
      <c r="B76" s="438" t="s">
        <v>341</v>
      </c>
      <c r="C76" s="438" t="str">
        <f t="shared" si="1"/>
        <v>D76</v>
      </c>
      <c r="D76" s="439">
        <v>20.36</v>
      </c>
      <c r="E76" s="439" t="s">
        <v>237</v>
      </c>
      <c r="F76" s="438"/>
      <c r="H76" s="359"/>
      <c r="I76" s="436"/>
      <c r="J76" s="359"/>
    </row>
    <row r="77" spans="1:10">
      <c r="A77" s="438" t="s">
        <v>336</v>
      </c>
      <c r="B77" s="438" t="s">
        <v>337</v>
      </c>
      <c r="C77" s="438" t="str">
        <f t="shared" si="1"/>
        <v>D77</v>
      </c>
      <c r="D77" s="439">
        <v>40.840000000000003</v>
      </c>
      <c r="E77" s="439" t="s">
        <v>237</v>
      </c>
      <c r="F77" s="438"/>
      <c r="H77" s="359"/>
      <c r="I77" s="436"/>
      <c r="J77" s="359"/>
    </row>
    <row r="78" spans="1:10">
      <c r="A78" s="438" t="s">
        <v>338</v>
      </c>
      <c r="B78" s="438" t="s">
        <v>339</v>
      </c>
      <c r="C78" s="438" t="str">
        <f t="shared" si="1"/>
        <v>D78</v>
      </c>
      <c r="D78" s="439">
        <v>35.979999999999997</v>
      </c>
      <c r="E78" s="439" t="s">
        <v>237</v>
      </c>
      <c r="F78" s="438"/>
      <c r="H78" s="359"/>
      <c r="I78" s="436"/>
      <c r="J78" s="359"/>
    </row>
    <row r="79" spans="1:10">
      <c r="A79" s="434" t="s">
        <v>305</v>
      </c>
      <c r="B79" s="438"/>
      <c r="C79" s="438" t="str">
        <f t="shared" ref="C79:C88" si="2">"D"&amp;ROW()</f>
        <v>D79</v>
      </c>
      <c r="D79" s="439"/>
      <c r="E79" s="439"/>
      <c r="F79" s="438"/>
      <c r="H79" s="359"/>
      <c r="I79" s="436"/>
      <c r="J79" s="359"/>
    </row>
    <row r="80" spans="1:10">
      <c r="A80" s="438" t="s">
        <v>315</v>
      </c>
      <c r="B80" s="438"/>
      <c r="C80" s="438" t="str">
        <f t="shared" si="2"/>
        <v>D80</v>
      </c>
      <c r="D80" s="439">
        <v>11.3</v>
      </c>
      <c r="E80" s="439" t="s">
        <v>237</v>
      </c>
      <c r="F80" s="433" t="s">
        <v>316</v>
      </c>
      <c r="H80" s="359"/>
      <c r="I80" s="436"/>
      <c r="J80" s="359"/>
    </row>
    <row r="81" spans="1:10">
      <c r="A81" s="438" t="s">
        <v>306</v>
      </c>
      <c r="B81" s="438"/>
      <c r="C81" s="438" t="str">
        <f t="shared" si="2"/>
        <v>D81</v>
      </c>
      <c r="D81" s="439">
        <v>1313.35</v>
      </c>
      <c r="E81" s="439" t="s">
        <v>233</v>
      </c>
      <c r="F81" s="433" t="s">
        <v>307</v>
      </c>
      <c r="H81" s="359"/>
      <c r="I81" s="436"/>
      <c r="J81" s="359"/>
    </row>
    <row r="82" spans="1:10">
      <c r="A82" s="438" t="s">
        <v>308</v>
      </c>
      <c r="B82" s="438"/>
      <c r="C82" s="438" t="str">
        <f t="shared" si="2"/>
        <v>D82</v>
      </c>
      <c r="D82" s="439">
        <v>2626.7</v>
      </c>
      <c r="E82" s="439" t="s">
        <v>233</v>
      </c>
      <c r="F82" s="433" t="s">
        <v>307</v>
      </c>
      <c r="H82" s="359"/>
      <c r="I82" s="436"/>
      <c r="J82" s="359"/>
    </row>
    <row r="83" spans="1:10">
      <c r="A83" s="438" t="s">
        <v>309</v>
      </c>
      <c r="B83" s="438"/>
      <c r="C83" s="438" t="str">
        <f t="shared" si="2"/>
        <v>D83</v>
      </c>
      <c r="D83" s="439">
        <v>25.77</v>
      </c>
      <c r="E83" s="439" t="s">
        <v>237</v>
      </c>
      <c r="F83" s="433" t="s">
        <v>310</v>
      </c>
      <c r="H83" s="359"/>
      <c r="I83" s="436"/>
      <c r="J83" s="359"/>
    </row>
    <row r="84" spans="1:10">
      <c r="A84" s="438" t="s">
        <v>332</v>
      </c>
      <c r="B84" s="438"/>
      <c r="C84" s="438" t="str">
        <f t="shared" si="2"/>
        <v>D84</v>
      </c>
      <c r="D84" s="442">
        <v>1.5768139999999999</v>
      </c>
      <c r="E84" s="439" t="s">
        <v>233</v>
      </c>
      <c r="F84" s="433" t="s">
        <v>311</v>
      </c>
      <c r="H84" s="359"/>
      <c r="I84" s="436"/>
      <c r="J84" s="359"/>
    </row>
    <row r="85" spans="1:10">
      <c r="A85" s="438" t="s">
        <v>347</v>
      </c>
      <c r="B85" s="438"/>
      <c r="C85" s="438" t="str">
        <f t="shared" si="2"/>
        <v>D85</v>
      </c>
      <c r="D85" s="442">
        <v>1.3153280000000001</v>
      </c>
      <c r="E85" s="439" t="s">
        <v>233</v>
      </c>
      <c r="F85" s="433" t="s">
        <v>311</v>
      </c>
      <c r="H85" s="359"/>
      <c r="I85" s="436"/>
      <c r="J85" s="359"/>
    </row>
    <row r="86" spans="1:10">
      <c r="A86" s="438" t="s">
        <v>356</v>
      </c>
      <c r="B86" s="438"/>
      <c r="C86" s="438" t="str">
        <f t="shared" si="2"/>
        <v>D86</v>
      </c>
      <c r="D86" s="442">
        <v>1.03</v>
      </c>
      <c r="E86" s="439" t="s">
        <v>233</v>
      </c>
      <c r="F86" s="433" t="s">
        <v>311</v>
      </c>
      <c r="H86" s="359"/>
      <c r="I86" s="436"/>
      <c r="J86" s="359"/>
    </row>
    <row r="87" spans="1:10">
      <c r="A87" s="438" t="s">
        <v>354</v>
      </c>
      <c r="B87" s="443"/>
      <c r="C87" s="438" t="str">
        <f t="shared" si="2"/>
        <v>D87</v>
      </c>
      <c r="D87" s="444">
        <v>5.71</v>
      </c>
      <c r="E87" s="439" t="s">
        <v>233</v>
      </c>
      <c r="F87" s="433" t="s">
        <v>311</v>
      </c>
    </row>
    <row r="88" spans="1:10">
      <c r="A88" s="438" t="s">
        <v>355</v>
      </c>
      <c r="B88" s="443"/>
      <c r="C88" s="438" t="str">
        <f t="shared" si="2"/>
        <v>D88</v>
      </c>
      <c r="D88" s="444">
        <v>7.7</v>
      </c>
      <c r="E88" s="439" t="s">
        <v>233</v>
      </c>
      <c r="F88" s="433" t="s">
        <v>311</v>
      </c>
    </row>
  </sheetData>
  <sheetProtection algorithmName="SHA-512" hashValue="/8XMb2cA2OygvBzdq9rGJMVXdBowotaj+fR1OdRf9d28tZZO4aCeFLi63FMUN2DPkMeBIrvU+ZT7IA9NGCIvzg==" saltValue="Wv8SPpwq9hjDad1lnGnG2w==" spinCount="100000" sheet="1" objects="1" scenarios="1"/>
  <phoneticPr fontId="64" type="noConversion"/>
  <hyperlinks>
    <hyperlink ref="F81" r:id="rId1" location="Art.2" xr:uid="{7B621359-853A-414F-8EAA-D2538EC5727E}"/>
    <hyperlink ref="F82" r:id="rId2" location="Art.2" xr:uid="{FEEE4E04-8B52-4FBE-9F00-466139A98C8E}"/>
    <hyperlink ref="F83" r:id="rId3" location="Art.2" xr:uid="{79482F2C-AC15-4BF4-8DD8-4012CA62868E}"/>
    <hyperlink ref="F66" r:id="rId4" xr:uid="{A8E85DDF-4F55-434D-8EFD-A925D5857885}"/>
    <hyperlink ref="F18" r:id="rId5" location="Art.11" xr:uid="{BB97FE48-AF57-483C-95CC-E892753DD280}"/>
    <hyperlink ref="F19" r:id="rId6" location="Art.11" xr:uid="{D4FA25DA-C892-4F19-A313-BFA7D01423CF}"/>
    <hyperlink ref="F17" r:id="rId7" location="Art.3" xr:uid="{275DA045-2D8A-4265-8B0A-E242566BCC65}"/>
    <hyperlink ref="F13" r:id="rId8" xr:uid="{73DDF433-BFAC-43A8-BCFB-82013FFB3909}"/>
    <hyperlink ref="F80" r:id="rId9" location="LNK0006" xr:uid="{41DB3425-5F36-4A05-88AD-64E38C4B30DA}"/>
    <hyperlink ref="F84" r:id="rId10" location="Art.2" xr:uid="{FFF46345-C18A-4C55-A7AF-E333511BB5F2}"/>
    <hyperlink ref="F85" r:id="rId11" location="Art.2" xr:uid="{10A3792D-CAAC-43BB-A537-F318E221CA1C}"/>
    <hyperlink ref="F87" r:id="rId12" location="Art.2" xr:uid="{565F8C72-0C7C-417B-BF95-10426819F5D8}"/>
    <hyperlink ref="F88" r:id="rId13" location="Art.2" xr:uid="{BFA9D64A-0AC6-4BFB-B59E-3917D8A52150}"/>
    <hyperlink ref="F86" r:id="rId14" location="Art.2" xr:uid="{DAB190FD-9771-4D09-8F48-16CAAC2C7A2D}"/>
    <hyperlink ref="F67:F68" r:id="rId15" display="wet 26/05/2002, art. 14, § 1" xr:uid="{531F5E84-A905-424B-B945-AC18D6599E7D}"/>
  </hyperlinks>
  <pageMargins left="0.7" right="0.7" top="0.75" bottom="0.75" header="0.3" footer="0.3"/>
  <pageSetup paperSize="9" scale="67" orientation="landscape" r:id="rId16"/>
  <rowBreaks count="1" manualBreakCount="1">
    <brk id="48" max="16383" man="1"/>
  </rowBreaks>
  <colBreaks count="1" manualBreakCount="1">
    <brk id="6" max="87" man="1"/>
  </colBreaks>
</worksheet>
</file>

<file path=docMetadata/LabelInfo.xml><?xml version="1.0" encoding="utf-8"?>
<clbl:labelList xmlns:clbl="http://schemas.microsoft.com/office/2020/mipLabelMetadata">
  <clbl:label id="{2539ca27-a603-4314-8f9c-87d2dab7bde1}" enabled="1" method="Privileged" siteId="{66c008a4-b565-49a9-93c9-c1e64cad2e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12</vt:i4>
      </vt:variant>
      <vt:variant>
        <vt:lpstr>Benoemde bereiken</vt:lpstr>
      </vt:variant>
      <vt:variant>
        <vt:i4>13</vt:i4>
      </vt:variant>
    </vt:vector>
  </HeadingPairs>
  <TitlesOfParts>
    <vt:vector size="25" baseType="lpstr">
      <vt:lpstr>A_N_B_vol_plein</vt:lpstr>
      <vt:lpstr>A_N_B_half_demi</vt:lpstr>
      <vt:lpstr>TW-CT_JS</vt:lpstr>
      <vt:lpstr>SpecCat</vt:lpstr>
      <vt:lpstr>Loonschijven_Tranches salariale</vt:lpstr>
      <vt:lpstr>Uurlonen_Salaires horaires</vt:lpstr>
      <vt:lpstr>W </vt:lpstr>
      <vt:lpstr>AndereBedrWLH_AutresMontCHOM</vt:lpstr>
      <vt:lpstr>Activering_Activation</vt:lpstr>
      <vt:lpstr>AndereUitk_AutresAlloc</vt:lpstr>
      <vt:lpstr>Bonus</vt:lpstr>
      <vt:lpstr>Basisbedragen</vt:lpstr>
      <vt:lpstr>AndereBedrWLH_AutresMontCHOM!Afdrukbereik</vt:lpstr>
      <vt:lpstr>AndereUitk_AutresAlloc!Afdrukbereik</vt:lpstr>
      <vt:lpstr>'Loonschijven_Tranches salariale'!Afdrukbereik</vt:lpstr>
      <vt:lpstr>'TW-CT_JS'!Afdrukbereik</vt:lpstr>
      <vt:lpstr>'Uurlonen_Salaires horaires'!Afdrukbereik</vt:lpstr>
      <vt:lpstr>'W '!Afdrukbereik</vt:lpstr>
      <vt:lpstr>A_N_B_half_demi!Afdruktitels</vt:lpstr>
      <vt:lpstr>A_N_B_vol_plein!Afdruktitels</vt:lpstr>
      <vt:lpstr>AndereBedrWLH_AutresMontCHOM!Afdruktitels</vt:lpstr>
      <vt:lpstr>AndereUitk_AutresAlloc!Afdruktitels</vt:lpstr>
      <vt:lpstr>SpecCat!Afdruktitels</vt:lpstr>
      <vt:lpstr>'TW-CT_JS'!Afdruktitels</vt:lpstr>
      <vt:lpstr>'Uurlonen_Salaires horaires'!Afdruktitels</vt:lpstr>
    </vt:vector>
  </TitlesOfParts>
  <Company>ONEM-RVA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fbossier</dc:creator>
  <cp:lastModifiedBy>Filip Bossier (RVA-ONEM)</cp:lastModifiedBy>
  <cp:lastPrinted>2026-08-24T07:13:55Z</cp:lastPrinted>
  <dcterms:created xsi:type="dcterms:W3CDTF">2012-04-10T08:09:38Z</dcterms:created>
  <dcterms:modified xsi:type="dcterms:W3CDTF">2026-08-25T12:41:14Z</dcterms:modified>
</cp:coreProperties>
</file>